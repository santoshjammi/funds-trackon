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mc:AlternateContent xmlns:mc="http://schemas.openxmlformats.org/markup-compatibility/2006">
    <mc:Choice Requires="x15">
      <x15ac:absPath xmlns:x15ac="http://schemas.microsoft.com/office/spreadsheetml/2010/11/ac" url="/Users/kgt/Desktop/"/>
    </mc:Choice>
  </mc:AlternateContent>
  <xr:revisionPtr revIDLastSave="0" documentId="8_{76C7A965-8F23-0D42-B8EC-48871C7F7402}" xr6:coauthVersionLast="47" xr6:coauthVersionMax="47" xr10:uidLastSave="{00000000-0000-0000-0000-000000000000}"/>
  <bookViews>
    <workbookView xWindow="0" yWindow="0" windowWidth="33600" windowHeight="21000" tabRatio="762" activeTab="4" xr2:uid="{00000000-000D-0000-FFFF-FFFF00000000}"/>
  </bookViews>
  <sheets>
    <sheet name="Instructions" sheetId="1" r:id="rId1"/>
    <sheet name="Summary-Fundraise" sheetId="2" state="hidden" r:id="rId2"/>
    <sheet name="Buffer sheet" sheetId="14" state="hidden" r:id="rId3"/>
    <sheet name="RelMap+Summary" sheetId="7" state="hidden" r:id="rId4"/>
    <sheet name="Summary_FR" sheetId="17" r:id="rId5"/>
    <sheet name="Rearranage Contacts (2)" sheetId="13" r:id="rId6"/>
    <sheet name="Meetings_Interactions" sheetId="5" r:id="rId7"/>
    <sheet name="Tables" sheetId="6" r:id="rId8"/>
    <sheet name="New targets" sheetId="9" r:id="rId9"/>
    <sheet name="BBuffersheet" sheetId="18" r:id="rId10"/>
    <sheet name="Sheet1" sheetId="19" r:id="rId11"/>
    <sheet name="Userform visual" sheetId="20" r:id="rId12"/>
  </sheets>
  <externalReferences>
    <externalReference r:id="rId13"/>
  </externalReferences>
  <definedNames>
    <definedName name="_xlnm._FilterDatabase" localSheetId="6" hidden="1">Meetings_Interactions!$B$3:$M$52</definedName>
    <definedName name="_xlnm._FilterDatabase" localSheetId="5" hidden="1">'Rearranage Contacts (2)'!$A$3:$N$480</definedName>
    <definedName name="_xlnm._FilterDatabase" localSheetId="3" hidden="1">'RelMap+Summary'!$A$3:$P$3</definedName>
    <definedName name="_xlnm._FilterDatabase" localSheetId="4" hidden="1">Summary_FR!$A$3:$R$388</definedName>
    <definedName name="_xlnm._FilterDatabase" localSheetId="1" hidden="1">'Summary-Fundraise'!$A$2:$Q$75</definedName>
    <definedName name="_xlnm._FilterDatabase" localSheetId="7" hidden="1">Tables!$A$2:$G$25</definedName>
    <definedName name="Contact_Co">Summary_FR!$E$4:$E$157</definedName>
    <definedName name="Contactname" localSheetId="5">'Rearranage Contacts (2)'!$D$4:$D$37</definedName>
    <definedName name="Contactname">#REF!</definedName>
    <definedName name="Deal_Status">Tables!$Z$3:$Z$5</definedName>
    <definedName name="Engagement_Status">Tables!$N$3:$N$7</definedName>
    <definedName name="FR_Team">Tables!$AB$3:$AB$13</definedName>
    <definedName name="Geo">[1]Tables!$T$3:$T$19</definedName>
    <definedName name="Geography">Tables!$T$3:$T$11</definedName>
    <definedName name="Investor_Classification">Tables!$J$3:$J$20</definedName>
    <definedName name="Locat">[1]Tables!$V$3:$V$30</definedName>
    <definedName name="Location">Tables!$V$3:$V$26</definedName>
    <definedName name="Placement_Advisor">Tables!$P$3:$P$20</definedName>
    <definedName name="Potential_Investor" localSheetId="4">Summary_FR!$E$3:$E$156</definedName>
    <definedName name="Potential_Investor">'RelMap+Summary'!$C$3:$C$142</definedName>
    <definedName name="_xlnm.Print_Area" localSheetId="6">Meetings_Interactions!$B$1:$M$100</definedName>
    <definedName name="_xlnm.Print_Area" localSheetId="4">Summary_FR!$A$1:$P$388</definedName>
    <definedName name="_xlnm.Print_Area" localSheetId="1">'Summary-Fundraise'!$A$1:$O$75</definedName>
    <definedName name="_xlnm.Print_Titles" localSheetId="6">Meetings_Interactions!$3:$3</definedName>
    <definedName name="_xlnm.Print_Titles" localSheetId="4">Summary_FR!$3:$3</definedName>
    <definedName name="SubLoc">[1]Tables!$X$3:$X$40</definedName>
    <definedName name="SubLocation">Tables!$X$3:$X$26</definedName>
    <definedName name="Task_Classification">Tables!$R$3:$R$8</definedName>
    <definedName name="Team">Tables!$C$3:$C$33</definedName>
    <definedName name="Transaction">Tables!$L$3:$L$15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3" i="5" l="1"/>
  <c r="H38" i="5"/>
  <c r="G2" i="20"/>
  <c r="C3" i="13"/>
  <c r="B3" i="13"/>
  <c r="D3" i="19"/>
  <c r="A3" i="13"/>
  <c r="D260" i="17"/>
  <c r="D380" i="17"/>
  <c r="D381" i="17"/>
  <c r="D382" i="17"/>
  <c r="D383" i="17"/>
  <c r="D384" i="17"/>
  <c r="D385" i="17"/>
  <c r="D386" i="17"/>
  <c r="D387" i="17"/>
  <c r="D388" i="17"/>
  <c r="D318" i="17"/>
  <c r="B56" i="13"/>
  <c r="D8" i="5"/>
  <c r="D2" i="5"/>
  <c r="D1" i="5"/>
  <c r="C76" i="19"/>
  <c r="C75" i="19"/>
  <c r="C74" i="19"/>
  <c r="C73" i="19"/>
  <c r="C72" i="19"/>
  <c r="C62" i="19"/>
  <c r="C61" i="19"/>
  <c r="C60" i="19"/>
  <c r="C59" i="19"/>
  <c r="C58" i="19"/>
  <c r="C57" i="19"/>
  <c r="E56" i="19" s="1"/>
  <c r="C56" i="19"/>
  <c r="C55" i="19"/>
  <c r="D56" i="19"/>
  <c r="E2" i="17"/>
  <c r="A40" i="19"/>
  <c r="B40" i="19"/>
  <c r="C40" i="19"/>
  <c r="D40" i="19"/>
  <c r="E40" i="19"/>
  <c r="A41" i="19"/>
  <c r="B41" i="19"/>
  <c r="C41" i="19"/>
  <c r="D41" i="19"/>
  <c r="E41" i="19"/>
  <c r="A42" i="19"/>
  <c r="B42" i="19"/>
  <c r="C42" i="19"/>
  <c r="D42" i="19"/>
  <c r="E42" i="19"/>
  <c r="A43" i="19"/>
  <c r="B43" i="19"/>
  <c r="C43" i="19"/>
  <c r="D43" i="19"/>
  <c r="E43" i="19"/>
  <c r="A44" i="19"/>
  <c r="B44" i="19"/>
  <c r="C44" i="19"/>
  <c r="D44" i="19"/>
  <c r="E44" i="19"/>
  <c r="A45" i="19"/>
  <c r="B45" i="19"/>
  <c r="C45" i="19"/>
  <c r="D45" i="19"/>
  <c r="E45" i="19"/>
  <c r="A31" i="19"/>
  <c r="B31" i="19"/>
  <c r="C31" i="19"/>
  <c r="D31" i="19"/>
  <c r="E31" i="19"/>
  <c r="A32" i="19"/>
  <c r="B32" i="19"/>
  <c r="C32" i="19"/>
  <c r="D32" i="19"/>
  <c r="E32" i="19"/>
  <c r="A33" i="19"/>
  <c r="B33" i="19"/>
  <c r="C33" i="19"/>
  <c r="D33" i="19"/>
  <c r="E33" i="19"/>
  <c r="A34" i="19"/>
  <c r="B34" i="19"/>
  <c r="C34" i="19"/>
  <c r="D34" i="19"/>
  <c r="E34" i="19"/>
  <c r="A35" i="19"/>
  <c r="B35" i="19"/>
  <c r="C35" i="19"/>
  <c r="D35" i="19"/>
  <c r="E35" i="19"/>
  <c r="A36" i="19"/>
  <c r="B36" i="19"/>
  <c r="C36" i="19"/>
  <c r="D36" i="19"/>
  <c r="E36" i="19"/>
  <c r="A37" i="19"/>
  <c r="B37" i="19"/>
  <c r="C37" i="19"/>
  <c r="D37" i="19"/>
  <c r="E37" i="19"/>
  <c r="A38" i="19"/>
  <c r="B38" i="19"/>
  <c r="C38" i="19"/>
  <c r="D38" i="19"/>
  <c r="E38" i="19"/>
  <c r="A39" i="19"/>
  <c r="B39" i="19"/>
  <c r="C39" i="19"/>
  <c r="D39" i="19"/>
  <c r="E39" i="19"/>
  <c r="E30" i="19"/>
  <c r="D30" i="19"/>
  <c r="C30" i="19"/>
  <c r="B30" i="19"/>
  <c r="A30" i="19"/>
  <c r="E29" i="19"/>
  <c r="D29" i="19"/>
  <c r="C29" i="19"/>
  <c r="B29" i="19"/>
  <c r="A29" i="19"/>
  <c r="E28" i="19"/>
  <c r="D28" i="19"/>
  <c r="C28" i="19"/>
  <c r="B28" i="19"/>
  <c r="A28" i="19"/>
  <c r="E27" i="19"/>
  <c r="D27" i="19"/>
  <c r="C27" i="19"/>
  <c r="B27" i="19"/>
  <c r="A27" i="19"/>
  <c r="E26" i="19"/>
  <c r="D26" i="19"/>
  <c r="C26" i="19"/>
  <c r="B26" i="19"/>
  <c r="A26" i="19"/>
  <c r="E25" i="19"/>
  <c r="D25" i="19"/>
  <c r="C25" i="19"/>
  <c r="B25" i="19"/>
  <c r="A25" i="19"/>
  <c r="E24" i="19"/>
  <c r="D24" i="19"/>
  <c r="C24" i="19"/>
  <c r="B24" i="19"/>
  <c r="A24" i="19"/>
  <c r="E23" i="19"/>
  <c r="D23" i="19"/>
  <c r="C23" i="19"/>
  <c r="B23" i="19"/>
  <c r="A23" i="19"/>
  <c r="E22" i="19"/>
  <c r="D22" i="19"/>
  <c r="C22" i="19"/>
  <c r="B22" i="19"/>
  <c r="A22" i="19"/>
  <c r="E21" i="19"/>
  <c r="D21" i="19"/>
  <c r="C21" i="19"/>
  <c r="B21" i="19"/>
  <c r="A21" i="19"/>
  <c r="E20" i="19"/>
  <c r="D20" i="19"/>
  <c r="C20" i="19"/>
  <c r="B20" i="19"/>
  <c r="A20" i="19"/>
  <c r="E19" i="19"/>
  <c r="D19" i="19"/>
  <c r="C19" i="19"/>
  <c r="B19" i="19"/>
  <c r="A19" i="19"/>
  <c r="E18" i="19"/>
  <c r="D18" i="19"/>
  <c r="C18" i="19"/>
  <c r="B18" i="19"/>
  <c r="A18" i="19"/>
  <c r="E17" i="19"/>
  <c r="D17" i="19"/>
  <c r="C17" i="19"/>
  <c r="B17" i="19"/>
  <c r="A17" i="19"/>
  <c r="E16" i="19"/>
  <c r="D16" i="19"/>
  <c r="C16" i="19"/>
  <c r="B16" i="19"/>
  <c r="A16" i="19"/>
  <c r="E15" i="19"/>
  <c r="D15" i="19"/>
  <c r="C15" i="19"/>
  <c r="B15" i="19"/>
  <c r="A15" i="19"/>
  <c r="E14" i="19"/>
  <c r="D14" i="19"/>
  <c r="C14" i="19"/>
  <c r="B14" i="19"/>
  <c r="A14" i="19"/>
  <c r="E13" i="19"/>
  <c r="D13" i="19"/>
  <c r="C13" i="19"/>
  <c r="B13" i="19"/>
  <c r="A13" i="19"/>
  <c r="E12" i="19"/>
  <c r="D12" i="19"/>
  <c r="C12" i="19"/>
  <c r="B12" i="19"/>
  <c r="A12" i="19"/>
  <c r="E11" i="19"/>
  <c r="D11" i="19"/>
  <c r="C11" i="19"/>
  <c r="B11" i="19"/>
  <c r="A11"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B2" i="17"/>
  <c r="A204" i="17"/>
  <c r="A205" i="17"/>
  <c r="A206" i="17"/>
  <c r="A207" i="17"/>
  <c r="A208" i="17"/>
  <c r="A210" i="17"/>
  <c r="A211" i="17"/>
  <c r="A107" i="17"/>
  <c r="A212" i="17"/>
  <c r="A213" i="17"/>
  <c r="A214" i="17"/>
  <c r="A215" i="17"/>
  <c r="A216" i="17"/>
  <c r="A217" i="17"/>
  <c r="A218" i="17"/>
  <c r="A219" i="17"/>
  <c r="A220" i="17"/>
  <c r="A221" i="17"/>
  <c r="A222" i="17"/>
  <c r="A223" i="17"/>
  <c r="A224" i="17"/>
  <c r="A225" i="17"/>
  <c r="A226" i="17"/>
  <c r="A227" i="17"/>
  <c r="A228" i="17"/>
  <c r="A13" i="17"/>
  <c r="A74" i="17"/>
  <c r="A229" i="17"/>
  <c r="A112" i="17"/>
  <c r="A230" i="17"/>
  <c r="A231" i="17"/>
  <c r="A232" i="17"/>
  <c r="A233" i="17"/>
  <c r="A75" i="17"/>
  <c r="A234" i="17"/>
  <c r="A76" i="17"/>
  <c r="A235" i="17"/>
  <c r="A236" i="17"/>
  <c r="A237" i="17"/>
  <c r="A238" i="17"/>
  <c r="A239" i="17"/>
  <c r="A240" i="17"/>
  <c r="A241" i="17"/>
  <c r="A242" i="17"/>
  <c r="A243" i="17"/>
  <c r="A114" i="17"/>
  <c r="A244" i="17"/>
  <c r="A245" i="17"/>
  <c r="A246" i="17"/>
  <c r="A248" i="17"/>
  <c r="A249" i="17"/>
  <c r="A250" i="17"/>
  <c r="A251" i="17"/>
  <c r="A252" i="17"/>
  <c r="A253" i="17"/>
  <c r="A254" i="17"/>
  <c r="A77" i="17"/>
  <c r="A41" i="17"/>
  <c r="A255" i="17"/>
  <c r="A256" i="17"/>
  <c r="A257" i="17"/>
  <c r="A258" i="17"/>
  <c r="A259" i="17"/>
  <c r="A261" i="17"/>
  <c r="A262" i="17"/>
  <c r="A79" i="17"/>
  <c r="A263" i="17"/>
  <c r="A264" i="17"/>
  <c r="A117" i="17"/>
  <c r="A265" i="17"/>
  <c r="A266" i="17"/>
  <c r="A267" i="17"/>
  <c r="A268" i="17"/>
  <c r="A269" i="17"/>
  <c r="A270" i="17"/>
  <c r="A271" i="17"/>
  <c r="A272" i="17"/>
  <c r="A42" i="17"/>
  <c r="A273" i="17"/>
  <c r="A274" i="17"/>
  <c r="A275" i="17"/>
  <c r="A276" i="17"/>
  <c r="A277" i="17"/>
  <c r="A278" i="17"/>
  <c r="A118" i="17"/>
  <c r="A279" i="17"/>
  <c r="A280" i="17"/>
  <c r="A281" i="17"/>
  <c r="A282" i="17"/>
  <c r="A120" i="17"/>
  <c r="A283" i="17"/>
  <c r="A284" i="17"/>
  <c r="A286" i="17"/>
  <c r="A84" i="17"/>
  <c r="A287" i="17"/>
  <c r="A288" i="17"/>
  <c r="A289" i="17"/>
  <c r="A85" i="17"/>
  <c r="A290" i="17"/>
  <c r="A291" i="17"/>
  <c r="A292" i="17"/>
  <c r="A86" i="17"/>
  <c r="A293" i="17"/>
  <c r="A123" i="17"/>
  <c r="A294" i="17"/>
  <c r="A295" i="17"/>
  <c r="A296" i="17"/>
  <c r="A297" i="17"/>
  <c r="A298" i="17"/>
  <c r="A299" i="17"/>
  <c r="A300" i="17"/>
  <c r="A124" i="17"/>
  <c r="A301" i="17"/>
  <c r="A302" i="17"/>
  <c r="A303" i="17"/>
  <c r="A49" i="17"/>
  <c r="A304" i="17"/>
  <c r="A305" i="17"/>
  <c r="A306" i="17"/>
  <c r="A307" i="17"/>
  <c r="A308" i="17"/>
  <c r="A309" i="17"/>
  <c r="A310" i="17"/>
  <c r="A125" i="17"/>
  <c r="A311" i="17"/>
  <c r="A312" i="17"/>
  <c r="A313" i="17"/>
  <c r="A314" i="17"/>
  <c r="A315" i="17"/>
  <c r="A317" i="17"/>
  <c r="A319" i="17"/>
  <c r="A320" i="17"/>
  <c r="A321" i="17"/>
  <c r="A322" i="17"/>
  <c r="A323" i="17"/>
  <c r="A128" i="17"/>
  <c r="A129" i="17"/>
  <c r="A53" i="17"/>
  <c r="A324" i="17"/>
  <c r="A325" i="17"/>
  <c r="A326" i="17"/>
  <c r="A327" i="17"/>
  <c r="A328" i="17"/>
  <c r="A329" i="17"/>
  <c r="A330" i="17"/>
  <c r="A331" i="17"/>
  <c r="A91" i="17"/>
  <c r="A332" i="17"/>
  <c r="A92" i="17"/>
  <c r="A333" i="17"/>
  <c r="A334" i="17"/>
  <c r="A335" i="17"/>
  <c r="A336" i="17"/>
  <c r="A337" i="17"/>
  <c r="A338" i="17"/>
  <c r="A339" i="17"/>
  <c r="A340" i="17"/>
  <c r="A341" i="17"/>
  <c r="A57" i="17"/>
  <c r="A342" i="17"/>
  <c r="A343" i="17"/>
  <c r="A344" i="17"/>
  <c r="A345" i="17"/>
  <c r="A346" i="17"/>
  <c r="A347" i="17"/>
  <c r="A348" i="17"/>
  <c r="A349" i="17"/>
  <c r="A350" i="17"/>
  <c r="A351" i="17"/>
  <c r="A353" i="17"/>
  <c r="A354" i="17"/>
  <c r="A135" i="17"/>
  <c r="A62" i="17"/>
  <c r="A356" i="17"/>
  <c r="A357" i="17"/>
  <c r="A358" i="17"/>
  <c r="A359" i="17"/>
  <c r="A361" i="17"/>
  <c r="A362" i="17"/>
  <c r="A138" i="17"/>
  <c r="A363" i="17"/>
  <c r="A364" i="17"/>
  <c r="A365" i="17"/>
  <c r="A139" i="17"/>
  <c r="A140" i="17"/>
  <c r="A366" i="17"/>
  <c r="A367" i="17"/>
  <c r="A368" i="17"/>
  <c r="A369" i="17"/>
  <c r="A370" i="17"/>
  <c r="A371" i="17"/>
  <c r="A10" i="17"/>
  <c r="A143" i="17"/>
  <c r="A372" i="17"/>
  <c r="A373" i="17"/>
  <c r="A374" i="17"/>
  <c r="A375" i="17"/>
  <c r="A145" i="17"/>
  <c r="A376" i="17"/>
  <c r="A377" i="17"/>
  <c r="A378" i="17"/>
  <c r="A68" i="17"/>
  <c r="A96" i="17"/>
  <c r="A379" i="17"/>
  <c r="A22" i="17"/>
  <c r="A94" i="17"/>
  <c r="A51" i="17"/>
  <c r="A78" i="17"/>
  <c r="A9" i="17"/>
  <c r="A8" i="17"/>
  <c r="A6" i="17"/>
  <c r="A40" i="17"/>
  <c r="A14" i="17"/>
  <c r="A60" i="17"/>
  <c r="A108" i="17"/>
  <c r="A318" i="17"/>
  <c r="A260" i="17"/>
  <c r="A380" i="17"/>
  <c r="A381" i="17"/>
  <c r="A382" i="17"/>
  <c r="A383" i="17"/>
  <c r="A384" i="17"/>
  <c r="A385" i="17"/>
  <c r="A386" i="17"/>
  <c r="A387" i="17"/>
  <c r="A388" i="17"/>
  <c r="E57" i="19"/>
  <c r="F587" i="18"/>
  <c r="G436" i="18"/>
  <c r="O3" i="1"/>
  <c r="O4" i="1"/>
  <c r="O5" i="1"/>
  <c r="O6" i="1"/>
  <c r="O7" i="1"/>
  <c r="O8" i="1"/>
  <c r="O9" i="1"/>
  <c r="O10" i="1"/>
  <c r="O11" i="1"/>
  <c r="O12" i="1"/>
  <c r="O2" i="1"/>
  <c r="A83" i="17"/>
  <c r="A48" i="17"/>
  <c r="A106" i="17"/>
  <c r="A137" i="17"/>
  <c r="A39" i="17"/>
  <c r="A37" i="17"/>
  <c r="A192" i="17"/>
  <c r="A95" i="17"/>
  <c r="A64" i="17"/>
  <c r="A355" i="17"/>
  <c r="A352" i="17"/>
  <c r="A56" i="17"/>
  <c r="A133" i="17"/>
  <c r="A132" i="17"/>
  <c r="A127" i="17"/>
  <c r="A126" i="17"/>
  <c r="A50" i="17"/>
  <c r="A316" i="17"/>
  <c r="A89" i="17"/>
  <c r="A88" i="17"/>
  <c r="A119" i="17"/>
  <c r="A116" i="17"/>
  <c r="A157" i="17"/>
  <c r="A156" i="17"/>
  <c r="A155" i="17"/>
  <c r="A154" i="17"/>
  <c r="A100" i="17"/>
  <c r="A153" i="17"/>
  <c r="A152" i="17"/>
  <c r="A151" i="17"/>
  <c r="A31" i="17"/>
  <c r="A11" i="17"/>
  <c r="A150" i="17"/>
  <c r="A149" i="17"/>
  <c r="A148" i="17"/>
  <c r="A69" i="17"/>
  <c r="A98" i="17"/>
  <c r="A147" i="17"/>
  <c r="A146" i="17"/>
  <c r="A21" i="17"/>
  <c r="A93" i="17"/>
  <c r="A52" i="17"/>
  <c r="A28" i="17"/>
  <c r="A144" i="17"/>
  <c r="A130" i="17"/>
  <c r="A32" i="17"/>
  <c r="A82" i="17"/>
  <c r="A115" i="17"/>
  <c r="A73" i="17"/>
  <c r="A70" i="17"/>
  <c r="A63" i="17"/>
  <c r="A61" i="17"/>
  <c r="A47" i="17"/>
  <c r="A81" i="17"/>
  <c r="A12" i="17"/>
  <c r="A34" i="17"/>
  <c r="A67" i="17"/>
  <c r="A66" i="17"/>
  <c r="A87" i="17"/>
  <c r="A80" i="17"/>
  <c r="A36" i="17"/>
  <c r="A43" i="17"/>
  <c r="A26" i="17"/>
  <c r="A19" i="17"/>
  <c r="A23" i="17"/>
  <c r="A30" i="17"/>
  <c r="A29" i="17"/>
  <c r="A27" i="17"/>
  <c r="A5" i="17"/>
  <c r="A162" i="13"/>
  <c r="A161" i="13"/>
  <c r="A160" i="13"/>
  <c r="A159" i="13"/>
  <c r="A158" i="13"/>
  <c r="A157" i="13"/>
  <c r="A156" i="13"/>
  <c r="A155" i="13"/>
  <c r="A154" i="13"/>
  <c r="A153" i="13"/>
  <c r="A152" i="13"/>
  <c r="A151" i="13"/>
  <c r="A150" i="13"/>
  <c r="A149" i="13"/>
  <c r="A148" i="13"/>
  <c r="A147" i="13"/>
  <c r="A146" i="13"/>
  <c r="A145" i="13"/>
  <c r="A144" i="13"/>
  <c r="A143" i="13"/>
  <c r="A142" i="13"/>
  <c r="A141" i="13"/>
  <c r="A140" i="13"/>
  <c r="A139" i="13"/>
  <c r="A138" i="13"/>
  <c r="A137" i="13"/>
  <c r="A136" i="13"/>
  <c r="A135" i="13"/>
  <c r="A134" i="13"/>
  <c r="A133" i="13"/>
  <c r="A132" i="13"/>
  <c r="A131" i="13"/>
  <c r="A130" i="13"/>
  <c r="A129" i="13"/>
  <c r="A128" i="13"/>
  <c r="A127" i="13"/>
  <c r="O99" i="17"/>
  <c r="A99" i="17" s="1"/>
  <c r="O101" i="17"/>
  <c r="A101" i="17" s="1"/>
  <c r="O159" i="17"/>
  <c r="A159" i="17" s="1"/>
  <c r="O103" i="17"/>
  <c r="A103" i="17" s="1"/>
  <c r="O105" i="17"/>
  <c r="A105" i="17" s="1"/>
  <c r="O35" i="17"/>
  <c r="A35" i="17" s="1"/>
  <c r="O209" i="17"/>
  <c r="A209" i="17" s="1"/>
  <c r="O71" i="17"/>
  <c r="A71" i="17" s="1"/>
  <c r="O72" i="17"/>
  <c r="A72" i="17" s="1"/>
  <c r="O109" i="17"/>
  <c r="A109" i="17" s="1"/>
  <c r="O110" i="17"/>
  <c r="A110" i="17" s="1"/>
  <c r="O111" i="17"/>
  <c r="A111" i="17" s="1"/>
  <c r="O113" i="17"/>
  <c r="A113" i="17" s="1"/>
  <c r="A7" i="17"/>
  <c r="O38" i="17"/>
  <c r="A38" i="17" s="1"/>
  <c r="O247" i="17"/>
  <c r="A247" i="17" s="1"/>
  <c r="O15" i="17"/>
  <c r="A15" i="17" s="1"/>
  <c r="O16" i="17"/>
  <c r="A16" i="17"/>
  <c r="O17" i="17"/>
  <c r="A17" i="17" s="1"/>
  <c r="O44" i="17"/>
  <c r="A44" i="17"/>
  <c r="O18" i="17"/>
  <c r="A18" i="17" s="1"/>
  <c r="O4" i="17"/>
  <c r="A4" i="17"/>
  <c r="T40" i="17"/>
  <c r="U40" i="17"/>
  <c r="V40" i="17"/>
  <c r="O45" i="17"/>
  <c r="A45" i="17" s="1"/>
  <c r="O285" i="17"/>
  <c r="A285" i="17" s="1"/>
  <c r="O20" i="17"/>
  <c r="A20" i="17" s="1"/>
  <c r="O121" i="17"/>
  <c r="A121" i="17" s="1"/>
  <c r="O46" i="17"/>
  <c r="A46" i="17" s="1"/>
  <c r="O122" i="17"/>
  <c r="A122" i="17" s="1"/>
  <c r="O24" i="17"/>
  <c r="A24" i="17" s="1"/>
  <c r="O25" i="17"/>
  <c r="A25" i="17" s="1"/>
  <c r="O90" i="17"/>
  <c r="A90" i="17" s="1"/>
  <c r="O131" i="17"/>
  <c r="A131" i="17" s="1"/>
  <c r="O54" i="17"/>
  <c r="A54" i="17" s="1"/>
  <c r="O55" i="17"/>
  <c r="A55" i="17" s="1"/>
  <c r="O58" i="17"/>
  <c r="A58" i="17" s="1"/>
  <c r="O59" i="17"/>
  <c r="A59" i="17" s="1"/>
  <c r="O134" i="17"/>
  <c r="A134" i="17"/>
  <c r="O136" i="17"/>
  <c r="A136" i="17" s="1"/>
  <c r="O65" i="17"/>
  <c r="A65" i="17" s="1"/>
  <c r="O360" i="17"/>
  <c r="A360" i="17" s="1"/>
  <c r="O141" i="17"/>
  <c r="A141" i="17" s="1"/>
  <c r="O142" i="17"/>
  <c r="A142" i="17" s="1"/>
  <c r="O97" i="17"/>
  <c r="A97" i="17" s="1"/>
  <c r="A102" i="17"/>
  <c r="A158" i="17"/>
  <c r="A33" i="17"/>
  <c r="A160" i="17"/>
  <c r="A161" i="17"/>
  <c r="A162" i="17"/>
  <c r="A163" i="17"/>
  <c r="A164" i="17"/>
  <c r="A165" i="17"/>
  <c r="A166" i="17"/>
  <c r="A104"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3" i="17"/>
  <c r="A194" i="17"/>
  <c r="A195" i="17"/>
  <c r="A196" i="17"/>
  <c r="A197" i="17"/>
  <c r="A198" i="17"/>
  <c r="A199" i="17"/>
  <c r="A200" i="17"/>
  <c r="A201" i="17"/>
  <c r="A202" i="17"/>
  <c r="A203" i="17"/>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B7" i="6"/>
  <c r="AB6" i="6"/>
  <c r="AB5" i="6"/>
  <c r="AB4" i="6"/>
  <c r="AB3" i="6"/>
  <c r="D3" i="2"/>
  <c r="C2" i="2"/>
  <c r="Q3" i="2"/>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2" i="2"/>
  <c r="A3" i="7"/>
  <c r="D75" i="2"/>
  <c r="D74" i="2"/>
  <c r="D73" i="2"/>
  <c r="D72" i="2"/>
  <c r="D71" i="2"/>
  <c r="D70" i="2"/>
  <c r="D69" i="2"/>
  <c r="D68" i="2"/>
  <c r="D67" i="2"/>
  <c r="D66" i="2"/>
  <c r="D65" i="2"/>
  <c r="D64" i="2"/>
  <c r="D63" i="2"/>
  <c r="D62" i="2"/>
  <c r="D61" i="2"/>
  <c r="D60" i="2"/>
  <c r="D59" i="2"/>
  <c r="D58" i="2"/>
  <c r="D57" i="2"/>
  <c r="D56" i="2"/>
  <c r="D55" i="2"/>
  <c r="D54" i="2"/>
  <c r="D53" i="2"/>
  <c r="D52" i="2"/>
  <c r="C75" i="2"/>
  <c r="C74" i="2"/>
  <c r="C73" i="2"/>
  <c r="C72" i="2"/>
  <c r="C71" i="2"/>
  <c r="C70" i="2"/>
  <c r="C69" i="2"/>
  <c r="C68" i="2"/>
  <c r="C67" i="2"/>
  <c r="C66" i="2"/>
  <c r="C65" i="2"/>
  <c r="C64" i="2"/>
  <c r="C63" i="2"/>
  <c r="C62" i="2"/>
  <c r="C61" i="2"/>
  <c r="C60" i="2"/>
  <c r="C59" i="2"/>
  <c r="C58" i="2"/>
  <c r="C57" i="2"/>
  <c r="C56" i="2"/>
  <c r="C55" i="2"/>
  <c r="C54" i="2"/>
  <c r="C53" i="2"/>
  <c r="C52" i="2"/>
  <c r="C28" i="2"/>
  <c r="D2" i="2"/>
  <c r="D48" i="2"/>
  <c r="Q14"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25" i="2"/>
  <c r="Q47" i="2"/>
  <c r="Q46" i="2"/>
  <c r="Q23" i="2"/>
  <c r="Q7" i="2"/>
  <c r="Q6" i="2"/>
  <c r="Q45" i="2"/>
  <c r="Q10" i="2"/>
  <c r="Q9" i="2"/>
  <c r="Q8" i="2"/>
  <c r="Q15" i="2"/>
  <c r="Q4" i="2"/>
  <c r="Q44" i="2"/>
  <c r="Q43" i="2"/>
  <c r="Q42" i="2"/>
  <c r="Q41" i="2"/>
  <c r="Q40" i="2"/>
  <c r="Q39" i="2"/>
  <c r="Q38" i="2"/>
  <c r="Q37" i="2"/>
  <c r="Q36" i="2"/>
  <c r="Q35" i="2"/>
  <c r="Q34" i="2"/>
  <c r="Q24" i="2"/>
  <c r="Q33" i="2"/>
  <c r="Q32" i="2"/>
  <c r="Q31" i="2"/>
  <c r="Q30" i="2"/>
  <c r="Q29" i="2"/>
  <c r="Q28" i="2"/>
  <c r="Q22" i="2"/>
  <c r="Q27" i="2"/>
  <c r="Q26" i="2"/>
  <c r="Q21" i="2"/>
  <c r="Q20" i="2"/>
  <c r="Q19" i="2"/>
  <c r="Q11" i="2"/>
  <c r="Q18" i="2"/>
  <c r="Q17" i="2"/>
  <c r="Q16" i="2"/>
  <c r="Q13" i="2"/>
  <c r="Q12" i="2"/>
  <c r="Q5" i="2"/>
  <c r="E41" i="5"/>
  <c r="E84" i="5"/>
  <c r="E62" i="5"/>
  <c r="A54" i="7"/>
  <c r="A50" i="7"/>
  <c r="C30" i="2"/>
  <c r="C19" i="2"/>
  <c r="C24" i="2"/>
  <c r="D8" i="2"/>
  <c r="D38" i="2"/>
  <c r="D7" i="2"/>
  <c r="D4" i="2"/>
  <c r="D20" i="2"/>
  <c r="D42" i="2"/>
  <c r="D6" i="2"/>
  <c r="D34" i="2"/>
  <c r="D25" i="2"/>
  <c r="D11" i="2"/>
  <c r="D18" i="2"/>
  <c r="D26" i="2"/>
  <c r="D21" i="2"/>
  <c r="D30" i="2"/>
  <c r="D13" i="2"/>
  <c r="D43" i="2"/>
  <c r="D27" i="2"/>
  <c r="D37" i="2"/>
  <c r="D5" i="2"/>
  <c r="D31" i="2"/>
  <c r="D45" i="2"/>
  <c r="D17" i="2"/>
  <c r="D32" i="2"/>
  <c r="D35" i="2"/>
  <c r="D19" i="2"/>
  <c r="D22" i="2"/>
  <c r="D15" i="2"/>
  <c r="D44" i="2"/>
  <c r="D28" i="2"/>
  <c r="D9" i="2"/>
  <c r="D24" i="2"/>
  <c r="D46" i="2"/>
  <c r="D16" i="2"/>
  <c r="D36" i="2"/>
  <c r="D14" i="2"/>
  <c r="D41" i="2"/>
  <c r="D12" i="2"/>
  <c r="D47" i="2"/>
  <c r="D29" i="2"/>
  <c r="D10" i="2"/>
  <c r="D40" i="2"/>
  <c r="D33" i="2"/>
  <c r="D23" i="2"/>
  <c r="C22" i="2"/>
  <c r="C29" i="2"/>
  <c r="A27" i="7"/>
  <c r="A34" i="7"/>
  <c r="A14" i="7"/>
  <c r="A22" i="7"/>
  <c r="A5" i="7"/>
  <c r="C16" i="2"/>
  <c r="C9" i="2"/>
  <c r="C21" i="2"/>
  <c r="A30" i="7"/>
  <c r="A18" i="7"/>
  <c r="A43" i="7"/>
  <c r="A37" i="7"/>
  <c r="A12" i="7"/>
  <c r="A4" i="7"/>
  <c r="C38" i="2"/>
  <c r="C45" i="2"/>
  <c r="C11" i="2"/>
  <c r="C43" i="2"/>
  <c r="C18" i="2"/>
  <c r="C46" i="2"/>
  <c r="A38" i="7"/>
  <c r="A6" i="7"/>
  <c r="A13" i="7"/>
  <c r="A40" i="7"/>
  <c r="A33" i="7"/>
  <c r="D49" i="2"/>
  <c r="A48" i="7"/>
  <c r="A44" i="7"/>
  <c r="A11" i="7"/>
  <c r="A25" i="7"/>
  <c r="C3" i="2"/>
  <c r="C4" i="2"/>
  <c r="A31" i="7"/>
  <c r="A19" i="7"/>
  <c r="A42" i="7"/>
  <c r="C51" i="2"/>
  <c r="C33" i="2"/>
  <c r="C13" i="2"/>
  <c r="C37" i="2"/>
  <c r="C34" i="2"/>
  <c r="C35" i="2"/>
  <c r="C25" i="2"/>
  <c r="A41" i="7"/>
  <c r="A26" i="7"/>
  <c r="A7" i="7"/>
  <c r="A35" i="7"/>
  <c r="A21" i="7"/>
  <c r="D50" i="2"/>
  <c r="A8" i="7"/>
  <c r="A23" i="7"/>
  <c r="C5" i="2"/>
  <c r="C32" i="2"/>
  <c r="C12" i="2"/>
  <c r="C44" i="2"/>
  <c r="C10" i="2"/>
  <c r="A20" i="7"/>
  <c r="A39" i="7"/>
  <c r="A9" i="7"/>
  <c r="A16" i="7"/>
  <c r="A24" i="7"/>
  <c r="A46" i="7"/>
  <c r="D39" i="2"/>
  <c r="C17" i="2"/>
  <c r="C39" i="2"/>
  <c r="C20" i="2"/>
  <c r="C14" i="2"/>
  <c r="C8" i="2"/>
  <c r="C23" i="2"/>
  <c r="C7" i="2"/>
  <c r="A28" i="7"/>
  <c r="A15" i="7"/>
  <c r="A45" i="7"/>
  <c r="C31" i="2"/>
  <c r="C15" i="2"/>
  <c r="C27" i="2"/>
  <c r="C36" i="2"/>
  <c r="C42" i="2"/>
  <c r="C26" i="2"/>
  <c r="C47" i="2"/>
  <c r="C41" i="2"/>
  <c r="A29" i="7"/>
  <c r="A10" i="7"/>
  <c r="A17" i="7"/>
  <c r="A47" i="7"/>
  <c r="A32" i="7"/>
  <c r="A36" i="7"/>
  <c r="C6" i="2"/>
  <c r="D51" i="2"/>
  <c r="C48" i="2"/>
  <c r="C49" i="2"/>
  <c r="C50" i="2"/>
  <c r="A49" i="7"/>
  <c r="A51" i="7"/>
  <c r="C40" i="2"/>
  <c r="A52" i="7"/>
  <c r="A53" i="7"/>
  <c r="E39" i="5"/>
  <c r="B126" i="13"/>
  <c r="B94" i="13"/>
  <c r="B62" i="13"/>
  <c r="B30" i="13"/>
  <c r="A101" i="13"/>
  <c r="B36" i="13"/>
  <c r="B103" i="13"/>
  <c r="A110" i="13"/>
  <c r="A78" i="13"/>
  <c r="A46" i="13"/>
  <c r="A14" i="13"/>
  <c r="A9" i="13"/>
  <c r="A40" i="13"/>
  <c r="B95" i="13"/>
  <c r="B113" i="13"/>
  <c r="B81" i="13"/>
  <c r="B49" i="13"/>
  <c r="B17" i="13"/>
  <c r="A73" i="13"/>
  <c r="B120" i="13"/>
  <c r="B88" i="13"/>
  <c r="B122" i="13"/>
  <c r="B90" i="13"/>
  <c r="B58" i="13"/>
  <c r="B26" i="13"/>
  <c r="A89" i="13"/>
  <c r="B24" i="13"/>
  <c r="B47" i="13"/>
  <c r="A106" i="13"/>
  <c r="A74" i="13"/>
  <c r="A42" i="13"/>
  <c r="A10" i="13"/>
  <c r="B48" i="13"/>
  <c r="A36" i="13"/>
  <c r="B87" i="13"/>
  <c r="B109" i="13"/>
  <c r="B77" i="13"/>
  <c r="B45" i="13"/>
  <c r="B13" i="13"/>
  <c r="A57" i="13"/>
  <c r="B116" i="13"/>
  <c r="B84" i="13"/>
  <c r="B111" i="13"/>
  <c r="A124" i="13"/>
  <c r="A92" i="13"/>
  <c r="A60" i="13"/>
  <c r="B27" i="13"/>
  <c r="A107" i="13"/>
  <c r="A75" i="13"/>
  <c r="A43" i="13"/>
  <c r="A11" i="13"/>
  <c r="A37" i="13"/>
  <c r="B118" i="13"/>
  <c r="B86" i="13"/>
  <c r="B54" i="13"/>
  <c r="B22" i="13"/>
  <c r="A77" i="13"/>
  <c r="A52" i="13"/>
  <c r="B31" i="13"/>
  <c r="A102" i="13"/>
  <c r="A70" i="13"/>
  <c r="A38" i="13"/>
  <c r="A6" i="13"/>
  <c r="B32" i="13"/>
  <c r="A28" i="13"/>
  <c r="B71" i="13"/>
  <c r="B105" i="13"/>
  <c r="B73" i="13"/>
  <c r="B41" i="13"/>
  <c r="B9" i="13"/>
  <c r="A41" i="13"/>
  <c r="B112" i="13"/>
  <c r="B80" i="13"/>
  <c r="B91" i="13"/>
  <c r="A120" i="13"/>
  <c r="A88" i="13"/>
  <c r="A56" i="13"/>
  <c r="B15" i="13"/>
  <c r="A103" i="13"/>
  <c r="A71" i="13"/>
  <c r="A39" i="13"/>
  <c r="A7" i="13"/>
  <c r="B52" i="13"/>
  <c r="B92" i="13"/>
  <c r="A83" i="13"/>
  <c r="A61" i="13"/>
  <c r="A111" i="13"/>
  <c r="A79" i="13"/>
  <c r="A45" i="13"/>
  <c r="B114" i="13"/>
  <c r="B82" i="13"/>
  <c r="B50" i="13"/>
  <c r="B18" i="13"/>
  <c r="A53" i="13"/>
  <c r="A32" i="13"/>
  <c r="B19" i="13"/>
  <c r="A98" i="13"/>
  <c r="A66" i="13"/>
  <c r="A34" i="13"/>
  <c r="A117" i="13"/>
  <c r="B28" i="13"/>
  <c r="A20" i="13"/>
  <c r="B23" i="13"/>
  <c r="B101" i="13"/>
  <c r="B69" i="13"/>
  <c r="B37" i="13"/>
  <c r="B5" i="13"/>
  <c r="A25" i="13"/>
  <c r="B108" i="13"/>
  <c r="B76" i="13"/>
  <c r="B83" i="13"/>
  <c r="A116" i="13"/>
  <c r="A84" i="13"/>
  <c r="B99" i="13"/>
  <c r="B11" i="13"/>
  <c r="A99" i="13"/>
  <c r="A67" i="13"/>
  <c r="A35" i="13"/>
  <c r="A121" i="13"/>
  <c r="B20" i="13"/>
  <c r="B60" i="13"/>
  <c r="A64" i="13"/>
  <c r="B110" i="13"/>
  <c r="B78" i="13"/>
  <c r="B46" i="13"/>
  <c r="B14" i="13"/>
  <c r="A33" i="13"/>
  <c r="A24" i="13"/>
  <c r="A126" i="13"/>
  <c r="A94" i="13"/>
  <c r="A62" i="13"/>
  <c r="A30" i="13"/>
  <c r="A65" i="13"/>
  <c r="B16" i="13"/>
  <c r="A12" i="13"/>
  <c r="B7" i="13"/>
  <c r="B97" i="13"/>
  <c r="B65" i="13"/>
  <c r="B33" i="13"/>
  <c r="A113" i="13"/>
  <c r="A13" i="13"/>
  <c r="B104" i="13"/>
  <c r="B72" i="13"/>
  <c r="B79" i="13"/>
  <c r="A112" i="13"/>
  <c r="A80" i="13"/>
  <c r="B75" i="13"/>
  <c r="B123" i="13"/>
  <c r="A95" i="13"/>
  <c r="A63" i="13"/>
  <c r="A31" i="13"/>
  <c r="A93" i="13"/>
  <c r="B8" i="13"/>
  <c r="A18" i="13"/>
  <c r="B85" i="13"/>
  <c r="A85" i="13"/>
  <c r="B51" i="13"/>
  <c r="A68" i="13"/>
  <c r="A115" i="13"/>
  <c r="A19" i="13"/>
  <c r="A96" i="13"/>
  <c r="A47" i="13"/>
  <c r="B106" i="13"/>
  <c r="B74" i="13"/>
  <c r="B42" i="13"/>
  <c r="B10" i="13"/>
  <c r="A17" i="13"/>
  <c r="A16" i="13"/>
  <c r="A122" i="13"/>
  <c r="A90" i="13"/>
  <c r="A58" i="13"/>
  <c r="A26" i="13"/>
  <c r="A49" i="13"/>
  <c r="B12" i="13"/>
  <c r="A4" i="13"/>
  <c r="B125" i="13"/>
  <c r="B93" i="13"/>
  <c r="B61" i="13"/>
  <c r="B29" i="13"/>
  <c r="A105" i="13"/>
  <c r="B44" i="13"/>
  <c r="B100" i="13"/>
  <c r="B68" i="13"/>
  <c r="B67" i="13"/>
  <c r="A108" i="13"/>
  <c r="A76" i="13"/>
  <c r="B63" i="13"/>
  <c r="A123" i="13"/>
  <c r="A91" i="13"/>
  <c r="A59" i="13"/>
  <c r="A27" i="13"/>
  <c r="A81" i="13"/>
  <c r="A44" i="13"/>
  <c r="A72" i="13"/>
  <c r="A119" i="13"/>
  <c r="A87" i="13"/>
  <c r="A55" i="13"/>
  <c r="A23" i="13"/>
  <c r="A69" i="13"/>
  <c r="B98" i="13"/>
  <c r="B34" i="13"/>
  <c r="A109" i="13"/>
  <c r="B115" i="13"/>
  <c r="A82" i="13"/>
  <c r="A21" i="13"/>
  <c r="A48" i="13"/>
  <c r="B107" i="13"/>
  <c r="B53" i="13"/>
  <c r="B21" i="13"/>
  <c r="B124" i="13"/>
  <c r="A100" i="13"/>
  <c r="B43" i="13"/>
  <c r="A51" i="13"/>
  <c r="B39" i="13"/>
  <c r="A15" i="13"/>
  <c r="B102" i="13"/>
  <c r="B70" i="13"/>
  <c r="B38" i="13"/>
  <c r="B6" i="13"/>
  <c r="A5" i="13"/>
  <c r="A8" i="13"/>
  <c r="A118" i="13"/>
  <c r="A86" i="13"/>
  <c r="A54" i="13"/>
  <c r="A22" i="13"/>
  <c r="A29" i="13"/>
  <c r="B4" i="13"/>
  <c r="B119" i="13"/>
  <c r="B121" i="13"/>
  <c r="B89" i="13"/>
  <c r="B57" i="13"/>
  <c r="B25" i="13"/>
  <c r="A97" i="13"/>
  <c r="A125" i="13"/>
  <c r="B96" i="13"/>
  <c r="B64" i="13"/>
  <c r="B59" i="13"/>
  <c r="A104" i="13"/>
  <c r="B55" i="13"/>
  <c r="B66" i="13"/>
  <c r="B40" i="13"/>
  <c r="A114" i="13"/>
  <c r="A50" i="13"/>
  <c r="B117" i="13"/>
  <c r="B35" i="13"/>
  <c r="E38" i="5"/>
  <c r="E49" i="5"/>
  <c r="E46" i="5"/>
  <c r="E73" i="5"/>
  <c r="E54" i="5"/>
  <c r="E51" i="5"/>
  <c r="E59" i="5"/>
  <c r="E52" i="5"/>
  <c r="E99" i="5"/>
  <c r="E89" i="5"/>
  <c r="E100" i="5"/>
  <c r="E70" i="5"/>
  <c r="E63" i="5"/>
  <c r="E42" i="5"/>
  <c r="E61" i="5"/>
  <c r="E55" i="5"/>
  <c r="E87" i="5"/>
  <c r="E60" i="5"/>
  <c r="E86" i="5"/>
  <c r="E95" i="5"/>
  <c r="E82" i="5"/>
  <c r="E85" i="5"/>
  <c r="E44" i="5"/>
  <c r="E78" i="5"/>
  <c r="E66" i="5"/>
  <c r="E69" i="5"/>
  <c r="E76" i="5"/>
  <c r="E94" i="5"/>
  <c r="E96" i="5"/>
  <c r="E90" i="5"/>
  <c r="E71" i="5"/>
  <c r="E65" i="5"/>
  <c r="E74" i="5"/>
  <c r="E75" i="5"/>
  <c r="E77" i="5"/>
  <c r="E97" i="5"/>
  <c r="E56" i="5"/>
  <c r="E35" i="5"/>
  <c r="E48" i="5"/>
  <c r="E36" i="5"/>
  <c r="E68" i="5"/>
  <c r="E47" i="5"/>
  <c r="E72" i="5"/>
  <c r="E64" i="5"/>
  <c r="E43" i="5"/>
  <c r="E37" i="5"/>
  <c r="E50" i="5"/>
  <c r="E80" i="5"/>
  <c r="E83" i="5"/>
  <c r="E45" i="5"/>
  <c r="E81" i="5"/>
  <c r="E58" i="5"/>
  <c r="F3" i="5"/>
  <c r="F44" i="5"/>
  <c r="E91" i="5"/>
  <c r="E53" i="5"/>
  <c r="E79" i="5"/>
  <c r="E57" i="5"/>
  <c r="E88" i="5"/>
  <c r="E98" i="5"/>
  <c r="E67" i="5"/>
  <c r="E92" i="5"/>
  <c r="E93" i="5"/>
  <c r="F36" i="5"/>
  <c r="F46" i="5"/>
  <c r="F38" i="5"/>
  <c r="F51" i="5"/>
  <c r="F48" i="5"/>
  <c r="F35" i="5"/>
  <c r="F39" i="5"/>
  <c r="F49" i="5"/>
  <c r="F47" i="5"/>
  <c r="F42" i="5"/>
  <c r="F45" i="5"/>
  <c r="F50" i="5"/>
  <c r="F40" i="5"/>
  <c r="F43" i="5"/>
  <c r="F37" i="5"/>
  <c r="F41" i="5"/>
  <c r="E55" i="19" l="1"/>
  <c r="D1" i="17"/>
  <c r="A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tc={66D9D9A8-C622-4A52-8876-C04B18A75D2F}</author>
  </authors>
  <commentList>
    <comment ref="B3" authorId="0" shapeId="0" xr:uid="{66D9D9A8-C622-4A52-8876-C04B18A75D2F}">
      <text>
        <t>[Threaded comment]
Your version of Excel allows you to read this threaded comment; however, any edits to it will get removed if the file is opened in a newer version of Excel. Learn more: https://go.microsoft.com/fwlink/?linkid=870924
Comment:
    First Physical meeting with the TNIFMC Team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tc={F366859C-B015-4955-B61E-1E49B5B9498F}</author>
  </authors>
  <commentList>
    <comment ref="C3" authorId="0" shapeId="0" xr:uid="{F366859C-B015-4955-B61E-1E49B5B9498F}">
      <text>
        <t>[Threaded comment]
Your version of Excel allows you to read this threaded comment; however, any edits to it will get removed if the file is opened in a newer version of Excel. Learn more: https://go.microsoft.com/fwlink/?linkid=870924
Comment:
    First Physical meeting or communication with the TNIFMC Team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tc={C6ADFB93-686A-4A23-B77D-457928186FDB}</author>
  </authors>
  <commentList>
    <comment ref="E3" authorId="0" shapeId="0" xr:uid="{C6ADFB93-686A-4A23-B77D-457928186FDB}">
      <text>
        <t xml:space="preserve">[Threaded comment]
Your version of Excel allows you to read this threaded comment; however, any edits to it will get removed if the file is opened in a newer version of Excel. Learn more: https://go.microsoft.com/fwlink/?linkid=870924
Comment:
    Automated this column, No need to fill this </t>
      </text>
    </comment>
  </commentList>
</comments>
</file>

<file path=xl/sharedStrings.xml><?xml version="1.0" encoding="utf-8"?>
<sst xmlns="http://schemas.openxmlformats.org/spreadsheetml/2006/main" count="8687" uniqueCount="3560">
  <si>
    <t>Please update the contacts list first</t>
  </si>
  <si>
    <t>Then update the Relation Mapping sheet . Please use the dropdowns where required</t>
  </si>
  <si>
    <t>PSU Banks / PFIs</t>
  </si>
  <si>
    <t>Then update the Meetings_Interactions sheet of any and all meetings/calls/interactions with each of the relationships</t>
  </si>
  <si>
    <t>Others</t>
  </si>
  <si>
    <t>Then update the Summary sheet . Please use the dropdowns where required</t>
  </si>
  <si>
    <t>Domestic / Foreing PE/VC Funds</t>
  </si>
  <si>
    <t>All information requirements to be in the Info requirements list</t>
  </si>
  <si>
    <t>Domestic Pension Funds / Insurance Companies/MFs</t>
  </si>
  <si>
    <t>Please do not update the  Tables sheet</t>
  </si>
  <si>
    <t>SWFs / MFIs</t>
  </si>
  <si>
    <t>Corporates</t>
  </si>
  <si>
    <t>SWFs / MFIs / Pension Funds / FoFs</t>
  </si>
  <si>
    <t>Private Sector / Foreign  Banks in India / NBFCs</t>
  </si>
  <si>
    <t>Transaction / Fund</t>
  </si>
  <si>
    <t>Amount Requested(INR Cr)</t>
  </si>
  <si>
    <t>Feeler/Teaser/Letter Sent</t>
  </si>
  <si>
    <t>Meetings / Detailed Discussions/IM Sent</t>
  </si>
  <si>
    <t>Initial Appraisal / Evaluation process started</t>
  </si>
  <si>
    <t>Due Diligence / Queries</t>
  </si>
  <si>
    <t>Commitment Letter / Conclusion</t>
  </si>
  <si>
    <t>Initial / Final Drawdown</t>
  </si>
  <si>
    <t>Status (Open / Closed)</t>
  </si>
  <si>
    <t>Commitment Amount (INR Cr)</t>
  </si>
  <si>
    <t>Current Status</t>
  </si>
  <si>
    <t>Progress</t>
  </si>
  <si>
    <t>IOB</t>
  </si>
  <si>
    <t>TNESSF</t>
  </si>
  <si>
    <t>Yes</t>
  </si>
  <si>
    <t>Draft Agreement and Contribution Agreement sent. Response awaited.</t>
  </si>
  <si>
    <t>TIDCO</t>
  </si>
  <si>
    <t>No</t>
  </si>
  <si>
    <t>Open</t>
  </si>
  <si>
    <t>Commitment Letter + Sponsor Contribution</t>
  </si>
  <si>
    <t>Indian Bank</t>
  </si>
  <si>
    <t>Need GoTN help</t>
  </si>
  <si>
    <t>SIDBI</t>
  </si>
  <si>
    <t>SRI</t>
  </si>
  <si>
    <t>Bank of Maharashtra</t>
  </si>
  <si>
    <t>Closed</t>
  </si>
  <si>
    <t>Declined</t>
  </si>
  <si>
    <t>IDBI Bank</t>
  </si>
  <si>
    <t>NABARD</t>
  </si>
  <si>
    <t>South Indian Bank</t>
  </si>
  <si>
    <t>BOB</t>
  </si>
  <si>
    <t>KVB</t>
  </si>
  <si>
    <t>Canara Bank</t>
  </si>
  <si>
    <t xml:space="preserve">Met MD and ED on 17th July 2023. </t>
  </si>
  <si>
    <t>UCO Bank</t>
  </si>
  <si>
    <t>CUB</t>
  </si>
  <si>
    <t>Meeting in June 2023</t>
  </si>
  <si>
    <t>BOI</t>
  </si>
  <si>
    <t>PNB</t>
  </si>
  <si>
    <t>Federal Bank</t>
  </si>
  <si>
    <t>AIIB</t>
  </si>
  <si>
    <t>Norfund</t>
  </si>
  <si>
    <t>UBI</t>
  </si>
  <si>
    <t>JICA</t>
  </si>
  <si>
    <t>TNGCF</t>
  </si>
  <si>
    <t>IIFCL</t>
  </si>
  <si>
    <t>Infrastructure Asia</t>
  </si>
  <si>
    <t>LIC Pension Fund</t>
  </si>
  <si>
    <t>LIC Mutual Fund</t>
  </si>
  <si>
    <t>SBI</t>
  </si>
  <si>
    <t>SBI Pension Fund</t>
  </si>
  <si>
    <t>SBI Insurance</t>
  </si>
  <si>
    <t>SBI Mutual Fund</t>
  </si>
  <si>
    <t>UPPCL</t>
  </si>
  <si>
    <t>NHB</t>
  </si>
  <si>
    <t>TNSF</t>
  </si>
  <si>
    <t>HUDCO</t>
  </si>
  <si>
    <t>ONGC</t>
  </si>
  <si>
    <t>Indian Oil</t>
  </si>
  <si>
    <t>GAIL</t>
  </si>
  <si>
    <t>NTPC</t>
  </si>
  <si>
    <t>NHPC</t>
  </si>
  <si>
    <t>NMDC</t>
  </si>
  <si>
    <t>SAIL</t>
  </si>
  <si>
    <t>PFC</t>
  </si>
  <si>
    <t>IRDA</t>
  </si>
  <si>
    <t>Naval Pension Fund</t>
  </si>
  <si>
    <t>LIC of India</t>
  </si>
  <si>
    <t>REC</t>
  </si>
  <si>
    <t>United India Insurance</t>
  </si>
  <si>
    <t>CPCL</t>
  </si>
  <si>
    <t>Shell Foundation</t>
  </si>
  <si>
    <t>FMO</t>
  </si>
  <si>
    <t>Blue Earth Capital, Switzerland</t>
  </si>
  <si>
    <t xml:space="preserve"> Organisation</t>
  </si>
  <si>
    <t>Alternative name</t>
  </si>
  <si>
    <t>Existing</t>
  </si>
  <si>
    <t>New</t>
  </si>
  <si>
    <t>To Use</t>
  </si>
  <si>
    <t>Abu Dhabi Investment Council</t>
  </si>
  <si>
    <t>Allied Climate Partners, New York</t>
  </si>
  <si>
    <t>Altair Consultancy and Advisory Services Ltd </t>
  </si>
  <si>
    <t>APG Asset Management</t>
  </si>
  <si>
    <t>Belgian Investment Company for developing countries</t>
  </si>
  <si>
    <t>BII</t>
  </si>
  <si>
    <t>BoI</t>
  </si>
  <si>
    <t>Castalia Strategic Advisors</t>
  </si>
  <si>
    <t>Catholic syrian Bank</t>
  </si>
  <si>
    <t>Citibank</t>
  </si>
  <si>
    <t>Clayton Ventures</t>
  </si>
  <si>
    <t>DBS Bank</t>
  </si>
  <si>
    <t>DCB Bank</t>
  </si>
  <si>
    <t>Dhanlaxmi Bank</t>
  </si>
  <si>
    <t>Euro Asia Advisors</t>
  </si>
  <si>
    <t>FCDO</t>
  </si>
  <si>
    <t>Finance in Motion</t>
  </si>
  <si>
    <t>Finnish Fund of Industrial Cooperation Ltd</t>
  </si>
  <si>
    <t>Gulf Islamic Investments</t>
  </si>
  <si>
    <t>HDFC Bank</t>
  </si>
  <si>
    <t>IFC</t>
  </si>
  <si>
    <t>IFU</t>
  </si>
  <si>
    <t>Proparco Groupe AFD</t>
  </si>
  <si>
    <t xml:space="preserve">Indian Bank </t>
  </si>
  <si>
    <t>IREDA</t>
  </si>
  <si>
    <t>Iskali Capital Group</t>
  </si>
  <si>
    <t>Japan Bank for International Cooperation</t>
  </si>
  <si>
    <t>Karnataka Bank</t>
  </si>
  <si>
    <t>Karur Vysya Bank Ltd</t>
  </si>
  <si>
    <t>KFW</t>
  </si>
  <si>
    <t>National Bank for Financing Infrastructure and Development (NaBFID)</t>
  </si>
  <si>
    <t>National Investment and Infrastructure Fund Limited (NIIF)</t>
  </si>
  <si>
    <t>Netherlands Development Finance Company FMO</t>
  </si>
  <si>
    <t>Nova Scotia Pension Agency</t>
  </si>
  <si>
    <t>Oesterreichische Entwicklungs Bank</t>
  </si>
  <si>
    <t>ONTARIO TEACHERS PENSION PLAN</t>
  </si>
  <si>
    <t>Punjab National Bank</t>
  </si>
  <si>
    <t>Saudi Investment Bank</t>
  </si>
  <si>
    <t>SBICAP Ventures Ltd.</t>
  </si>
  <si>
    <t>SEWA Girh Rin Limited</t>
  </si>
  <si>
    <t>SNS Group - Family Office</t>
  </si>
  <si>
    <t>Social Infra Ventures</t>
  </si>
  <si>
    <t>Tamilnad Mercantile Bank Limited</t>
  </si>
  <si>
    <t>The Global Steering Group for Impact Investment (GSG)</t>
  </si>
  <si>
    <t>Uco Bank</t>
  </si>
  <si>
    <t>Yusuf bin Ahmed Kanoo Group</t>
  </si>
  <si>
    <t>Date of first meeting / call</t>
  </si>
  <si>
    <t>Organisation</t>
  </si>
  <si>
    <t>Reference</t>
  </si>
  <si>
    <t>Investor Type</t>
  </si>
  <si>
    <t>Responsibility (TNIFMC)</t>
  </si>
  <si>
    <t>Notes</t>
  </si>
  <si>
    <t>Propreitory</t>
  </si>
  <si>
    <t>K. Ganapathy Subramanian</t>
  </si>
  <si>
    <t>SKC</t>
  </si>
  <si>
    <t>Krishna Chaitanya K</t>
  </si>
  <si>
    <t>CFM</t>
  </si>
  <si>
    <t>To meet venkatesh GM Treasury - ref Arun Vasu</t>
  </si>
  <si>
    <t>Mr.  P. R. Rajagopal ED at Mumbai</t>
  </si>
  <si>
    <t>Presentation to Mr. Kiran Kumar Tarania (GM Treasury)  through VC.</t>
  </si>
  <si>
    <t>Requested for intro by Sigy Thomas</t>
  </si>
  <si>
    <t>Need to send them a full ppt in first week of June 2023</t>
  </si>
  <si>
    <t>Dhiraj</t>
  </si>
  <si>
    <t>Provided contacts to Satish</t>
  </si>
  <si>
    <t xml:space="preserve"> </t>
  </si>
  <si>
    <t>Meeting with MD pending; Presented to Treasury. Proposal to be sent to the Treasury</t>
  </si>
  <si>
    <t>Presentation to President - JN</t>
  </si>
  <si>
    <t>Presentation to Mr. Sanjay Grover (CGM) Treasury</t>
  </si>
  <si>
    <t>Call set up for June 2, 2023</t>
  </si>
  <si>
    <t>Presentation to Mr. Arun Bansal (ED Head of Treasury)</t>
  </si>
  <si>
    <t>CFM reaching out</t>
  </si>
  <si>
    <t xml:space="preserve">Presentation to Mr. A. B. Vijaya Kumar (ED) by TNIFMC. </t>
  </si>
  <si>
    <t>Presented to MD / Treasury. Not favourable + call / letter from Government</t>
  </si>
  <si>
    <t>Get Mr. Muruganandam to talk to SIDBI Chairman. + Followup mail</t>
  </si>
  <si>
    <t>Get MSME Secretary to talk + Talk to VAMESH</t>
  </si>
  <si>
    <t>Sponsors</t>
  </si>
  <si>
    <t>Need to follow-up  with the Shareholder on the Grant</t>
  </si>
  <si>
    <t>Need to send contribution Agreement - Received Rs 5 Cr LOI</t>
  </si>
  <si>
    <t>Satish S</t>
  </si>
  <si>
    <t>Met CGM Finance Venkateswaran and Manager Finance Thiru.KA Mohan</t>
  </si>
  <si>
    <t>Spoke to Ms. Niharika, Investment Officer, Proparco. Shared our deck</t>
  </si>
  <si>
    <t>Met Amrita Sarker on 7-11-2023</t>
  </si>
  <si>
    <t>Met Aditya Mohan and Jaap on 7-11-2023</t>
  </si>
  <si>
    <t>Closed / Deferred</t>
  </si>
  <si>
    <t>Org ID</t>
  </si>
  <si>
    <t>TNIFMC Request (INR Cr)</t>
  </si>
  <si>
    <t>Invested</t>
  </si>
  <si>
    <t>ORG 0001</t>
  </si>
  <si>
    <t>ORG 0002</t>
  </si>
  <si>
    <t>Government</t>
  </si>
  <si>
    <t>THE GO is the Commitment Letter for TIDCO and TIDEL</t>
  </si>
  <si>
    <t>ORG 0003</t>
  </si>
  <si>
    <t>TIDEL</t>
  </si>
  <si>
    <t>ORG 0004</t>
  </si>
  <si>
    <t>EAA</t>
  </si>
  <si>
    <t>Advisor</t>
  </si>
  <si>
    <t>Setting up meetings in EU in month of October</t>
  </si>
  <si>
    <t>They are our advisors</t>
  </si>
  <si>
    <t>ORG 0007</t>
  </si>
  <si>
    <t>SBI Caps</t>
  </si>
  <si>
    <t>ORG 0006</t>
  </si>
  <si>
    <t>ORG 0005</t>
  </si>
  <si>
    <t>Tipsons Group</t>
  </si>
  <si>
    <t>Meeting with the senior management in w/b 11 Nov 2024</t>
  </si>
  <si>
    <t>Inv / Credit Committee</t>
  </si>
  <si>
    <t>ORG 0015</t>
  </si>
  <si>
    <t>ADB - PSOD</t>
  </si>
  <si>
    <t>They are willing to take the transaction forward. Have queries on a past transaction with TNIFMC</t>
  </si>
  <si>
    <t>Need to revert on their query on the p[ast transaction</t>
  </si>
  <si>
    <t>ORG 0016</t>
  </si>
  <si>
    <t>Taking it up for their evaluation. Need to follow up MD&amp;CEO</t>
  </si>
  <si>
    <t>ORG 0011</t>
  </si>
  <si>
    <t>DEG - Deutsche Inventions</t>
  </si>
  <si>
    <t>They are keen on ESSF. Want to have a more detailed discussion/call</t>
  </si>
  <si>
    <t>ORG 0024</t>
  </si>
  <si>
    <t>Dexter Nicolas - Vietnam</t>
  </si>
  <si>
    <t>He has sent details of what he could do to help us</t>
  </si>
  <si>
    <t>ORG 0020</t>
  </si>
  <si>
    <t>Finnish Fund of Industrial Cooperation Ltd (FinnFund)</t>
  </si>
  <si>
    <t/>
  </si>
  <si>
    <t>Finnish Government has decided to close down their Climate investments and Jari Motero who was interacting with us is himself seeking a new position</t>
  </si>
  <si>
    <t>ORG 0012</t>
  </si>
  <si>
    <t>Are interested in TN. Want to evaluate Green Climate Fund. Meeting pending</t>
  </si>
  <si>
    <t>ORG 0013</t>
  </si>
  <si>
    <t>HDFC Bank Wealth</t>
  </si>
  <si>
    <t>They are taking it up with their Wealth Clients</t>
  </si>
  <si>
    <t>ORG 0014</t>
  </si>
  <si>
    <t>Interested in GCF. Coordinating and planning meetings in EU in Oct</t>
  </si>
  <si>
    <t>ORG 0026</t>
  </si>
  <si>
    <t>Taking it up for their evaluation. Need to follow up with their Treasury in Mumbai</t>
  </si>
  <si>
    <t>ORG 0023</t>
  </si>
  <si>
    <t>JBIC</t>
  </si>
  <si>
    <t>Foreign Banks / Insurance Companies</t>
  </si>
  <si>
    <t>They have asked us to coordinate with their investee fund NIIF.</t>
  </si>
  <si>
    <t>ORG 0008</t>
  </si>
  <si>
    <t>JICA - ESSF</t>
  </si>
  <si>
    <t>In Progress</t>
  </si>
  <si>
    <t>ORG 0009</t>
  </si>
  <si>
    <t>JICA - GCF</t>
  </si>
  <si>
    <t>ORG 0017</t>
  </si>
  <si>
    <t>Need to meet new head and it should be taken upo at their IC</t>
  </si>
  <si>
    <t>ORG 0021</t>
  </si>
  <si>
    <t>NaBFID</t>
  </si>
  <si>
    <t>They want to participate in our projects. They are not investing in AIFs yet</t>
  </si>
  <si>
    <t>ORG 0022</t>
  </si>
  <si>
    <t>NIIF</t>
  </si>
  <si>
    <t>They are not keen on investing in state sponsored funds.</t>
  </si>
  <si>
    <t>ORG 0025</t>
  </si>
  <si>
    <t>Taking up in their next IC</t>
  </si>
  <si>
    <t>ORG 0018</t>
  </si>
  <si>
    <t>SBICap Ventures - SRI</t>
  </si>
  <si>
    <t>ORG 0010</t>
  </si>
  <si>
    <t>They are interested in Grant Funding.</t>
  </si>
  <si>
    <t>ORG 0019</t>
  </si>
  <si>
    <t>Fund of Funds operated by SIDBI</t>
  </si>
  <si>
    <t>ORG 0027</t>
  </si>
  <si>
    <t>Taking it up in their IC . Need to meet theitr CMD</t>
  </si>
  <si>
    <t>ORG 0034</t>
  </si>
  <si>
    <t>ADIA</t>
  </si>
  <si>
    <t>ORG 0031</t>
  </si>
  <si>
    <t>They are interested in the Shelter Fund kind of an initiative and would want to come through the Government</t>
  </si>
  <si>
    <t>ORG 0035</t>
  </si>
  <si>
    <t>Alsima Capital Group</t>
  </si>
  <si>
    <t>HNIs / Family Offices</t>
  </si>
  <si>
    <t>ORG 0060</t>
  </si>
  <si>
    <t>ORG 0053</t>
  </si>
  <si>
    <t>ORG 0030</t>
  </si>
  <si>
    <t>ORG 0033</t>
  </si>
  <si>
    <t>ORG 0036</t>
  </si>
  <si>
    <t>ORG 0037</t>
  </si>
  <si>
    <t>ORG 0052</t>
  </si>
  <si>
    <t>French Business Council</t>
  </si>
  <si>
    <t>ORG 0038</t>
  </si>
  <si>
    <t>Global Emerging Markets Specialist Capital Pte Ltd</t>
  </si>
  <si>
    <t>ORG 0039</t>
  </si>
  <si>
    <t>Hinduja Family Office</t>
  </si>
  <si>
    <t>ORG 0063</t>
  </si>
  <si>
    <t>ORG 0048</t>
  </si>
  <si>
    <t>Want to co-invest alongside TNIFMC's funds</t>
  </si>
  <si>
    <t>ORG 0054</t>
  </si>
  <si>
    <t>ORG 0049</t>
  </si>
  <si>
    <t>ORG 0061</t>
  </si>
  <si>
    <t>ORG 0040</t>
  </si>
  <si>
    <t>Macquarie</t>
  </si>
  <si>
    <t>ORG 0041</t>
  </si>
  <si>
    <t>Mercury Capital Advisors</t>
  </si>
  <si>
    <t>ORG 0042</t>
  </si>
  <si>
    <t>ORG 0123</t>
  </si>
  <si>
    <t>NLC</t>
  </si>
  <si>
    <t>ORG 0050</t>
  </si>
  <si>
    <t>Novo Holdings</t>
  </si>
  <si>
    <t>ORG 0043</t>
  </si>
  <si>
    <t>NSIC Ventures</t>
  </si>
  <si>
    <t>ORG 0044</t>
  </si>
  <si>
    <t>ORG 0045</t>
  </si>
  <si>
    <t>ORG 0059</t>
  </si>
  <si>
    <t>ORG 0051</t>
  </si>
  <si>
    <t>ORG 0055</t>
  </si>
  <si>
    <t>ORG 0062</t>
  </si>
  <si>
    <t>ORG 0064</t>
  </si>
  <si>
    <t>Saint Gobain</t>
  </si>
  <si>
    <t>Meet Mr. Padma Kumar</t>
  </si>
  <si>
    <t>ORG 0056</t>
  </si>
  <si>
    <t>ORG 0047</t>
  </si>
  <si>
    <t>SBI Cap Ventures - UK FCDO</t>
  </si>
  <si>
    <t>ORG 0057</t>
  </si>
  <si>
    <t>ORG 0058</t>
  </si>
  <si>
    <t>ORG 0046</t>
  </si>
  <si>
    <t>ORG 0028</t>
  </si>
  <si>
    <t>ORG 0029</t>
  </si>
  <si>
    <t>ORG 0032</t>
  </si>
  <si>
    <t>World Bank</t>
  </si>
  <si>
    <t>ORG 0069</t>
  </si>
  <si>
    <t>Aboitiz Family Office</t>
  </si>
  <si>
    <t>ORG 0066</t>
  </si>
  <si>
    <t>ORG 0082</t>
  </si>
  <si>
    <t>ORG 0083</t>
  </si>
  <si>
    <t>ORG 0068</t>
  </si>
  <si>
    <t>ORG 0088</t>
  </si>
  <si>
    <t>DEG Impact GmbH</t>
  </si>
  <si>
    <t>ORG 0070</t>
  </si>
  <si>
    <t>EBRD</t>
  </si>
  <si>
    <t>ORG 0086</t>
  </si>
  <si>
    <t>EIC Partners AG</t>
  </si>
  <si>
    <t>ORG 0071</t>
  </si>
  <si>
    <t>GIC, Singapore</t>
  </si>
  <si>
    <t>ORG 0089</t>
  </si>
  <si>
    <t>Green Climate fund - Korea</t>
  </si>
  <si>
    <t>ORG 0072</t>
  </si>
  <si>
    <t>Hanover Square Capital (UK) Ltd</t>
  </si>
  <si>
    <t>ORG 0065</t>
  </si>
  <si>
    <t>ORG 0090</t>
  </si>
  <si>
    <t>ORG 0087</t>
  </si>
  <si>
    <t>We shall be using this organisation for referrals</t>
  </si>
  <si>
    <t>ORG 0084</t>
  </si>
  <si>
    <t>Japan External Trade Organisation</t>
  </si>
  <si>
    <t>They are evaluating us more as a partner for TNESSF. We shall be using this organisation for referrals</t>
  </si>
  <si>
    <t>ORG 0085</t>
  </si>
  <si>
    <t>K Cap (Koneru Family Office)</t>
  </si>
  <si>
    <t>ORG 0073</t>
  </si>
  <si>
    <t>KIC</t>
  </si>
  <si>
    <t>ORG 0074</t>
  </si>
  <si>
    <t>Kuwait Investment Authority</t>
  </si>
  <si>
    <t>ORG 0067</t>
  </si>
  <si>
    <t>ORG 0091</t>
  </si>
  <si>
    <t>ORG 0092</t>
  </si>
  <si>
    <t>ORG 0075</t>
  </si>
  <si>
    <t>Netherlands Development Finance Company (FMO)</t>
  </si>
  <si>
    <t>ORG 0076</t>
  </si>
  <si>
    <t>OMERS</t>
  </si>
  <si>
    <t>ORG 0077</t>
  </si>
  <si>
    <t>OTPP</t>
  </si>
  <si>
    <t>ORG 0079</t>
  </si>
  <si>
    <t xml:space="preserve">Stratford House Advisors </t>
  </si>
  <si>
    <t>ORG 0081</t>
  </si>
  <si>
    <t>TCI Fund Management - Chris Hohn</t>
  </si>
  <si>
    <t>ORG 0093</t>
  </si>
  <si>
    <t>ORG 0078</t>
  </si>
  <si>
    <t>World Tamil Organisation - UK</t>
  </si>
  <si>
    <t>ORG 0080</t>
  </si>
  <si>
    <t>ORG 0129</t>
  </si>
  <si>
    <t>ABN AMRO Infrastructure Capital Management Ltd</t>
  </si>
  <si>
    <t>Not investing in India</t>
  </si>
  <si>
    <t>ORG 0098</t>
  </si>
  <si>
    <t>ORG 0099</t>
  </si>
  <si>
    <t>Alberta Teachers Retirement Fund</t>
  </si>
  <si>
    <t>ORG 0100</t>
  </si>
  <si>
    <t>ORG 0101</t>
  </si>
  <si>
    <t>ALP Invest</t>
  </si>
  <si>
    <t>ORG 0102</t>
  </si>
  <si>
    <t>ORG 0130</t>
  </si>
  <si>
    <t>Apollo Global Management</t>
  </si>
  <si>
    <t>Reevaluating India</t>
  </si>
  <si>
    <t>ORG 0103</t>
  </si>
  <si>
    <t>Belgian Investment Company for Developing Countries</t>
  </si>
  <si>
    <t>ORG 0104</t>
  </si>
  <si>
    <t>Belgian Soverign Fund</t>
  </si>
  <si>
    <t>ORG 0105</t>
  </si>
  <si>
    <t>CDPQ</t>
  </si>
  <si>
    <t>ORG 0374</t>
  </si>
  <si>
    <t>Childrens Investment Fund Foundation (CIFF)</t>
  </si>
  <si>
    <t>ORG 0106</t>
  </si>
  <si>
    <t>ORG 0124</t>
  </si>
  <si>
    <t>Not Investing in AIFs</t>
  </si>
  <si>
    <t>ORG 0125</t>
  </si>
  <si>
    <t>ORG 0131</t>
  </si>
  <si>
    <t>Deutsche Bank</t>
  </si>
  <si>
    <t>Is not investing in any AIFs in India from the India office. Shall revert if it can be done from HQ</t>
  </si>
  <si>
    <t>ORG 0132</t>
  </si>
  <si>
    <t>ORG 0107</t>
  </si>
  <si>
    <t>European Investment Bank</t>
  </si>
  <si>
    <t>ORG 0096</t>
  </si>
  <si>
    <t>ORG 0136</t>
  </si>
  <si>
    <t>ORG 0108</t>
  </si>
  <si>
    <t>Harbourvest Partners</t>
  </si>
  <si>
    <t>ORG 0109</t>
  </si>
  <si>
    <t xml:space="preserve">IFU </t>
  </si>
  <si>
    <t>ORG 0137</t>
  </si>
  <si>
    <t>ORG 0110</t>
  </si>
  <si>
    <t>InvestAlberta</t>
  </si>
  <si>
    <t>ORG 0094</t>
  </si>
  <si>
    <t>ORG 0111</t>
  </si>
  <si>
    <t>KfW</t>
  </si>
  <si>
    <t>ORG 0126</t>
  </si>
  <si>
    <t>LGT Capital Partners AG</t>
  </si>
  <si>
    <t>ORG 0112</t>
  </si>
  <si>
    <t>Macquaire</t>
  </si>
  <si>
    <t>ORG 0113</t>
  </si>
  <si>
    <t>MSDF</t>
  </si>
  <si>
    <t>ORG 0138</t>
  </si>
  <si>
    <t>ORG 0139</t>
  </si>
  <si>
    <t>ORG 0114</t>
  </si>
  <si>
    <t>Nordic Development Fund</t>
  </si>
  <si>
    <t>ORG 0115</t>
  </si>
  <si>
    <t>Nordic Investment Bank</t>
  </si>
  <si>
    <t>ORG 0116</t>
  </si>
  <si>
    <t>ORG 0127</t>
  </si>
  <si>
    <t>Currently not focussing on India based funds</t>
  </si>
  <si>
    <t>ORG 0140</t>
  </si>
  <si>
    <t>ORG 0141</t>
  </si>
  <si>
    <t>ORG 0117</t>
  </si>
  <si>
    <t>ORG 0118</t>
  </si>
  <si>
    <t>Sberbank</t>
  </si>
  <si>
    <t>ORG 0128</t>
  </si>
  <si>
    <t>Sathanbabu Mathankumar</t>
  </si>
  <si>
    <t>ORG 0135</t>
  </si>
  <si>
    <t>Shelter Afrique</t>
  </si>
  <si>
    <t>Maybe for next Sheltyer Fund</t>
  </si>
  <si>
    <t>ORG 0133</t>
  </si>
  <si>
    <t>Star Capital Partners LLP</t>
  </si>
  <si>
    <t>Currently not investing in India as a FoF</t>
  </si>
  <si>
    <t>ORG 0119</t>
  </si>
  <si>
    <t>Sumitomo Mitsui Banking Corporation</t>
  </si>
  <si>
    <t>ORG 0134</t>
  </si>
  <si>
    <t>SUSI Partners AG</t>
  </si>
  <si>
    <t>ORG 0095</t>
  </si>
  <si>
    <t>ORG 0120</t>
  </si>
  <si>
    <t>ORG 0121</t>
  </si>
  <si>
    <t>Touristic Enterprises Company</t>
  </si>
  <si>
    <t>ORG 0097</t>
  </si>
  <si>
    <t>ORG 0122</t>
  </si>
  <si>
    <t>VTB Capital</t>
  </si>
  <si>
    <t>ORG 0144</t>
  </si>
  <si>
    <t>17 Capital Services Limited</t>
  </si>
  <si>
    <t>ORG 0145</t>
  </si>
  <si>
    <t>51 North Capital GmbH</t>
  </si>
  <si>
    <t>ORG 0146</t>
  </si>
  <si>
    <t>Absolute Research GmbH</t>
  </si>
  <si>
    <t>ORG 0147</t>
  </si>
  <si>
    <t>Access Capital Partners GmbH</t>
  </si>
  <si>
    <t>ORG 0148</t>
  </si>
  <si>
    <t>Adams Street GmbH</t>
  </si>
  <si>
    <t>ORG 0149</t>
  </si>
  <si>
    <t>Aegon Asset Management</t>
  </si>
  <si>
    <t>ORG 0150</t>
  </si>
  <si>
    <t>AHP Capital Management GmbH</t>
  </si>
  <si>
    <t>ORG 0151</t>
  </si>
  <si>
    <t>Ai Aafiyah Associates FZE</t>
  </si>
  <si>
    <t>ORG 0152</t>
  </si>
  <si>
    <t>Albourne Partners Deutschland AG</t>
  </si>
  <si>
    <t>ORG 0153</t>
  </si>
  <si>
    <t>Alcentra Limited</t>
  </si>
  <si>
    <t>ORG 0154</t>
  </si>
  <si>
    <t>AllianceBernstein (Luxembourg) S.à r.l.</t>
  </si>
  <si>
    <t>ORG 0155</t>
  </si>
  <si>
    <t>Allianz Global Investors GmbH</t>
  </si>
  <si>
    <t>ORG 0156</t>
  </si>
  <si>
    <t>Alpha Associates AG</t>
  </si>
  <si>
    <t>ORG 0157</t>
  </si>
  <si>
    <t>ORG 0158</t>
  </si>
  <si>
    <t>AltamarCAM Partners</t>
  </si>
  <si>
    <t>ORG 0159</t>
  </si>
  <si>
    <t>Alterdomus Deutschland GmbH</t>
  </si>
  <si>
    <t>ORG 0160</t>
  </si>
  <si>
    <t>Ampega Asset Management GmbH</t>
  </si>
  <si>
    <t>ORG 0161</t>
  </si>
  <si>
    <t xml:space="preserve">Amundi Deutschland </t>
  </si>
  <si>
    <t>ORG 0162</t>
  </si>
  <si>
    <t>Annerton Rechtsanwaltsgesellschaft mbH</t>
  </si>
  <si>
    <t>ORG 0163</t>
  </si>
  <si>
    <t>Antin Infrastructure Partners</t>
  </si>
  <si>
    <t>ORG 0164</t>
  </si>
  <si>
    <t>Apera Asset Management GmbH</t>
  </si>
  <si>
    <t>ORG 0165</t>
  </si>
  <si>
    <t>Aquila Capital</t>
  </si>
  <si>
    <t>ORG 0166</t>
  </si>
  <si>
    <t>Arcmont Asset Management (Germany) GmbH</t>
  </si>
  <si>
    <t>ORG 0167</t>
  </si>
  <si>
    <t>Ardian Germany Investment Opportunities GmbH</t>
  </si>
  <si>
    <t>ORG 0168</t>
  </si>
  <si>
    <t>AREAM GmbH</t>
  </si>
  <si>
    <t>ORG 0169</t>
  </si>
  <si>
    <t>Arendt &amp; Medernach SA</t>
  </si>
  <si>
    <t>ORG 0170</t>
  </si>
  <si>
    <t>Ares Management</t>
  </si>
  <si>
    <t>ORG 0171</t>
  </si>
  <si>
    <t>Argos Wityu GmbH</t>
  </si>
  <si>
    <t>ORG 0172</t>
  </si>
  <si>
    <t>Arkadian Capital</t>
  </si>
  <si>
    <t>ORG 0173</t>
  </si>
  <si>
    <t>Art-Invest Real Estate Funds GmbH (AIREF)</t>
  </si>
  <si>
    <t>ORG 0174</t>
  </si>
  <si>
    <t>Ashurst LLP</t>
  </si>
  <si>
    <t>ORG 0175</t>
  </si>
  <si>
    <t>AssetMetrix GmbH</t>
  </si>
  <si>
    <t>ORG 0176</t>
  </si>
  <si>
    <t>ATLAS PLACEMENT ADVISORS, LLC</t>
  </si>
  <si>
    <t>ORG 0177</t>
  </si>
  <si>
    <t>AVEGA Capital Management S.A.</t>
  </si>
  <si>
    <t>ORG 0178</t>
  </si>
  <si>
    <t>Avellinia Capital Limited</t>
  </si>
  <si>
    <t>ORG 0179</t>
  </si>
  <si>
    <t>AXA Investment Managers Deutschland GmbH</t>
  </si>
  <si>
    <t>ORG 0180</t>
  </si>
  <si>
    <t>AXIOM Asia Private Capital</t>
  </si>
  <si>
    <t>ORG 0181</t>
  </si>
  <si>
    <t>BAADER Bank AG</t>
  </si>
  <si>
    <t>ORG 0182</t>
  </si>
  <si>
    <t>Baillie Gifford Investment Management (Europe) Ltd</t>
  </si>
  <si>
    <t>ORG 0183</t>
  </si>
  <si>
    <t>Banque Saudi Fransi</t>
  </si>
  <si>
    <t>ORG 0184</t>
  </si>
  <si>
    <t>Barclays Capital</t>
  </si>
  <si>
    <t>ORG 0185</t>
  </si>
  <si>
    <t>Barings</t>
  </si>
  <si>
    <t>ORG 0186</t>
  </si>
  <si>
    <t>BayernInvest Kapitalverwaltungsgesellschaft mbH</t>
  </si>
  <si>
    <t>ORG 0187</t>
  </si>
  <si>
    <t>BERENBERG - Joh. Berenberg, Gossler &amp; Co. KG</t>
  </si>
  <si>
    <t>ORG 0188</t>
  </si>
  <si>
    <t>BF.capital GmbH</t>
  </si>
  <si>
    <t>ORG 0189</t>
  </si>
  <si>
    <t>BlackRock</t>
  </si>
  <si>
    <t>ORG 0142</t>
  </si>
  <si>
    <t>ORG 0190</t>
  </si>
  <si>
    <t>BlueBay Funds Management Company S.A.</t>
  </si>
  <si>
    <t>ORG 0191</t>
  </si>
  <si>
    <t>BlueOrchard Finance Ltd.</t>
  </si>
  <si>
    <t>ORG 0192</t>
  </si>
  <si>
    <t>BNP PARIBAS ASSET MANAGEMENT France S.A.S.</t>
  </si>
  <si>
    <t>ORG 0193</t>
  </si>
  <si>
    <t>BNY Mellon Fund Management</t>
  </si>
  <si>
    <t>ORG 0194</t>
  </si>
  <si>
    <t>Bright Capital GmbH</t>
  </si>
  <si>
    <t>ORG 0195</t>
  </si>
  <si>
    <t>Brinc</t>
  </si>
  <si>
    <t>ORG 0196</t>
  </si>
  <si>
    <t>Brookfield</t>
  </si>
  <si>
    <t>ORG 0197</t>
  </si>
  <si>
    <t>Brown Brothers Harriman (Luxembourg) S. C. A.</t>
  </si>
  <si>
    <t>ORG 0198</t>
  </si>
  <si>
    <t>Bunge, Switzerland</t>
  </si>
  <si>
    <t>ORG 0199</t>
  </si>
  <si>
    <t>Cambridge Associates GmbH</t>
  </si>
  <si>
    <t>ORG 0200</t>
  </si>
  <si>
    <t>Campbell Lutyens</t>
  </si>
  <si>
    <t>ORG 0201</t>
  </si>
  <si>
    <t>Candriam - Zweigniederlassung Deutschland</t>
  </si>
  <si>
    <t>ORG 0202</t>
  </si>
  <si>
    <t>Capital Dynamics</t>
  </si>
  <si>
    <t>ORG 0203</t>
  </si>
  <si>
    <t>Capital Four Aifm S/A</t>
  </si>
  <si>
    <t>ORG 0204</t>
  </si>
  <si>
    <t>caplantic GmbH</t>
  </si>
  <si>
    <t>ORG 0205</t>
  </si>
  <si>
    <t>CAPZA</t>
  </si>
  <si>
    <t>ORG 0143</t>
  </si>
  <si>
    <t>ORG 0206</t>
  </si>
  <si>
    <t>CBC Pension Plan</t>
  </si>
  <si>
    <t>ORG 0207</t>
  </si>
  <si>
    <t>CC Chokshi9 Advisors</t>
  </si>
  <si>
    <t>ORG 0208</t>
  </si>
  <si>
    <t>CF Private Equity</t>
  </si>
  <si>
    <t>ORG 0209</t>
  </si>
  <si>
    <t>Chartered Investment Germany GmbH</t>
  </si>
  <si>
    <t>ORG 0210</t>
  </si>
  <si>
    <t>China Ping An Insurance Overseas (Holdings) Limited</t>
  </si>
  <si>
    <t>ORG 0211</t>
  </si>
  <si>
    <t>Cocreator</t>
  </si>
  <si>
    <t>ORG 0212</t>
  </si>
  <si>
    <t>COFIDES</t>
  </si>
  <si>
    <t>ORG 0213</t>
  </si>
  <si>
    <t>Collineo Asset Management GmbH</t>
  </si>
  <si>
    <t>ORG 0214</t>
  </si>
  <si>
    <t>Commerzbank AG</t>
  </si>
  <si>
    <t>ORG 0215</t>
  </si>
  <si>
    <t>Competo Capital Invest GmbH</t>
  </si>
  <si>
    <t>ORG 0216</t>
  </si>
  <si>
    <t>CPP Investments</t>
  </si>
  <si>
    <t>ORG 0217</t>
  </si>
  <si>
    <t xml:space="preserve">Credence Family </t>
  </si>
  <si>
    <t>ORG 0218</t>
  </si>
  <si>
    <t>Credit Agricole</t>
  </si>
  <si>
    <t>ORG 0219</t>
  </si>
  <si>
    <t>Credit Suisse Securities (USA) LLC</t>
  </si>
  <si>
    <t>ORG 0220</t>
  </si>
  <si>
    <t>Creditreform Rating AG</t>
  </si>
  <si>
    <t>ORG 0221</t>
  </si>
  <si>
    <t>Cresco FinancE</t>
  </si>
  <si>
    <t>ORG 0222</t>
  </si>
  <si>
    <t>Cubera</t>
  </si>
  <si>
    <t>ORG 0223</t>
  </si>
  <si>
    <t>DC Placement Advisors GmbH</t>
  </si>
  <si>
    <t>ORG 0224</t>
  </si>
  <si>
    <t>DCCP Deutsche Credit GmbH</t>
  </si>
  <si>
    <t>ORG 0225</t>
  </si>
  <si>
    <t>DekaBank Deutsche Girozentrale</t>
  </si>
  <si>
    <t>ORG 0226</t>
  </si>
  <si>
    <t>Deutsche Finance Holding AG</t>
  </si>
  <si>
    <t>ORG 0227</t>
  </si>
  <si>
    <t>DWS Group GmbH &amp; Co. KGaA</t>
  </si>
  <si>
    <t>ORG 0228</t>
  </si>
  <si>
    <t>Dynamis Global Consulting</t>
  </si>
  <si>
    <t>ORG 0229</t>
  </si>
  <si>
    <t>EBG Investment Solutions AG</t>
  </si>
  <si>
    <t>ORG 0230</t>
  </si>
  <si>
    <t>Efficient Capital Management, LLC</t>
  </si>
  <si>
    <t>ORG 0231</t>
  </si>
  <si>
    <t>Eiffel Investment Group</t>
  </si>
  <si>
    <t>ORG 0232</t>
  </si>
  <si>
    <t>EIG Global Energy Partners</t>
  </si>
  <si>
    <t>ORG 0233</t>
  </si>
  <si>
    <t>ELF Capital Advisory GmbH</t>
  </si>
  <si>
    <t>ORG 0234</t>
  </si>
  <si>
    <t>Energy Infrastructure Partners AG</t>
  </si>
  <si>
    <t>ORG 0235</t>
  </si>
  <si>
    <t>Entrust Family Office</t>
  </si>
  <si>
    <t>ORG 0236</t>
  </si>
  <si>
    <t>EnTrust Global Ltd.</t>
  </si>
  <si>
    <t>ORG 0237</t>
  </si>
  <si>
    <t>EURAMCO Holding GmbH</t>
  </si>
  <si>
    <t>ORG 0238</t>
  </si>
  <si>
    <t>Eurazeo</t>
  </si>
  <si>
    <t>ORG 0239</t>
  </si>
  <si>
    <t>Eurex Frankfurt AG</t>
  </si>
  <si>
    <t>ORG 0240</t>
  </si>
  <si>
    <t>Federated Hermes Limited</t>
  </si>
  <si>
    <t>ORG 0241</t>
  </si>
  <si>
    <t>FERI AG</t>
  </si>
  <si>
    <t>ORG 0242</t>
  </si>
  <si>
    <t>Fidelity International</t>
  </si>
  <si>
    <t>ORG 0243</t>
  </si>
  <si>
    <t>ORG 0244</t>
  </si>
  <si>
    <t>Finnish Climate Fund</t>
  </si>
  <si>
    <t>ORG 0245</t>
  </si>
  <si>
    <t>First Private Investment Management KAG mbH</t>
  </si>
  <si>
    <t>ORG 0246</t>
  </si>
  <si>
    <t>Fortress Infrastructure Fund</t>
  </si>
  <si>
    <t>ORG 0247</t>
  </si>
  <si>
    <t>Fosun Group - Hong Kong</t>
  </si>
  <si>
    <t>ORG 0248</t>
  </si>
  <si>
    <t>Franklin Templeton</t>
  </si>
  <si>
    <t>ORG 0249</t>
  </si>
  <si>
    <t>GCM Grosvenor (Deutschland) GmbH</t>
  </si>
  <si>
    <t>ORG 0250</t>
  </si>
  <si>
    <t>Generali Investments Partners S.p.A.</t>
  </si>
  <si>
    <t>ORG 0251</t>
  </si>
  <si>
    <t>Global Organizations</t>
  </si>
  <si>
    <t>ORG 0252</t>
  </si>
  <si>
    <t>GLS Investment Management GmbH</t>
  </si>
  <si>
    <t>ORG 0253</t>
  </si>
  <si>
    <t>Golding Capital Partners GmbH</t>
  </si>
  <si>
    <t>ORG 0254</t>
  </si>
  <si>
    <t>Goldman Sachs Asset Management B.V. German Branch</t>
  </si>
  <si>
    <t>ORG 0255</t>
  </si>
  <si>
    <t>Good Carbon Earth</t>
  </si>
  <si>
    <t>Good earth Carbon</t>
  </si>
  <si>
    <t>ORG 0256</t>
  </si>
  <si>
    <t>H&amp;A Global Investment Management GmbH</t>
  </si>
  <si>
    <t>ORG 0257</t>
  </si>
  <si>
    <t>Hamilton Lane (Germany) GmbH</t>
  </si>
  <si>
    <t>ORG 0258</t>
  </si>
  <si>
    <t>HANSAINVEST Hanseatische Investment GmbH</t>
  </si>
  <si>
    <t>ORG 0259</t>
  </si>
  <si>
    <t>HanseMerkur Trust AG</t>
  </si>
  <si>
    <t>ORG 0260</t>
  </si>
  <si>
    <t>HAUCK AUFHÄUSER LAMPE Privatbank AG</t>
  </si>
  <si>
    <t>ORG 0261</t>
  </si>
  <si>
    <t>Hayfin Capital Management LLP</t>
  </si>
  <si>
    <t>ORG 0262</t>
  </si>
  <si>
    <t>Helaba Invest Kapitalanlagegesellschaft mbH</t>
  </si>
  <si>
    <t>ORG 0263</t>
  </si>
  <si>
    <t>Helvetic Financial Services AG</t>
  </si>
  <si>
    <t>ORG 0264</t>
  </si>
  <si>
    <t>Henley And Partners</t>
  </si>
  <si>
    <t>ORG 0265</t>
  </si>
  <si>
    <t>HEP Kapitalverwaltung AG</t>
  </si>
  <si>
    <t>ORG 0266</t>
  </si>
  <si>
    <t>Hexicon AB</t>
  </si>
  <si>
    <t>ORG 0267</t>
  </si>
  <si>
    <t>HIH Invest Real Estate GmbH</t>
  </si>
  <si>
    <t>ORG 0268</t>
  </si>
  <si>
    <t>Hollyport Capital</t>
  </si>
  <si>
    <t>ORG 0269</t>
  </si>
  <si>
    <t>Housing &amp; Urban Development Corporation</t>
  </si>
  <si>
    <t>ORG 0270</t>
  </si>
  <si>
    <t>HQ Capital (Deutschland) GmbH</t>
  </si>
  <si>
    <t>ORG 0271</t>
  </si>
  <si>
    <t>HSBC Asset Management</t>
  </si>
  <si>
    <t>ORG 0272</t>
  </si>
  <si>
    <t>ICA Institutional Capital Associates GmbH</t>
  </si>
  <si>
    <t>ORG 0273</t>
  </si>
  <si>
    <t>IFM Investors</t>
  </si>
  <si>
    <t>ORG 0274</t>
  </si>
  <si>
    <t>Indusind Bank</t>
  </si>
  <si>
    <t>ORG 0275</t>
  </si>
  <si>
    <t>Institutional Investment Group GmbH</t>
  </si>
  <si>
    <t>ORG 0276</t>
  </si>
  <si>
    <t>Intermediate Capital Group plc (ICG)</t>
  </si>
  <si>
    <t>ORG 0277</t>
  </si>
  <si>
    <t>Invesco Asset Management Deutschland GmbH</t>
  </si>
  <si>
    <t>ORG 0278</t>
  </si>
  <si>
    <t>Investec Capital Services India Private Limited</t>
  </si>
  <si>
    <t>ORG 0279</t>
  </si>
  <si>
    <t>Investor Partners GmbH</t>
  </si>
  <si>
    <t>ORG 0280</t>
  </si>
  <si>
    <t>ORG 0281</t>
  </si>
  <si>
    <t>Jacob &amp; Company Securities Inc.</t>
  </si>
  <si>
    <t>ORG 0282</t>
  </si>
  <si>
    <t>Kapital 1852 Beratungs GmbH</t>
  </si>
  <si>
    <t>ORG 0283</t>
  </si>
  <si>
    <t>Kartesia Management S.A.R.L.</t>
  </si>
  <si>
    <t>ORG 0284</t>
  </si>
  <si>
    <t>KGAL-Gruppe</t>
  </si>
  <si>
    <t>ORG 0285</t>
  </si>
  <si>
    <t xml:space="preserve">KKR </t>
  </si>
  <si>
    <t>ORG 0286</t>
  </si>
  <si>
    <t>Klarphos S.à r.l.</t>
  </si>
  <si>
    <t>ORG 0287</t>
  </si>
  <si>
    <t>Kontora Family Office GmbH</t>
  </si>
  <si>
    <t>ORG 0288</t>
  </si>
  <si>
    <t>LBBW Asset Management Investmentgesellschaft mbH</t>
  </si>
  <si>
    <t>ORG 0289</t>
  </si>
  <si>
    <t>Lotus Global Capital</t>
  </si>
  <si>
    <t>ORG 0290</t>
  </si>
  <si>
    <t>Lumyna Investments Ltd</t>
  </si>
  <si>
    <t>ORG 0291</t>
  </si>
  <si>
    <t>Lupus alpha Asset Management AG</t>
  </si>
  <si>
    <t>ORG 0292</t>
  </si>
  <si>
    <t>Luxcara GmbH</t>
  </si>
  <si>
    <t>ORG 0293</t>
  </si>
  <si>
    <t>M&amp;G Luxembourg S.A.</t>
  </si>
  <si>
    <t>ORG 0294</t>
  </si>
  <si>
    <t>MacKay Shields LLC</t>
  </si>
  <si>
    <t>ORG 0295</t>
  </si>
  <si>
    <t>Mackewicz &amp; Partner</t>
  </si>
  <si>
    <t>ORG 0296</t>
  </si>
  <si>
    <t>Maizar Advisory Services</t>
  </si>
  <si>
    <t>ORG 0297</t>
  </si>
  <si>
    <t>Mandatum Asset Management Ltd</t>
  </si>
  <si>
    <t>ORG 0298</t>
  </si>
  <si>
    <t>Manulife Investment Management (Ireland) Limited, German Branch</t>
  </si>
  <si>
    <t>ORG 0299</t>
  </si>
  <si>
    <t>MetLife Investment Management Europe Limited</t>
  </si>
  <si>
    <t>ORG 0300</t>
  </si>
  <si>
    <t>Metzler Asset Management GmbH</t>
  </si>
  <si>
    <t>ORG 0301</t>
  </si>
  <si>
    <t>MNB Nick Beteiligungen GmbH</t>
  </si>
  <si>
    <t>ORG 0302</t>
  </si>
  <si>
    <t>Montana Capital Partners AG</t>
  </si>
  <si>
    <t>ORG 0303</t>
  </si>
  <si>
    <t>Moonfare GmbH</t>
  </si>
  <si>
    <t>ORG 0304</t>
  </si>
  <si>
    <t>Mount Street Portfolio Advisers GmbH</t>
  </si>
  <si>
    <t>ORG 0305</t>
  </si>
  <si>
    <t>MPC Capital AG</t>
  </si>
  <si>
    <t>ORG 0306</t>
  </si>
  <si>
    <t>MSIM Fund Management (Ireland) Limited</t>
  </si>
  <si>
    <t>ORG 0307</t>
  </si>
  <si>
    <t>Munich Private Equity Partners GmbH</t>
  </si>
  <si>
    <t>ORG 0308</t>
  </si>
  <si>
    <t>Muzinich &amp; Co (Ireland) Limited</t>
  </si>
  <si>
    <t>ORG 0309</t>
  </si>
  <si>
    <t>Natango Invest GmbH</t>
  </si>
  <si>
    <t>ORG 0310</t>
  </si>
  <si>
    <t>Natixis Investment Managers International</t>
  </si>
  <si>
    <t>ORG 0371</t>
  </si>
  <si>
    <t>ORG 0311</t>
  </si>
  <si>
    <t>Naxicap Germany GmbH</t>
  </si>
  <si>
    <t>NBAD</t>
  </si>
  <si>
    <t>ORG 0312</t>
  </si>
  <si>
    <t>Neuberger Berman Asset Management Ireland Limited</t>
  </si>
  <si>
    <t>ORG 0313</t>
  </si>
  <si>
    <t>Next Generation Invest AG</t>
  </si>
  <si>
    <t>ORG 0314</t>
  </si>
  <si>
    <t>Ninety One Luxembourg S.A. - German Branch</t>
  </si>
  <si>
    <t>ORG 0315</t>
  </si>
  <si>
    <t>NIO Partners AG</t>
  </si>
  <si>
    <t>ORG 0316</t>
  </si>
  <si>
    <t>Noor Financial Investment Co</t>
  </si>
  <si>
    <t>ORG 0317</t>
  </si>
  <si>
    <t>Nürnberger Asset Management GmbH</t>
  </si>
  <si>
    <t>ORG 0318</t>
  </si>
  <si>
    <t>Nuvama Asset Services</t>
  </si>
  <si>
    <t>ORG 0319</t>
  </si>
  <si>
    <t>Nuveen - A TIAA Company</t>
  </si>
  <si>
    <t>ORG 0320</t>
  </si>
  <si>
    <t>Oaklet GmbH</t>
  </si>
  <si>
    <t>ORG 0321</t>
  </si>
  <si>
    <t>Oaktree Capital Management</t>
  </si>
  <si>
    <t>ORG 0322</t>
  </si>
  <si>
    <t>ODDO BHF Asset Management GmbH</t>
  </si>
  <si>
    <t>ORG 0323</t>
  </si>
  <si>
    <t>Olympia Capital Management SA</t>
  </si>
  <si>
    <t>ORG 0324</t>
  </si>
  <si>
    <t>Oman - State General Reserve Fund</t>
  </si>
  <si>
    <t>ORG 0325</t>
  </si>
  <si>
    <t>Omnes Capital</t>
  </si>
  <si>
    <t>ORG 0326</t>
  </si>
  <si>
    <t>Palladio GmbH</t>
  </si>
  <si>
    <t>ORG 0327</t>
  </si>
  <si>
    <t>Pantheon Ventures (Ireland) DAC</t>
  </si>
  <si>
    <t>ORG 0328</t>
  </si>
  <si>
    <t>Park Square Capital</t>
  </si>
  <si>
    <t>ORG 0329</t>
  </si>
  <si>
    <t>Partners Group</t>
  </si>
  <si>
    <t>ORG 0330</t>
  </si>
  <si>
    <t>Patrimonium Asset Management AG</t>
  </si>
  <si>
    <t>ORG 0331</t>
  </si>
  <si>
    <t>Pemberton Asset Management S.A. – Germany</t>
  </si>
  <si>
    <t>ORG 0332</t>
  </si>
  <si>
    <t>Phoenix-A&amp;G Capital</t>
  </si>
  <si>
    <t>ORG 0333</t>
  </si>
  <si>
    <t>Pictet Asset Management (Europe) S.A.</t>
  </si>
  <si>
    <t>ORG 0334</t>
  </si>
  <si>
    <t>Pinnacle Asset Management, L.P.</t>
  </si>
  <si>
    <t>ORG 0335</t>
  </si>
  <si>
    <t>Premji Invest</t>
  </si>
  <si>
    <t>ORG 0336</t>
  </si>
  <si>
    <t>Prime Capital AG</t>
  </si>
  <si>
    <t>ORG 0337</t>
  </si>
  <si>
    <t>Progressive Capital Partners Ltd.</t>
  </si>
  <si>
    <t>ORG 0338</t>
  </si>
  <si>
    <t>QC Partners GmbH</t>
  </si>
  <si>
    <t>ORG 0339</t>
  </si>
  <si>
    <t>QIA</t>
  </si>
  <si>
    <t>ORG 0340</t>
  </si>
  <si>
    <t>Reichmuth &amp; Co Investment Management AG</t>
  </si>
  <si>
    <t>ORG 0341</t>
  </si>
  <si>
    <t>Resonanz Capital GmbH</t>
  </si>
  <si>
    <t>ORG 0342</t>
  </si>
  <si>
    <t>Riverside Europe Partners GmbH</t>
  </si>
  <si>
    <t>ORG 0343</t>
  </si>
  <si>
    <t>Robeco Deutschland</t>
  </si>
  <si>
    <t>ORG 0344</t>
  </si>
  <si>
    <t>Rudolf Wolff Limited - Dubai</t>
  </si>
  <si>
    <t>ORG 0372</t>
  </si>
  <si>
    <t>ORG 0345</t>
  </si>
  <si>
    <t>Salm Global Timber GmbH</t>
  </si>
  <si>
    <t>ORG 0346</t>
  </si>
  <si>
    <t>Santander Asset Management</t>
  </si>
  <si>
    <t>ORG 0373</t>
  </si>
  <si>
    <t>ORG 0347</t>
  </si>
  <si>
    <t>Schroders Capital</t>
  </si>
  <si>
    <t>ORG 0348</t>
  </si>
  <si>
    <t>Shard Credit Partners</t>
  </si>
  <si>
    <t>ORG 0349</t>
  </si>
  <si>
    <t>Sienna Investment Managers SA</t>
  </si>
  <si>
    <t>ORG 0350</t>
  </si>
  <si>
    <t>SimCorp GmbH</t>
  </si>
  <si>
    <t>ORG 0351</t>
  </si>
  <si>
    <t>Social Infra Ventures (SIV) is an Africa-focused climate-resilient, green and inclusive housing platform providing low-cost housing and social infrastructure (such as schools, clinics, sport facilities, etc.) in Africa’s Tier II cities, leveraging local capital market infrastructure.</t>
  </si>
  <si>
    <t>ORG 0352</t>
  </si>
  <si>
    <t>Solas Capital AG</t>
  </si>
  <si>
    <t>ORG 0353</t>
  </si>
  <si>
    <t>SOLUTIO AG Anlagekonzepte für Institutionen</t>
  </si>
  <si>
    <t>ORG 0354</t>
  </si>
  <si>
    <t xml:space="preserve">Startford House </t>
  </si>
  <si>
    <t>ORG 0355</t>
  </si>
  <si>
    <t>StepStone</t>
  </si>
  <si>
    <t>ORG 0356</t>
  </si>
  <si>
    <t>Stonepeak Partners LP</t>
  </si>
  <si>
    <t>ORG 0357</t>
  </si>
  <si>
    <t>SwanCap Partners GmbH</t>
  </si>
  <si>
    <t>ORG 0358</t>
  </si>
  <si>
    <t>SwedFund International AB</t>
  </si>
  <si>
    <t>ORG 0359</t>
  </si>
  <si>
    <t>Swiss Finance &amp; Property Deutschland GmbH</t>
  </si>
  <si>
    <t>ORG 0360</t>
  </si>
  <si>
    <t>Swiss Life Asset Managers, Niederlasung Deutschland</t>
  </si>
  <si>
    <t>ORG 0361</t>
  </si>
  <si>
    <t>Third Swedish National Pension Fund / AP3</t>
  </si>
  <si>
    <t>ORG 0362</t>
  </si>
  <si>
    <t>Tikehau Investment Management S.A.S.</t>
  </si>
  <si>
    <t>ORG 0363</t>
  </si>
  <si>
    <t>Twelve Capital (DE) GmbH</t>
  </si>
  <si>
    <t>ORG 0364</t>
  </si>
  <si>
    <t>UBS Asset Management</t>
  </si>
  <si>
    <t>ORG 0365</t>
  </si>
  <si>
    <t>Unigestion SA</t>
  </si>
  <si>
    <t>ORG 0366</t>
  </si>
  <si>
    <t>Vertevis Capital Partners GmbH</t>
  </si>
  <si>
    <t>ORG 0367</t>
  </si>
  <si>
    <t>WAVE Management AG</t>
  </si>
  <si>
    <t>ORG 0368</t>
  </si>
  <si>
    <t>Wealthcap Kapitalverwaltungsgesellschaft mbH</t>
  </si>
  <si>
    <t>ORG 0369</t>
  </si>
  <si>
    <t>Wellington Management Europe GmbH</t>
  </si>
  <si>
    <t>ORG 0370</t>
  </si>
  <si>
    <t>YIELCO Investments AG</t>
  </si>
  <si>
    <t>Avinash Jain</t>
  </si>
  <si>
    <t xml:space="preserve">Head Fixed Income </t>
  </si>
  <si>
    <t>Canara Robeco</t>
  </si>
  <si>
    <t>Name</t>
  </si>
  <si>
    <t>Designation</t>
  </si>
  <si>
    <t>Branch / Deprtment</t>
  </si>
  <si>
    <t>Email</t>
  </si>
  <si>
    <t>Address</t>
  </si>
  <si>
    <t>Phone</t>
  </si>
  <si>
    <t>Mobile</t>
  </si>
  <si>
    <t>Geography / Region</t>
  </si>
  <si>
    <t>Country / Location</t>
  </si>
  <si>
    <t>Sub-Location</t>
  </si>
  <si>
    <t>Notes / Comments</t>
  </si>
  <si>
    <t>Sinha  MK</t>
  </si>
  <si>
    <t xml:space="preserve">CIO </t>
  </si>
  <si>
    <t>+91 98672 00782</t>
  </si>
  <si>
    <t>Rajat Mishra</t>
  </si>
  <si>
    <t>Head - Asia</t>
  </si>
  <si>
    <t>KC Contact</t>
  </si>
  <si>
    <t>Ola Olanrewaju</t>
  </si>
  <si>
    <t>Director</t>
  </si>
  <si>
    <t>Housing</t>
  </si>
  <si>
    <t xml:space="preserve">olu.olanrewaju@altairltd.co.uk </t>
  </si>
  <si>
    <t>Obtained in World Bank 9th Conf on Affordable Housing from Malathy</t>
  </si>
  <si>
    <t xml:space="preserve">Alwin Oerlemans  </t>
  </si>
  <si>
    <t>Head of Product Management</t>
  </si>
  <si>
    <t>alwin.oerlemans@apg.nl</t>
  </si>
  <si>
    <t>+31 20 5839111</t>
  </si>
  <si>
    <t>Shri.A.S.Rajeev</t>
  </si>
  <si>
    <t>Managing Director &amp; Chief Executive Officer</t>
  </si>
  <si>
    <t>mdceo@mahabank.co.in</t>
  </si>
  <si>
    <t>Head Office, 'Lokmangal'1501, Shivaji Nagar, Pune-411005</t>
  </si>
  <si>
    <t>Letter sent from Director, Nagarajan, IAS on 31-8-2023</t>
  </si>
  <si>
    <t>Carole  Maman</t>
  </si>
  <si>
    <t>Chief Investment Officer</t>
  </si>
  <si>
    <t>carole.maman@bio-invest.be</t>
  </si>
  <si>
    <t>+32 (2) 778 99 99</t>
  </si>
  <si>
    <t>Manav Bansal</t>
  </si>
  <si>
    <t>Head BII</t>
  </si>
  <si>
    <t>123, Victoria Street, London SW1E6DE, United Kingdom</t>
  </si>
  <si>
    <t>402 - London</t>
  </si>
  <si>
    <t>Sathish 7-11-2023</t>
  </si>
  <si>
    <t>Maria Smith</t>
  </si>
  <si>
    <t>Head Development Impact</t>
  </si>
  <si>
    <t>marsmith@bii.co.uk</t>
  </si>
  <si>
    <t>Alagappan  Murugappan</t>
  </si>
  <si>
    <t>Managing Director, Asia Funds</t>
  </si>
  <si>
    <t>amurugappan@cdcgroup.com</t>
  </si>
  <si>
    <t>+44 (20) 7042 1501</t>
  </si>
  <si>
    <t>Debadatta chand</t>
  </si>
  <si>
    <t>md.ceo@bankofbaroda.com</t>
  </si>
  <si>
    <t>Baroda Corporate Centre,  Plot No. C-26, Block-G, Bandra Kurla Complex, Bandra (East), Mumbai 400051</t>
  </si>
  <si>
    <t>Shri. Debadatta chand</t>
  </si>
  <si>
    <t>Baroda Corporate Centre, Plot No. C-26, Block-G, Bandra Kurla Complex,Bandra (East), Mumbai 400051</t>
  </si>
  <si>
    <t>110 - Mumbai</t>
  </si>
  <si>
    <t>112 - BKC</t>
  </si>
  <si>
    <t>Rajneesh Karnatak</t>
  </si>
  <si>
    <t>cmd@bankofindia.co.in</t>
  </si>
  <si>
    <t>BANK OF INDIA STAR HOUSE C - 5 “G” Block, Bandra Kurla Complex, Bandra (East), Mumbai - 400 051</t>
  </si>
  <si>
    <t>Shri. Rajneesh Karnatak</t>
  </si>
  <si>
    <t xml:space="preserve"> cmd@bankofindia.co.in</t>
  </si>
  <si>
    <t>Baroda Bhawan,
7th floor,  R.C. Dutt Road,Vadodara - 390007</t>
  </si>
  <si>
    <t>Shri.K.Satyanarayana Raju</t>
  </si>
  <si>
    <t>mdceo@canarabank.com</t>
  </si>
  <si>
    <t>Head Office No.112J C Road Bengaluru - 560 002</t>
  </si>
  <si>
    <t>140 - Bangalore</t>
  </si>
  <si>
    <t>Letter sent from Director, Nagarajan, IAS on 31-8-2023 
cc addressed to: Debasish Mukerjee, ED,
edsct3@canarabank.com
Janardhana Rao.PV janardhanaraopv@canarabank.com</t>
  </si>
  <si>
    <t>K. Satyanarayana Raju</t>
  </si>
  <si>
    <t>Head Office No.112 J C Road  Bengaluru - 560 002</t>
  </si>
  <si>
    <t>Alex  Sundakov</t>
  </si>
  <si>
    <t>Executive Director</t>
  </si>
  <si>
    <t>Alex.Sundakov@castalia-advisors.com</t>
  </si>
  <si>
    <t>+61 433043337</t>
  </si>
  <si>
    <t>We are experts in the finance, economics, law, and policy of infrastructure, natural resources and social service provision. We are passionate about finding solutions to the world’s most complex infrastructure problems in those fields, knowing that in doing so we can make the world a better place.
Founded in 1980 by Roland Leroy in Paris, Castalia was built from the start around innovative thinking on the organization of public services. Our portfolio of work speaks for itself. Over the past 4 decades we have pioneered public private partnerships in infrastructure on a global scale, we developed the framework that will help utilities to turn themselves around, and we are now redefining the fiscal management of infrastructure.</t>
  </si>
  <si>
    <t>Shri. Pralay Mondal</t>
  </si>
  <si>
    <t>mdceo@csn.in</t>
  </si>
  <si>
    <t>CSB Bhavan, P.O Box No. 502,St. Mary’s College Road,Thrissur - 680 020, Kerala.</t>
  </si>
  <si>
    <t>Pralay Mondal</t>
  </si>
  <si>
    <t>mdceo@csb.in</t>
  </si>
  <si>
    <t>CSB Bhavan, P.O Box No. 502, St. Mary’s College Road, Thrissur - 680 020, Kerala.</t>
  </si>
  <si>
    <t>Barry Krinsky</t>
  </si>
  <si>
    <t>Regional Director for Southern region of Citi Community Capital</t>
  </si>
  <si>
    <t>US</t>
  </si>
  <si>
    <t>barry.krinsky@citi.com</t>
  </si>
  <si>
    <t>Alistair  Britton</t>
  </si>
  <si>
    <t>Founder &amp; MD</t>
  </si>
  <si>
    <t>enquiries@claytonventures.com</t>
  </si>
  <si>
    <t>+44 (0) 203 589 6234</t>
  </si>
  <si>
    <t>Venkateswaran S</t>
  </si>
  <si>
    <t>CGM - Finance</t>
  </si>
  <si>
    <t>Manali</t>
  </si>
  <si>
    <t>044-25941167</t>
  </si>
  <si>
    <t>Satish met on 29-1-2024</t>
  </si>
  <si>
    <t xml:space="preserve">N. Kamakodi </t>
  </si>
  <si>
    <t>nkamakoti@cityunionbank.com</t>
  </si>
  <si>
    <t>"Narayana" No.24B, Gandhi Nagar Kumbakonam - 612 001, Tamilnadu,</t>
  </si>
  <si>
    <t xml:space="preserve">Dr.N.Kamakodi </t>
  </si>
  <si>
    <t>"Narayana" No.24B, Gandhi NagarKumbakonam - 612 001, Tamilnadu,</t>
  </si>
  <si>
    <t>Shri. Surojit Shome</t>
  </si>
  <si>
    <t>ceodbsindia@dbs.com</t>
  </si>
  <si>
    <t>19th Floor, Express Towers, Nariman Point,  Mumbai – 400021.</t>
  </si>
  <si>
    <t>115 - Nariman Point</t>
  </si>
  <si>
    <t>Surojit Shome</t>
  </si>
  <si>
    <t>19th Floor, Express Towers,  Nariman Point,  Mumbai – 400021.</t>
  </si>
  <si>
    <t>Shri.Murali.M.Natrajan</t>
  </si>
  <si>
    <t>muralim.natrajan@dcbbank.com</t>
  </si>
  <si>
    <t>P.O. Box No. 7643, Malad (West), Mumbai 400064.</t>
  </si>
  <si>
    <t>Murali.M. Natrajan</t>
  </si>
  <si>
    <t>P.O. Box No. 7643, Malad (West),  Mumbai 400064.</t>
  </si>
  <si>
    <t>Shri.J.K.Shivan</t>
  </si>
  <si>
    <t>mdoffice@dhanbank.co.in</t>
  </si>
  <si>
    <t>Corporate Office, Punkunnam, Thrissur, Kerala - 680002</t>
  </si>
  <si>
    <t>J.K. Shivan</t>
  </si>
  <si>
    <t>Corporate Office, Punkunnam,  Thrissur, Kerala - 680002</t>
  </si>
  <si>
    <t>Deldar Tony Singh</t>
  </si>
  <si>
    <t>Partner</t>
  </si>
  <si>
    <t>Neha Khosla</t>
  </si>
  <si>
    <t>Private Sector Development Advisor</t>
  </si>
  <si>
    <t>Naha.khosla@fcdo.gov.uk</t>
  </si>
  <si>
    <t>Shanthi path, Chanakyapuri, New Delhi</t>
  </si>
  <si>
    <t>Shri. Shyam Srinivasan</t>
  </si>
  <si>
    <t>shyamsrinivasan@federalbank.co.in</t>
  </si>
  <si>
    <t>Parackal Towers, Parur Junction, Aluva-683102</t>
  </si>
  <si>
    <t>Shyam Srinivasan</t>
  </si>
  <si>
    <t>Parackal Towers, Parur Junction,  Aluva-683102</t>
  </si>
  <si>
    <t>Christoph  Freytag</t>
  </si>
  <si>
    <t>Managing Director</t>
  </si>
  <si>
    <t>c.freytag@finance-in-motion.com</t>
  </si>
  <si>
    <t>+49 (69) 271 035 543</t>
  </si>
  <si>
    <t xml:space="preserve">Milena Bertram  </t>
  </si>
  <si>
    <t>Director - Investment Management</t>
  </si>
  <si>
    <t>m.bertram@finance-in-motion.com</t>
  </si>
  <si>
    <t>+49 (0) 69977876500</t>
  </si>
  <si>
    <t xml:space="preserve">Mikko Kuuskoski  </t>
  </si>
  <si>
    <t>Associate Director - Investment</t>
  </si>
  <si>
    <t>mikko.kuuskoski@finfund.fi</t>
  </si>
  <si>
    <t>+358 934843434</t>
  </si>
  <si>
    <t>Riikka  Molander</t>
  </si>
  <si>
    <t>Associate Director</t>
  </si>
  <si>
    <t>riikka.molander@finfund.fi</t>
  </si>
  <si>
    <t>+338 (50) 3694039</t>
  </si>
  <si>
    <t>Aditya Mohan</t>
  </si>
  <si>
    <t>Satish met on 7-11-2023.</t>
  </si>
  <si>
    <t>Pankaj  Gupta</t>
  </si>
  <si>
    <t>Founder &amp; Co-CEO</t>
  </si>
  <si>
    <t>pankajgupta12@hotmail.com</t>
  </si>
  <si>
    <t>Shri. Ankur Maheswari</t>
  </si>
  <si>
    <t>Investment Team - Head</t>
  </si>
  <si>
    <t>ankur.maheshwari@hdfcbank.com</t>
  </si>
  <si>
    <t>HDFC Lower Parel</t>
  </si>
  <si>
    <t>Sanjay Kulshrestha</t>
  </si>
  <si>
    <t>Chairman &amp; Managing Director</t>
  </si>
  <si>
    <t>Shri. Rakesh Sharma</t>
  </si>
  <si>
    <t>md.ceo@idbi.co.in</t>
  </si>
  <si>
    <t>IDBI Tower, WTC Complex, Cuffe Parade, Colaba, Mumbai 400005.</t>
  </si>
  <si>
    <t>Rakesh Sharma</t>
  </si>
  <si>
    <t>IDBI Tower, WTC Complex,  Cuffe Parade, Colaba,  Mumbai 400005.</t>
  </si>
  <si>
    <t>Shalabh Tandon</t>
  </si>
  <si>
    <t>standon@ifc.org</t>
  </si>
  <si>
    <t>Nitish Chawla</t>
  </si>
  <si>
    <t>Senior Investment Manager</t>
  </si>
  <si>
    <t>nch@ifu.dk</t>
  </si>
  <si>
    <t>Unit No.5A-1, 5th floor, Aria Signature Office, JW Marriot, Asset Area 4, Hospitality District, Aerocity, Newdelhi</t>
  </si>
  <si>
    <t>Goel S. K</t>
  </si>
  <si>
    <t>cmd@iifcl.org</t>
  </si>
  <si>
    <t>Met during Delhi visit</t>
  </si>
  <si>
    <t>Shri. Shanti Lal Jain</t>
  </si>
  <si>
    <t>cmdsec@indianbank.co.in</t>
  </si>
  <si>
    <t>PB No: 5555, 254-260, Avvai Shanmugam Salai, RoyapettahChennai – 600 014</t>
  </si>
  <si>
    <t>100 - India</t>
  </si>
  <si>
    <t>130- Chennai</t>
  </si>
  <si>
    <t>999 - TBD</t>
  </si>
  <si>
    <t>Gapriel Espana</t>
  </si>
  <si>
    <t>MD</t>
  </si>
  <si>
    <t>Washington DC, USA</t>
  </si>
  <si>
    <t>gespana@iskalicapital.com</t>
  </si>
  <si>
    <t xml:space="preserve">Deepa Salvan  </t>
  </si>
  <si>
    <t>Principal International Finance Specialist</t>
  </si>
  <si>
    <t>d-salvan@jbic.go.jp</t>
  </si>
  <si>
    <t>+91 (011) 43522910</t>
  </si>
  <si>
    <t>Shri. Srikrishnan Hari Hara Sarma</t>
  </si>
  <si>
    <t>mdsec@ktkbank.com</t>
  </si>
  <si>
    <t>Post Box No. 599.Mahaveera Circle,Kankanady,Mangaluru-575 002.Dakshina Kannada Dist.</t>
  </si>
  <si>
    <t>Srikrishnan Hari Hara Sarma</t>
  </si>
  <si>
    <t>Post Box No. 599.Mahaveera Circle, Kankanady,Mangaluru-575 002. Dakshina Kannada Dist.</t>
  </si>
  <si>
    <t>B. Ramesh Babu</t>
  </si>
  <si>
    <t>kvbceo@kvbmail.com</t>
  </si>
  <si>
    <t>No 20, Erode Road, Vadivel Nagar, L.N.S. Karur - 639002</t>
  </si>
  <si>
    <t xml:space="preserve">Luis Miguel  </t>
  </si>
  <si>
    <t>Sr.Expert Sustainability</t>
  </si>
  <si>
    <t>luis-miguel.gutierrez@kfw.de</t>
  </si>
  <si>
    <t>+91 9930990739</t>
  </si>
  <si>
    <t>Shri.B.Ramesh Babu</t>
  </si>
  <si>
    <t>No 20, Erode Road,Vadivel Nagar, L.N.S.Karur - 639002</t>
  </si>
  <si>
    <t>Alok Jena</t>
  </si>
  <si>
    <t>CGM</t>
  </si>
  <si>
    <t>Met on June 20, 2023</t>
  </si>
  <si>
    <t>Kamalesh Kumar</t>
  </si>
  <si>
    <t>GM</t>
  </si>
  <si>
    <t>Subsidiaries and Strategic investments</t>
  </si>
  <si>
    <t>kamalesh.kumar@nabard.org</t>
  </si>
  <si>
    <t>Shri. KV Shaji</t>
  </si>
  <si>
    <t>Chairman</t>
  </si>
  <si>
    <t>chairmansectt@nabard.org</t>
  </si>
  <si>
    <t>Plot C-24, G Block, Bandra Kurla Complex,BKC Road, Bandra East, Mumbai, Maharashtra 400051</t>
  </si>
  <si>
    <t>Met on June 20, 2023. Letter sent from Director, Nagarajan, IAS on 31-8-2023</t>
  </si>
  <si>
    <t>K.V. Shaji</t>
  </si>
  <si>
    <t>Plot C-24, G Block, Bandra Kurla Complex, BKC Road, Bandra East, Mumbai,  Maharashtra 400051</t>
  </si>
  <si>
    <t>Samuel Jospeh</t>
  </si>
  <si>
    <t>Deputy Managing Director</t>
  </si>
  <si>
    <t>Mukundan K</t>
  </si>
  <si>
    <t>Senior Principal</t>
  </si>
  <si>
    <t>k.mukundan@niifindia.in</t>
  </si>
  <si>
    <t xml:space="preserve">Eric Smeets  </t>
  </si>
  <si>
    <t>Senior Investment Officer</t>
  </si>
  <si>
    <t>e.smeets@fmo.nl</t>
  </si>
  <si>
    <t>+31 (0) 6425569</t>
  </si>
  <si>
    <t xml:space="preserve">Wim Wienk  </t>
  </si>
  <si>
    <t>w.wienk@fmo.nl</t>
  </si>
  <si>
    <t>+31 703149626</t>
  </si>
  <si>
    <t xml:space="preserve">Stephan Maclean  </t>
  </si>
  <si>
    <t>Manager, Investment Risk &amp; Research</t>
  </si>
  <si>
    <t>macleaNst@nspension.ca</t>
  </si>
  <si>
    <t>+902 (429) 6283</t>
  </si>
  <si>
    <t>Steve  Mahoney</t>
  </si>
  <si>
    <t>mahoneyst@nspension.ca</t>
  </si>
  <si>
    <t>+902 (429) 6305</t>
  </si>
  <si>
    <t>Ilka  Yvonne Vogel</t>
  </si>
  <si>
    <t>Senior Manager</t>
  </si>
  <si>
    <t>ilka.vogel@oe-eb.at</t>
  </si>
  <si>
    <t>+431 53312002985</t>
  </si>
  <si>
    <t xml:space="preserve">Sabine Gaber  </t>
  </si>
  <si>
    <t>Head of Investment</t>
  </si>
  <si>
    <t>sabine.gaber@oe-eb.at</t>
  </si>
  <si>
    <t>+431 53312002973</t>
  </si>
  <si>
    <t>Marc  Dupont</t>
  </si>
  <si>
    <t>Director, Government and Public Affairs</t>
  </si>
  <si>
    <t>marc_dupont@otpp.com</t>
  </si>
  <si>
    <t>+1 (416) 730-3501</t>
  </si>
  <si>
    <t>Niharika Maheshwari</t>
  </si>
  <si>
    <t>Investment Officer</t>
  </si>
  <si>
    <t>maheshwarin@afd.fr</t>
  </si>
  <si>
    <t>112, Malcha Marg, Chanakyapuri New Delhi</t>
  </si>
  <si>
    <t>Shri. Atul Kumar Goel</t>
  </si>
  <si>
    <t>md@pnb.co.in</t>
  </si>
  <si>
    <t>Plot No. 4, Sector 10,Dwarka, New Delhi - 110075</t>
  </si>
  <si>
    <t xml:space="preserve">Thomas S Fallows  </t>
  </si>
  <si>
    <t>Chief investment Officer</t>
  </si>
  <si>
    <t>tsfallows@saib.com.sa</t>
  </si>
  <si>
    <t>+966 546151698</t>
  </si>
  <si>
    <t>Manish Makharia</t>
  </si>
  <si>
    <t>EVP &amp; Head -AIF</t>
  </si>
  <si>
    <t>Fund of Funds</t>
  </si>
  <si>
    <t>manishmakharia@hotmail.com</t>
  </si>
  <si>
    <t xml:space="preserve">To get the professional Email. </t>
  </si>
  <si>
    <t>Shri. Suresh Kozhikote</t>
  </si>
  <si>
    <t> </t>
  </si>
  <si>
    <t>Wing, 12th Floor, Marathon Futurex,Mafatlal Mills Compound,  N.M.Joshi Marg,Lower Parel, Mumbai 400013</t>
  </si>
  <si>
    <t>Suresh Kozhikote</t>
  </si>
  <si>
    <t>Wing, 12th Floor, Marathon Futurex, Mafatlal Mills Compound,  N.M.Joshi Marg, Lower Parel, Mumbai 400013</t>
  </si>
  <si>
    <t>Shruti Gonsalves</t>
  </si>
  <si>
    <t>MD and CEO</t>
  </si>
  <si>
    <t>Affordable Housing Finance, India</t>
  </si>
  <si>
    <t xml:space="preserve">ceo@sgrlimited.in, ceo.sewagrihrin@gmail.com </t>
  </si>
  <si>
    <t>Amrita Sarker</t>
  </si>
  <si>
    <t>Chii Akporji</t>
  </si>
  <si>
    <t>Chairperson</t>
  </si>
  <si>
    <t>Housing in Africa</t>
  </si>
  <si>
    <t>chii.akporji@alphacitiesafrica.org</t>
  </si>
  <si>
    <t>Dr.Mohammed M Gambo</t>
  </si>
  <si>
    <t>Head</t>
  </si>
  <si>
    <t>mgambo@shelterafrique.org</t>
  </si>
  <si>
    <t>Therino-Habib Hann</t>
  </si>
  <si>
    <t>CEO and MD</t>
  </si>
  <si>
    <t>thann@shelterafrique.org</t>
  </si>
  <si>
    <t>Shri. Sivasubramanian Ramann</t>
  </si>
  <si>
    <t>cmdsecretariat@sidbi.in;
cmd@sidbi.in</t>
  </si>
  <si>
    <t>SWAVALAMBAN BHAVANC-11, G-Block, Bandra-Kurla Complex,Bandra East, Mumbai 400051</t>
  </si>
  <si>
    <t>Porus  Satwe</t>
  </si>
  <si>
    <t>CIO</t>
  </si>
  <si>
    <t>porus.satwe@gmail.com</t>
  </si>
  <si>
    <t>+971 (54) 306 3639</t>
  </si>
  <si>
    <t>Anna Vilarrubi</t>
  </si>
  <si>
    <t>CFO and Partner</t>
  </si>
  <si>
    <t>Infrastructure, Africa</t>
  </si>
  <si>
    <t>anna.vilarrubi@sivafrica.com</t>
  </si>
  <si>
    <t>Daniel Font</t>
  </si>
  <si>
    <t>CEO &amp; COO North Africa</t>
  </si>
  <si>
    <t xml:space="preserve">daniel.font@sivafrica.com </t>
  </si>
  <si>
    <t>Shri. Murali Ramakrishnan</t>
  </si>
  <si>
    <t>md@sib.co.in</t>
  </si>
  <si>
    <t>T.B Road, Mission Quarters,Thrissur 680 001, Kerala.</t>
  </si>
  <si>
    <t>Murali Ramakrishnan</t>
  </si>
  <si>
    <t>T.B Road, Mission Quarters, 
 Thrissur 680 001, Kerala.</t>
  </si>
  <si>
    <t>Shri.S.Krishnan</t>
  </si>
  <si>
    <t>mdoffice@tmbank.in</t>
  </si>
  <si>
    <t>Regd. office: 57, V. E. Road, Thoothukudi – 628 002</t>
  </si>
  <si>
    <t>S. Krishnan</t>
  </si>
  <si>
    <t>Regd. office: 57, V. E. Road,  Thoothukudi – 628 002</t>
  </si>
  <si>
    <t>Alasdair  Maclay</t>
  </si>
  <si>
    <t>Chief Strategy Officer</t>
  </si>
  <si>
    <t>maclay@mail.com</t>
  </si>
  <si>
    <t>+44 (7887) 521 963</t>
  </si>
  <si>
    <t>Usha V Girish</t>
  </si>
  <si>
    <t>General Manager</t>
  </si>
  <si>
    <t>Investments</t>
  </si>
  <si>
    <t>+91 89398 43002</t>
  </si>
  <si>
    <t>Referred by Sant Panda</t>
  </si>
  <si>
    <t>Maarten Geeraerts</t>
  </si>
  <si>
    <t>Group Chief Executive Officer</t>
  </si>
  <si>
    <t>Kanoo Tower, Level 19, Entrance No. 155 Road 1703, Block 317 Diplomatic Area, Kingdom of Bahrain</t>
  </si>
  <si>
    <t>+973 1722 0220</t>
  </si>
  <si>
    <t>Sean  Daykin</t>
  </si>
  <si>
    <t>seandaykin@hotmail.com</t>
  </si>
  <si>
    <t>Ms.Shinya Ejima</t>
  </si>
  <si>
    <t>Chief Representative</t>
  </si>
  <si>
    <t>nakamura.yui@jica.go.jp</t>
  </si>
  <si>
    <t>2nd Floor, Dr.Gopal Das Bhawan, 28, Barakhamba Road, New Delhi 110 001</t>
  </si>
  <si>
    <t>+91 11 4768 5500</t>
  </si>
  <si>
    <t>200 - APAC</t>
  </si>
  <si>
    <t>120 - NCR</t>
  </si>
  <si>
    <t>Confirmed, Still in JICA</t>
  </si>
  <si>
    <t>Ms. Miho Horikawa</t>
  </si>
  <si>
    <t>Representative</t>
  </si>
  <si>
    <t>Horikawa.miho@jica.go.jp</t>
  </si>
  <si>
    <t>+91 11 23714362</t>
  </si>
  <si>
    <t>Johan De Ketelbutter</t>
  </si>
  <si>
    <t>Adviser General</t>
  </si>
  <si>
    <t>j.deketelbutter@sfpi-fpim.be</t>
  </si>
  <si>
    <t>Avenue Louise 32 - 46A boite 41050 Bruxelles T 02 548 52 11 Louizalaan 32-46A bus 4 1050 T 02 548 52 11</t>
  </si>
  <si>
    <t>02.548.52.06</t>
  </si>
  <si>
    <t>400 - EUR</t>
  </si>
  <si>
    <t>Belgium</t>
  </si>
  <si>
    <t>Brussels</t>
  </si>
  <si>
    <t>Linkedin says confirmed. But no recent update</t>
  </si>
  <si>
    <t>David Roseman</t>
  </si>
  <si>
    <t>Global Head, Infra. Utilities &amp; Renewable</t>
  </si>
  <si>
    <t>Infrastructure</t>
  </si>
  <si>
    <t>alisa.zammit@macquarie.com</t>
  </si>
  <si>
    <t>No.1, Martin Place, Sydney NSW 2000</t>
  </si>
  <si>
    <t>+61 2 82326856</t>
  </si>
  <si>
    <t>Australia</t>
  </si>
  <si>
    <t>Sydney</t>
  </si>
  <si>
    <t>Junki Yamashita</t>
  </si>
  <si>
    <t>Senior Director</t>
  </si>
  <si>
    <t>junki_yamashita@jetro.go.jp</t>
  </si>
  <si>
    <t>Seshachalam Centre, 8th Floor, 636/1, Nandanam, Anna Salai, Chennai 600 035</t>
  </si>
  <si>
    <t>+ 91 44 6623 0100</t>
  </si>
  <si>
    <t>+91 9176614051</t>
  </si>
  <si>
    <t>190 - Other India</t>
  </si>
  <si>
    <t>130 - Chennai</t>
  </si>
  <si>
    <t>Local Contacts Updated JETO</t>
  </si>
  <si>
    <t>Veera Babu Veerla</t>
  </si>
  <si>
    <t>Assistant Director</t>
  </si>
  <si>
    <t>veerababu_veerla@jetro.go.jp</t>
  </si>
  <si>
    <t>+91 9176658403</t>
  </si>
  <si>
    <t>Søren Thinggaard HansenSøren Thinggaard Hansen</t>
  </si>
  <si>
    <t>Sr Partner and Head of PE</t>
  </si>
  <si>
    <t>PE</t>
  </si>
  <si>
    <t>sth@novo.dk</t>
  </si>
  <si>
    <t>Tuborg Havnevej 19 2900 Hellerup Denmark</t>
  </si>
  <si>
    <t>+4535276500</t>
  </si>
  <si>
    <t>409 - Other EUR</t>
  </si>
  <si>
    <t>Novo Holdings is a holding and investment company that is responsible for managing the assets and the wealth of the Novo Nordisk Foundation, one of the world’s largest philanthropic enterprise foundations.
Novo Holdings is the controlling shareholder of Novo Nordisk A/S and Novozymes A/S and manages an investment portfolio, with a long-term return perspective. In addition to managing a broad portfolio of equities, bonds, real estate, infrastructure and private equity assets, Novo Holdings is a world-leading life sciences investor. Through its Seeds, Venture, Growth, and Principal Investments teams, Novo Holdings invests in life science companies at all stages of development.</t>
  </si>
  <si>
    <t>Anita Serrate</t>
  </si>
  <si>
    <t>anita.serrate@bio-invest.be</t>
  </si>
  <si>
    <t>Avenue de Tervuren_x000D_
188a, 1150 Brussels</t>
  </si>
  <si>
    <t>+32 (0) 277789984</t>
  </si>
  <si>
    <t>Alagappan Murugappan</t>
  </si>
  <si>
    <t>Stratford House Advisors LLP, Mumbai India, Vaswani Chambers, 264 - 265, Dr Annie Besant Road, Worli,
Mumbai, 400 025</t>
  </si>
  <si>
    <t>+91 98192 99720</t>
  </si>
  <si>
    <t>Stratford House, established by a spin out team from BII’s South Asia Funds team, provides intermediated solutions to investors in the South Asian private equity industry. Prior to founding the firm, the Partners were with BII for over seven years and held leadership roles in making new commitments to South Asian funds, managing the largest portfolio of Indian funds and managing a portfolio of legacy funds in China and South East Asia.
Stratford House continues to advise BII on a part of their funds’ portfolio in India and also advises Dayton Advisors, a wholly owned subsidiary of BII, on its secondaries partnership for India with Coller Capital.
Stratford House intends to provide intermediated fund based and non-fund based solutions to Limited Partners and General Partners in India and South Asia. These are expected to include customised products including advisory services, portfolio management services, primary and secondary fund investments within the South Asian alternatives industry.</t>
  </si>
  <si>
    <t>Sandeep Nanduri</t>
  </si>
  <si>
    <t>md@tidco.com</t>
  </si>
  <si>
    <t>Resolved</t>
  </si>
  <si>
    <t>To Do</t>
  </si>
  <si>
    <t>Criticality</t>
  </si>
  <si>
    <t>Status</t>
  </si>
  <si>
    <t>Counterparty</t>
  </si>
  <si>
    <t>Date</t>
  </si>
  <si>
    <t>Classification</t>
  </si>
  <si>
    <t>Target Date</t>
  </si>
  <si>
    <t>Counterparty - Person (Opt)</t>
  </si>
  <si>
    <t>Query / Activity / Action</t>
  </si>
  <si>
    <t>Response</t>
  </si>
  <si>
    <t>Followup Activity</t>
  </si>
  <si>
    <t>Due-Diligence</t>
  </si>
  <si>
    <t>Call with them 
They want to understand further about our Funds and their operations to take it to their Investors</t>
  </si>
  <si>
    <t>Draft terms of the engagement to be sent by Nicolas</t>
  </si>
  <si>
    <t>Meeting / Call</t>
  </si>
  <si>
    <t>KC and Gana have presented the details about our fund and the achievements to date. Have updated him about the process TNESSF had to date with NABARD</t>
  </si>
  <si>
    <t xml:space="preserve">He has graciously offered to help us with the fundraising. </t>
  </si>
  <si>
    <t>To meet the NABARD people in Mumbai - CGM, DSSI</t>
  </si>
  <si>
    <t>KC to coordinate</t>
  </si>
  <si>
    <t>Meeting with Mr. Ratnakar Patnaik, ED - Investments 
1. He said that while our bhistory with LIC was not desirable in terms of its conclusions, he appreciated the work being done by various TNIFMC funds and was willing to evaluate us
2. He spelt our LIC's desirable criteria - Crisil Fund Grading (grade 1), atleast 1500 Cr size (TNGCF meets this) and a robust track record and governance process
3. We should come back later and meet his team who would evaluate the funds
4. There is a possibility that we could show SIDBI's committment to our funds and the same could help them</t>
  </si>
  <si>
    <t>We shall revert with all the follow-on tasks</t>
  </si>
  <si>
    <t>KC to take this further</t>
  </si>
  <si>
    <t>Meeting with Mr. Akshay Panth. We were asked to send an update of TNESSF fundraising initiatives and the progress therein</t>
  </si>
  <si>
    <t>Asked Jana to compile and send the mail to the SRI Team</t>
  </si>
  <si>
    <t>To take appointment woith Mr. Acharya of NSIC</t>
  </si>
  <si>
    <t>Jana to send</t>
  </si>
  <si>
    <t>To take appointment of Mr. Acharya and keep him update of the process between SRI and TNESSF</t>
  </si>
  <si>
    <t xml:space="preserve">Decided not to meet Mr. Acharya </t>
  </si>
  <si>
    <t>KC to take the appointment</t>
  </si>
  <si>
    <t>ADB PSOD raised queries on the past performance of their Technical Assistance to TNIF. (they were not happy with the fact that we may not have responded to them)</t>
  </si>
  <si>
    <t>WE have multiple times conveyed that our response has always been there and it was prompt. Additionally, ADB being an investor in TNSF had not faced any challenges related to communicatrion.WE HAVE ADDITIONALLY PREPARED A POINT BY POINT RESPONSE ON THE VARIOUS CONCERNS RAISED BY ADB - PSOD ON THE SAID TECH ASSISTANCE AND HAVE MAILED THE SAME ACROSS</t>
  </si>
  <si>
    <t>Farshed of ADB PSOD had reverted that the Budget for this year is done and no more new allocations can be made to India. He had advised ius approach them in Jan / Feb 2025</t>
  </si>
  <si>
    <t>Info Request</t>
  </si>
  <si>
    <t>Give Foxconn project details and seek the interest of PSOD in evaluating the same</t>
  </si>
  <si>
    <t>Details sent and they have sought some clarifications</t>
  </si>
  <si>
    <t>Sathan to coordinate. KC and Gana to visit Manila post the initial discussion after sending the response. To take Srinivas Sampath help on this</t>
  </si>
  <si>
    <t>Arrange the visit of the VP, ADB to the various sites of TNSF</t>
  </si>
  <si>
    <t>ADB Directors are visiting the site in Jan 2025, ADB in India from 7th to 10th</t>
  </si>
  <si>
    <t>Sathan to coordinate</t>
  </si>
  <si>
    <t>DEA will coordinate</t>
  </si>
  <si>
    <t>In-Process</t>
  </si>
  <si>
    <t>Visit to Manila to pitch for ADB - PSOD investments in the various initiatives of TNIFMC</t>
  </si>
  <si>
    <t>K. Janardhan</t>
  </si>
  <si>
    <t>Follow-up</t>
  </si>
  <si>
    <t>Send a follow-up mail to Mr. Janardhana Rao, CGM - Treasury of Canara Bank</t>
  </si>
  <si>
    <t>Sent on 11th November 2024</t>
  </si>
  <si>
    <t>Send the info to Coal India, NLC, CPCL and TNPL</t>
  </si>
  <si>
    <t>Coal India and CPCL done. Others pending</t>
  </si>
  <si>
    <t>Satish to coordinate this activity</t>
  </si>
  <si>
    <t>To speak with Ms. PK, IAS to speak with the CMD. 
Mail sent to the Treasury GM in Mumbai
Ask for meeting with the CGM Treasury based in Chennai</t>
  </si>
  <si>
    <t>KC to discuss with Mr. Satyanarayana</t>
  </si>
  <si>
    <t>to folliw up with ED</t>
  </si>
  <si>
    <t>Follow-up with the Industries Department on the status of their commitment to the TNESSF</t>
  </si>
  <si>
    <t>Satish to coordinate this activity. The JICA team is expected to be in Chennai end November 2024</t>
  </si>
  <si>
    <t>Follow-up with the Industries Department on the status of their commitment to the TNGCF</t>
  </si>
  <si>
    <t>Get appointment for this meeting</t>
  </si>
  <si>
    <t xml:space="preserve">To send mail asserting that TNESSF and TNSF are separate funds with independent governance structure. </t>
  </si>
  <si>
    <t>Get the update</t>
  </si>
  <si>
    <t>Proparco and multilateral agencies would take time. Some of the agencies (Proparco) they have organised the meetings. Wen have tio ask them to irganise the other  meetings too</t>
  </si>
  <si>
    <t>Sathan to follow up with them and get the update</t>
  </si>
  <si>
    <t>Mail to be sent to Sangita Bibi of SRI updating on the various fundraising initiatives and their progress by TNESSF</t>
  </si>
  <si>
    <t>kc TO TALK TO Manoj Mittal
To follow hp with Rahul</t>
  </si>
  <si>
    <t>They need to follow-up with REC, IREDA and HUDCO for TNGCF</t>
  </si>
  <si>
    <t>SKC not available in Delhi during the December first week visit of TNIFMC personnel. Have to take this workstream later</t>
  </si>
  <si>
    <t>Get update fomr Tipsons</t>
  </si>
  <si>
    <t>Their senion management will be in Chennai in the Week of 11 Nov 2024 and we should meet them</t>
  </si>
  <si>
    <t>Meeting held on 
Follow-up email being sent.</t>
  </si>
  <si>
    <t>Ask for meeting with the CGM, Government Business as there is no  CGM Treasury based in Chennai</t>
  </si>
  <si>
    <t>get appointment with cgm, govt business</t>
  </si>
  <si>
    <t>Meeting with Tipsons in Chennai</t>
  </si>
  <si>
    <t>call with tipsons done. we need one more follow up</t>
  </si>
  <si>
    <t>To Get a meeting / Call from fpormer head of ADB Health team for Asia (Dr. Shekar Bonu, IAS)</t>
  </si>
  <si>
    <t>KC to do</t>
  </si>
  <si>
    <t>Prepare an Info Memo for AIIB and other multilateral investors for the TNGCF</t>
  </si>
  <si>
    <t>Satish</t>
  </si>
  <si>
    <t>We need to call him and ask specific querstions satisfying our requirements with respect to connecting with the focussed investors</t>
  </si>
  <si>
    <t>Arrange a meeting with Mr. Padma Kumar</t>
  </si>
  <si>
    <t xml:space="preserve">WE sent a note to them after our meeting. They are seeking a site visit to our WWHCL site. </t>
  </si>
  <si>
    <t>Need to organise their site visit and follow-up</t>
  </si>
  <si>
    <t>India head of Shell Foundation not responding - Satish to figure out who is the new person in-charge</t>
  </si>
  <si>
    <t>Gana and Sathanbabu to check and take it forward with Mukundan of NIIF</t>
  </si>
  <si>
    <t>To meet the CGM Finance and/or Director Finance and take the discussion foreward</t>
  </si>
  <si>
    <t>To follow up on the mail sent to them this week</t>
  </si>
  <si>
    <t xml:space="preserve">Organise a site visit of Mr. Unnikrishnan to our Working Women's hostel in Tambaram. </t>
  </si>
  <si>
    <t xml:space="preserve">wecsent multiple emails. </t>
  </si>
  <si>
    <t>@sathan to organise this. Gana to coordinate</t>
  </si>
  <si>
    <t>send a follow up mail along with gcf and updates on other funds</t>
  </si>
  <si>
    <t xml:space="preserve">ask skc to follow up - krishna.chaitanya@tnifmc.com </t>
  </si>
  <si>
    <t>call new dgm - jana</t>
  </si>
  <si>
    <t>he said he wojld talk to cgm and revert</t>
  </si>
  <si>
    <t>Team Members</t>
  </si>
  <si>
    <t xml:space="preserve">Type of Employment </t>
  </si>
  <si>
    <t>Investor Classification</t>
  </si>
  <si>
    <t>Transaction</t>
  </si>
  <si>
    <t>Engagement Status</t>
  </si>
  <si>
    <t>Placement Advisor</t>
  </si>
  <si>
    <t>Task Calssification</t>
  </si>
  <si>
    <t>City / Location</t>
  </si>
  <si>
    <t>Deal Status</t>
  </si>
  <si>
    <t>FR_Team</t>
  </si>
  <si>
    <t>TNIFMC</t>
  </si>
  <si>
    <t>Employee</t>
  </si>
  <si>
    <t>J. Prashanthi</t>
  </si>
  <si>
    <t>Company Secretary</t>
  </si>
  <si>
    <t>prashanthi.j@tnifmc.com</t>
  </si>
  <si>
    <t>Relationship Building</t>
  </si>
  <si>
    <t>111 - Andheri</t>
  </si>
  <si>
    <t>Head - Operations &amp; Partnerships</t>
  </si>
  <si>
    <t>gana.sk@tnifmc.com</t>
  </si>
  <si>
    <t>Multiple Funds - Raise</t>
  </si>
  <si>
    <t>General Counsel</t>
  </si>
  <si>
    <t>janardhan.k@tnifmc.com</t>
  </si>
  <si>
    <t>300 - MENA</t>
  </si>
  <si>
    <t>113 -Central Suburbs</t>
  </si>
  <si>
    <t>Karthic Ramamoorthy</t>
  </si>
  <si>
    <t>Investment Analyst</t>
  </si>
  <si>
    <t>karthic.r@tnifmc.com</t>
  </si>
  <si>
    <t>114 - Lower Parel</t>
  </si>
  <si>
    <t>CEO</t>
  </si>
  <si>
    <t>krishna.chaitanya@tnifmc.com</t>
  </si>
  <si>
    <t>99674 00111</t>
  </si>
  <si>
    <t>500 - North America</t>
  </si>
  <si>
    <t>150 - Ahd / GIFT</t>
  </si>
  <si>
    <t xml:space="preserve">Maheswaran K. </t>
  </si>
  <si>
    <t>Finance &amp; Accounts Manager</t>
  </si>
  <si>
    <t>maheswaran.k@tnifmc.com</t>
  </si>
  <si>
    <t>TNIDF</t>
  </si>
  <si>
    <t>Tipsons</t>
  </si>
  <si>
    <t>600 - Africa</t>
  </si>
  <si>
    <t>121 - Aerocity</t>
  </si>
  <si>
    <t>ADB</t>
  </si>
  <si>
    <t xml:space="preserve">Consultant </t>
  </si>
  <si>
    <t>Manikandan K P</t>
  </si>
  <si>
    <t>Planning &amp; Development Specialist</t>
  </si>
  <si>
    <t>kpmani.hfa@gmail.com</t>
  </si>
  <si>
    <t>Refinancing Portfolio Companies</t>
  </si>
  <si>
    <t>800 - Others</t>
  </si>
  <si>
    <t>210 - Singapore</t>
  </si>
  <si>
    <t>122-CP</t>
  </si>
  <si>
    <t>Monisha S</t>
  </si>
  <si>
    <t>Business Assistant</t>
  </si>
  <si>
    <t>monishaS@tnifmc.com</t>
  </si>
  <si>
    <t>Portfolio Exit</t>
  </si>
  <si>
    <t>290 - Other APAC</t>
  </si>
  <si>
    <t>123  - Gurgaon</t>
  </si>
  <si>
    <t>Pruthvi S</t>
  </si>
  <si>
    <t>ESG Consultant</t>
  </si>
  <si>
    <t>pruthvi.s@tnifmc.com</t>
  </si>
  <si>
    <t>8939655351 </t>
  </si>
  <si>
    <t>310 - Dubai</t>
  </si>
  <si>
    <t>124 - Noida</t>
  </si>
  <si>
    <t>Rohit Siddareddy</t>
  </si>
  <si>
    <t>Senior Associate</t>
  </si>
  <si>
    <t>rohit.s@tnifmc.com</t>
  </si>
  <si>
    <t>320 - AbuDhabi</t>
  </si>
  <si>
    <t>141 - MG Road</t>
  </si>
  <si>
    <t>S. Malathi Helen</t>
  </si>
  <si>
    <t>Co-Principal - Shelter Fund</t>
  </si>
  <si>
    <t>malathihelen.s@tnifmc.com</t>
  </si>
  <si>
    <t>330 - Saudi Arabia</t>
  </si>
  <si>
    <t>Principal- Shelter Fund</t>
  </si>
  <si>
    <t>sathanbabu.m@tnifmc.com</t>
  </si>
  <si>
    <t>390 - Other MENA</t>
  </si>
  <si>
    <t>Fund Manager- TNGCF</t>
  </si>
  <si>
    <t>SSatish@tnifmc.com</t>
  </si>
  <si>
    <t>Shanmugapraveen S</t>
  </si>
  <si>
    <t>praveen.ss@tnifmc.com</t>
  </si>
  <si>
    <t>402 - Paris</t>
  </si>
  <si>
    <t>V. Balamurugan</t>
  </si>
  <si>
    <t>Environmental Expert</t>
  </si>
  <si>
    <t>balamuruganv1967@gmail.com</t>
  </si>
  <si>
    <t>403 - Berlin</t>
  </si>
  <si>
    <t xml:space="preserve">Vijay Rajenderan </t>
  </si>
  <si>
    <t>EA</t>
  </si>
  <si>
    <t>vijayarajendran@tnifmc.com</t>
  </si>
  <si>
    <t>Independent Board Member</t>
  </si>
  <si>
    <t>M Balachandran</t>
  </si>
  <si>
    <t>501 - New York</t>
  </si>
  <si>
    <t>Arun Vasu</t>
  </si>
  <si>
    <t>502 - SFO</t>
  </si>
  <si>
    <t>Nominee Director</t>
  </si>
  <si>
    <t>Vineet Singhal</t>
  </si>
  <si>
    <t>503 - Toranto</t>
  </si>
  <si>
    <t>Board Member</t>
  </si>
  <si>
    <t>PTR</t>
  </si>
  <si>
    <t>509 - Other US</t>
  </si>
  <si>
    <t>Muruganandam</t>
  </si>
  <si>
    <t>809 - Others</t>
  </si>
  <si>
    <t>Former CEO</t>
  </si>
  <si>
    <t>Arun Roy</t>
  </si>
  <si>
    <t>211 - Beijing</t>
  </si>
  <si>
    <t>IC Member</t>
  </si>
  <si>
    <t>S. Mahalingam</t>
  </si>
  <si>
    <t>Dr. N. Sundaradevan</t>
  </si>
  <si>
    <t>Dr. P. Jayapal</t>
  </si>
  <si>
    <t>Dr. M. Arumugam</t>
  </si>
  <si>
    <t>Vijay Karunakaran</t>
  </si>
  <si>
    <t>Akhila Rajeshwar</t>
  </si>
  <si>
    <t>India</t>
  </si>
  <si>
    <t>KSA</t>
  </si>
  <si>
    <t>ME</t>
  </si>
  <si>
    <t>MFI</t>
  </si>
  <si>
    <t>Exempted PF trusts in TN</t>
  </si>
  <si>
    <t>Vision Ventures (VV) (87) </t>
  </si>
  <si>
    <t>Porus Satwe</t>
  </si>
  <si>
    <t>TNPL</t>
  </si>
  <si>
    <t>KAUST Innovation (86) </t>
  </si>
  <si>
    <t>ADB PSOD</t>
  </si>
  <si>
    <t>Aramco Ventures (66) </t>
  </si>
  <si>
    <t>L&amp;T</t>
  </si>
  <si>
    <t>RAED Ventures(60) </t>
  </si>
  <si>
    <t>IMPACT46(42) </t>
  </si>
  <si>
    <t>OQAL Angel Investors Network| مجموعة عقال للمستثمرين الملائكيين (40) </t>
  </si>
  <si>
    <t>Arpwood</t>
  </si>
  <si>
    <t>STV (40) </t>
  </si>
  <si>
    <t>SKC List - Co Treasuries</t>
  </si>
  <si>
    <t>Prosperity7 Ventures (34) </t>
  </si>
  <si>
    <t>Public Investment Fund (PIF) (32) </t>
  </si>
  <si>
    <t>Nama Ventures (31) </t>
  </si>
  <si>
    <t>Sanabil Investments (31) </t>
  </si>
  <si>
    <t>Khwarizmi Ventures (28) </t>
  </si>
  <si>
    <t>SEEDRA Ventures (23) </t>
  </si>
  <si>
    <t>Public Investment Fund (PIF) (15) </t>
  </si>
  <si>
    <t>Kingdom Holding Company (7) </t>
  </si>
  <si>
    <t>Aramco Ventures (6) </t>
  </si>
  <si>
    <t>Vision Ventures (VV) (4) </t>
  </si>
  <si>
    <t>HALA Ventures (4) </t>
  </si>
  <si>
    <t>Eric Solheim</t>
  </si>
  <si>
    <t>RAED Ventures (3) </t>
  </si>
  <si>
    <t>IMPACT46 (3) </t>
  </si>
  <si>
    <t>Impact investor focussed on KSA</t>
  </si>
  <si>
    <t>DAAL (3) </t>
  </si>
  <si>
    <t>IT Focussed</t>
  </si>
  <si>
    <t>SALIC (3) </t>
  </si>
  <si>
    <t>Sub of PIF, Agri FoF</t>
  </si>
  <si>
    <t>Riyad TAQNIA Fund RTF (2) </t>
  </si>
  <si>
    <t>Maybe</t>
  </si>
  <si>
    <t>Derayah Financial (2) </t>
  </si>
  <si>
    <t>Like Zerodha</t>
  </si>
  <si>
    <t>SABIC Ventures (2) </t>
  </si>
  <si>
    <t>VC fund , not FoF</t>
  </si>
  <si>
    <t>Swicorp (2) </t>
  </si>
  <si>
    <t xml:space="preserve">MENA </t>
  </si>
  <si>
    <t>Sumou Holdings</t>
  </si>
  <si>
    <t>FoF</t>
  </si>
  <si>
    <t xml:space="preserve">Australian Development Investment, (Austrailan Govt Intiative) 
</t>
  </si>
  <si>
    <t>CISCO Foundation, US</t>
  </si>
  <si>
    <t>Aboitiz Family Iffice</t>
  </si>
  <si>
    <t>Actis</t>
  </si>
  <si>
    <t>BlueBay Funds Management Company S.A., Zweigniederlassung Deutschland</t>
  </si>
  <si>
    <t>Capital Dynamics GmbH</t>
  </si>
  <si>
    <t>China Productivity Centre</t>
  </si>
  <si>
    <t>Commerz Real AG</t>
  </si>
  <si>
    <t>EBS Executive School</t>
  </si>
  <si>
    <t>Finnfund</t>
  </si>
  <si>
    <t xml:space="preserve">Hero Renewable </t>
  </si>
  <si>
    <t>Japan Internationl Cooperation Agency (JICA)</t>
  </si>
  <si>
    <t>Kochi Marutaka Co Ltd.,</t>
  </si>
  <si>
    <t>MEAG MUNICH ERGO Kapitalanlagegesellschaft mbH</t>
  </si>
  <si>
    <t>Natixis Investment Managers International, Zweigniederlassung Deutschland</t>
  </si>
  <si>
    <t>Neuberger Berman Asset Management Ireland Limited | German Branch</t>
  </si>
  <si>
    <t>Santander Asset Management German Branch</t>
  </si>
  <si>
    <t>SBI Cap Ventures</t>
  </si>
  <si>
    <t>SBICap Ventures</t>
  </si>
  <si>
    <t>UBS Asset Management (Deutschland) GmbH</t>
  </si>
  <si>
    <t>Chinmaya  Thonse</t>
  </si>
  <si>
    <t>Regional Director - Asia</t>
  </si>
  <si>
    <t>chinmaya@goodcarbon.earth</t>
  </si>
  <si>
    <t>goodcarbon GmbH_x000D_
Münzstraße 18</t>
  </si>
  <si>
    <t>+49 (0) 1521 0509874</t>
  </si>
  <si>
    <t>10178 Berlin, Germany</t>
  </si>
  <si>
    <t xml:space="preserve">_x000D_
</t>
  </si>
  <si>
    <t xml:space="preserve">Omeir Jilani  </t>
  </si>
  <si>
    <t>omeir.jinani@nbad.com</t>
  </si>
  <si>
    <t>One NABD Tower, Sheikh Khalifa Street,_x000D_
12th Floor, P.O.Box. 4,</t>
  </si>
  <si>
    <t>Abu Dhabi</t>
  </si>
  <si>
    <t xml:space="preserve">Atin Sharma  </t>
  </si>
  <si>
    <t>Director Financial Institution</t>
  </si>
  <si>
    <t>atin.sharma@nbad.com</t>
  </si>
  <si>
    <t>One NBAD Tower, Sheikh Khalifa Street,_x000D_
12th floor, P O Box No. 4</t>
  </si>
  <si>
    <t>Tauseef  Ahmad</t>
  </si>
  <si>
    <t>Director for Operations &amp; Intergovernmental Affairs</t>
  </si>
  <si>
    <t>executive@global-organizations.org</t>
  </si>
  <si>
    <t>11th floor, ADGM Ai Maqam Tower,</t>
  </si>
  <si>
    <t xml:space="preserve">Shailesh Srivastava  </t>
  </si>
  <si>
    <t>Director for Project Development</t>
  </si>
  <si>
    <t>intergov@global-organizations.org</t>
  </si>
  <si>
    <t>+91 9161962534</t>
  </si>
  <si>
    <t xml:space="preserve">Harjive Oberoi  </t>
  </si>
  <si>
    <t>Head of NFBI</t>
  </si>
  <si>
    <t>harjive.oberoi@nbad.com</t>
  </si>
  <si>
    <t>Jitendra  Shah</t>
  </si>
  <si>
    <t>jshah@tipsons.com</t>
  </si>
  <si>
    <t>Sheraton House, Opp Ketave Petrol Pump,_x000D_
Polytechnic Road, Ambawadi</t>
  </si>
  <si>
    <t>+91 9825010950</t>
  </si>
  <si>
    <t>Ahmedabad</t>
  </si>
  <si>
    <t>Jürgen  Göbel</t>
  </si>
  <si>
    <t>j.goebel@euramco-asset.de</t>
  </si>
  <si>
    <t>Max-Planck-Str. 3</t>
  </si>
  <si>
    <t>Aschheim</t>
  </si>
  <si>
    <t xml:space="preserve">BAI Contact_x000D_
_x000D_
EURAMCO is an internationally operating fund and asset manager for investments in real assets with a focus on real estate and renewable energy. Third parties also benefit from EURAMCO's comprehensive know-how in the form of customised services in fund and asset management as well as investor services. The business segment of the group of companies comprises services covering the entire value chain for closed-end investment funds and asset-related capital investment products._x000D_
_x000D_
EURAMCO was founded in 1999 as a subsidiary of a federal bank (“Landesbank”). Since then, the group has supported the issuance and management of real asset investments with a transaction volume of 8.2 billion euros._x000D_
_x000D_
EURAMCO currently manages around 95,000 investments in 90 closed-end investment funds and asset-related investment products in accordance with the German Investment Act_x000D_
</t>
  </si>
  <si>
    <t>Christoph  Jäckel</t>
  </si>
  <si>
    <t>Christoph.Jaeckel@mcp.eu</t>
  </si>
  <si>
    <t>Oberneuhofstr. 1</t>
  </si>
  <si>
    <t>Baar</t>
  </si>
  <si>
    <t xml:space="preserve">BAI Contact_x000D_
_x000D_
Montana Capital Partners (mcp) ist eine der führenden Sekundärfonds mit dem Fokus auf attraktive Nischen des Private-Equity-Sekundärmarktes, insbesondere dem kleinen und komplexen Ende des Marktes mit innovativen Lösungen._x000D_
_x000D_
Die Mehrheit der Transaktionen entstehen aus dem direkten Kontakt mit Verkäufern, wodurch auf deren Anforderungen eingegangen und massgeschneiderte Lösungen angeboten werden können. mcp hat mehr als 100 Transaktionen mit unterschiedlichen Gegenparteien wie Pensionskassen, Versicherungsgesellschaften, Banken und Family Offices abgeschlossen. mcp offeriert hier die gesamte Bandbreite von direkten Verkäufen bis hin zu strukturierten Transaktionen._x000D_
</t>
  </si>
  <si>
    <t>Marco  Wulff</t>
  </si>
  <si>
    <t>mw@mcp.eu</t>
  </si>
  <si>
    <t xml:space="preserve">BAI Contact_x000D_
_x000D_
Montana Capital Partners (mcp) ist eine der führenden Sekundärfonds mit dem Fokus auf attraktive Nischen des Private-Equity-Sekundärmarktes, insbesondere dem kleinen und komplexen Ende des Marktes mit innovativen Lösungen._x000D_
_x000D_
Die Mehrheit der Transaktionen entstehen aus dem direkten Kontakt mit Verkäufern, wodurch auf deren Anforderungen eingegangen und massgeschneiderte Lösungen angeboten werden können. mcp hat mehr als 100 Transaktionen mit unterschiedlichen Gegenparteien wie Pensionskassen, Versicherungsgesellschaften, Banken und Family Offices abgeschlossen. mcp offeriert hier die gesamte Bandbreite von direkten Verkäufen bis hin zu strukturierten Transaktionen._x000D_
_x000D_
</t>
  </si>
  <si>
    <t>Daniel  Heine</t>
  </si>
  <si>
    <t>daniel.heine@patrimonium.ch</t>
  </si>
  <si>
    <t>Zugerstrasse 74</t>
  </si>
  <si>
    <t xml:space="preserve">BAI Contact_x000D_
_x000D_
Patrimonium is a Swiss owned independent alternative asset management company active in real estate, private debt, infrastructure and private equity. Today Patrimonium and its affiliate companies have approximately CHF 4.5bn assets under management for a large amount of institutional and private investors and operate offices in Crissier/Lausanne, Zurich and Baar employing over 70 professionals. Patrimonium is one of the leading private debt providers to middle market companies in German speaking Europe and offers customized financing solutions considering the profitability and cash flow situation. Since 2006 a total volume of more than € 1.8bn was invested in more than 180 middle market companies via debt instruments. Financing events include acquisitions and buy-outs, growth financing, refinancing, bridge financing, special situations, real estate debt, as well as insolvency plan financing and debtor-in-possession (DIP) financing._x000D_
</t>
  </si>
  <si>
    <t>Moritz  Frerker</t>
  </si>
  <si>
    <t>Moritz.Frerker@patrimonium.ch</t>
  </si>
  <si>
    <t xml:space="preserve">BAI Contact_x000D_
_x000D_
Patrimonium is a Swiss owned independent alternative asset management company active in real estate, private debt, infrastructure and private equity. Today Patrimonium and its affiliate companies have approximately CHF 4.5bn assets under management for a large amount of institutional and private investors and operate offices in Crissier/Lausanne, Zurich and Baar employing over 70 professionals. Patrimonium is one of the leading private debt providers to middle market companies in German speaking Europe and offers customized financing solutions considering the profitability and cash flow situation. Since 2006 a total volume of more than € 1.8bn was invested in more than 180 middle market companies via debt instruments. Financing events include acquisitions and buy-outs, growth financing, refinancing, bridge financing, special situations, real estate debt, as well as insolvency plan financing and debtor-in-possession (DIP) financing._x000D_
_x000D_
</t>
  </si>
  <si>
    <t>Thomas  Kochanek</t>
  </si>
  <si>
    <t>tpk@progressivecapital.com</t>
  </si>
  <si>
    <t>Haldenstr. 3</t>
  </si>
  <si>
    <t xml:space="preserve">BAI Contact_x000D_
_x000D_
Progressive Capital Partners Ltd (Progressive) is an independent Swiss investment boutique focusing on alternative investments. Progressive is specialised in Niche Alternatives and Liquid Alternatives and provides access to unique strategies through its PCP Partners offering. The company aims to provide institutional solutions with a low correlation to traditional asset classes and a diversifying characteristic. For specific requirements, the firm offers alternative mandates via its Customised Solutions offering._x000D_
</t>
  </si>
  <si>
    <t>Thomas  Kummer</t>
  </si>
  <si>
    <t>tk@progressivecapital.com</t>
  </si>
  <si>
    <t xml:space="preserve">BAI Contact_x000D_
_x000D_
Progressive Capital Partners Ltd (Progressive) is an independent Swiss investment boutique focusing on alternative investments. Progressive is specialised in Niche Alternatives and Liquid Alternatives and provides access to unique strategies through its PCP Partners offering. The company aims to provide institutional solutions with a low correlation to traditional asset classes and a diversifying characteristic. For specific requirements, the firm offers alternative mandates via its Customised Solutions offering._x000D_
_x000D_
</t>
  </si>
  <si>
    <t>Guido  Koch</t>
  </si>
  <si>
    <t>guido.koch@partnersgroup.com</t>
  </si>
  <si>
    <t>Zugerstrasse 57</t>
  </si>
  <si>
    <t>Baar-Zug</t>
  </si>
  <si>
    <t xml:space="preserve">BAI Contact_x000D_
_x000D_
Partners Group is a leading global private markets firm. Since 1996, we have invested over USD 185 billion in private equity, private debt, private real estate, and private infrastructure on behalf of our clients globally. We seek to generate strong returns through capitalizing on thematic growth trends and transforming attractive businesses and assets into market leaders. We are a committed, responsible investor and aim to create sustainable returns with lasting, positive impact for all our stakeholders._x000D_
</t>
  </si>
  <si>
    <t>Martina  Glanzer</t>
  </si>
  <si>
    <t>martina.glanzer@partnersgroup.com</t>
  </si>
  <si>
    <t xml:space="preserve">BAI Contact_x000D_
_x000D_
Partners Group is a leading global private markets firm. Since 1996, we have invested over USD 185 billion in private equity, private debt, private real estate, and private infrastructure on behalf of our clients globally. We seek to generate strong returns through capitalizing on thematic growth trends and transforming attractive businesses and assets into market leaders. We are a committed, responsible investor and aim to create sustainable returns with lasting, positive impact for all our stakeholders._x000D_
_x000D_
</t>
  </si>
  <si>
    <t>Jens  Heß</t>
  </si>
  <si>
    <t>jens.hess@feri.de</t>
  </si>
  <si>
    <t>Rathausplatz 8-10</t>
  </si>
  <si>
    <t>Bad Homburg</t>
  </si>
  <si>
    <t xml:space="preserve">BAI Contact_x000D_
Founded in 1987 and headquartered in Bad Homburg, Germany, the FERI Group has developed into one of the leading investment houses in the German-speaking area. FERI offers tailor-made solutions for institutional investors, family assets and trusts in the following areas:_x000D_
_x000D_
Investment Management: institutional asset management and private wealth management_x000D_
Investment Consulting: advisory services for institutional investors and family offices_x000D_
Investment Research: macroeconomic forecasts and asset allocation analyses_x000D_
_x000D_
</t>
  </si>
  <si>
    <t>Marcus  Storr</t>
  </si>
  <si>
    <t>marcus.storr@feri.de</t>
  </si>
  <si>
    <t>Ferdinand  von Sydow</t>
  </si>
  <si>
    <t>ferdinand.vonsydow@hqcapital.com</t>
  </si>
  <si>
    <t>Am Pilgerrain 17</t>
  </si>
  <si>
    <t xml:space="preserve">BAI Contact_x000D_
_x000D_
HQ Capital is a global private equity specialist that has deployed $11.6 billion of capital into globally and regionally focused private equity investments on behalf of institutional and private clients since 1989. As of June 30, 2023, the firm has invested in 840+ funds and direct companies alongside 297 fund managers across North America, Europe and Asia. HQ Capital’s investments include private equity primary funds, secondary transactions, and co-investments along relationship deal sponsors. With more than 80 employees based in New York, Bad Homburg and Hong Kong, HQ Capital leverages local relationship networks and market knowledge to provide clients with sustainable value creation, diversification, attractive risk-adjusted returns, and responsible investing strategies alongside leading global private equity managers._x000D_
</t>
  </si>
  <si>
    <t>Ulrich  von Rotenhan</t>
  </si>
  <si>
    <t>ulrich.rotenhan@hqcapital.com</t>
  </si>
  <si>
    <t xml:space="preserve">BAI Contact_x000D_
_x000D_
HQ Capital is a global private equity specialist that has deployed $11.6 billion of capital into globally and regionally focused private equity investments on behalf of institutional and private clients since 1989. As of June 30, 2023, the firm has invested in 840+ funds and direct companies alongside 297 fund managers across North America, Europe and Asia. HQ Capital’s investments include private equity primary funds, secondary transactions, and co-investments along relationship deal sponsors. With more than 80 employees based in New York, Bad Homburg and Hong Kong, HQ Capital leverages local relationship networks and market knowledge to provide clients with sustainable value creation, diversification, attractive risk-adjusted returns, and responsible investing strategies alongside leading global private equity managers._x000D_
_x000D_
</t>
  </si>
  <si>
    <t>Dorothee  Jahn</t>
  </si>
  <si>
    <t>dorothee.jahn@simcorp.com</t>
  </si>
  <si>
    <t>Justus-von-Liebig-Str. 1</t>
  </si>
  <si>
    <t xml:space="preserve">BAI Contact_x000D_
_x000D_
SimCorp provides integrated, best-in-class investment management solutions to the world’s leading asset managers, fund managers, asset servicers, pension and insurance funds, wealth managers and sovereign wealth funds. Its core system, SimCorp Dimension®, supports the entire investment value chain and range of instruments, all based on a market-leading IBOR._x000D_
Helping clients develop their business and stay ahead of ever-changing industry demands, SimCorp invests more than 20 percent of its annual revenue in R&amp;D – with Alternative Investments as one of the top priorities._x000D_
Listed on NASDAQ Copenhagen, SimCorp is a global company, regionally covering all of Europe, North America, and Asia Pacific._x000D_
_x000D_
SimCorp Dimension covers traditional and alternative assets equally – e.g. private debt, real assets and private equity. Its 'Alternative Investments Manager' works with standardized data models and offers a future-proof solution as a stable and flexible standard software._x000D_
_x000D_
With 190 employees in Bad Homburg, Vienna and Zurich, SimCorp Central Europe services the German-speaking markets. The company is a member of the associations BAI, BVI, VÖIG, SFAMA and ALFI._x000D_
</t>
  </si>
  <si>
    <t>Oliver  Grossmann</t>
  </si>
  <si>
    <t>grossmann@next-gi.de</t>
  </si>
  <si>
    <t>Gustav-Kayser-Straße 24</t>
  </si>
  <si>
    <t>Bad Nauheim</t>
  </si>
  <si>
    <t xml:space="preserve">BAI Contact_x000D_
_x000D_
NEXT Generation Invest is a 100% owner-managed specialized asset manager with a focus on real assets in the German-speaking region. With assets under management of almost EUR 600 million, we play a leading role in the field of impact-oriented investments. Our high investor focus as well as our strong stakeholder engagement are integral parts of our corporate philosophy. Our primary objective is to identify carefully selected real estate and infrastructure assets that offer clear social and environmental value and make them investable for institutional investors.   Through our investments and active management of real estate and renewable energies, we are already taking responsibility for future generations._x000D_
_x000D_
</t>
  </si>
  <si>
    <t>Samuel  Keil</t>
  </si>
  <si>
    <t>keil@next-gi.de</t>
  </si>
  <si>
    <t xml:space="preserve">BAI Contact_x000D_
_x000D_
NEXT Generation Invest is a 100% owner-managed specialized asset manager with a focus on real assets in the German-speaking region. With assets under management of almost EUR 600 million, we play a leading role in the field of impact-oriented investments. Our high investor focus as well as our strong stakeholder engagement are integral parts of our corporate philosophy. Our primary objective is to identify carefully selected real estate and infrastructure assets that offer clear social and environmental value and make them investable for institutional investors.   Through our investments and active management of real estate and renewable energies, we are already taking responsibility for future generations._x000D_
</t>
  </si>
  <si>
    <t xml:space="preserve">Santhosh Durairaj  </t>
  </si>
  <si>
    <t>Director - Consumer, Retail &amp; Real Estate</t>
  </si>
  <si>
    <t>santhosh.durairaj@brinc.io</t>
  </si>
  <si>
    <t>1005, Supreme Headquarters,_x000D_
Above Tim Hortons, Linking Road,</t>
  </si>
  <si>
    <t>+91 9551551936</t>
  </si>
  <si>
    <t>Bandra</t>
  </si>
  <si>
    <t>Rahul  Garg</t>
  </si>
  <si>
    <t>Investments Group</t>
  </si>
  <si>
    <t>rahul@premjiinvest.com</t>
  </si>
  <si>
    <t>134 Sarjapur Road</t>
  </si>
  <si>
    <t>91 99009 17004</t>
  </si>
  <si>
    <t>Bangalore</t>
  </si>
  <si>
    <t xml:space="preserve">Was discussing with him regarding the Krishnapatnam port opportunity_x000D_
_x000D_
Rahul Garg _x000D_
Chief Manager _x000D_
Equity Linked Products _x000D_
Global Investment Banking Group _x000D_
Mumbai _x000D_
Direct - +91- 22-26537995 _x000D_
Fax - +91- 22-26531196 _x000D_
Mobile - +91- 9833003602_x000D_
_x000D_
</t>
  </si>
  <si>
    <t>Mahesh M Pai</t>
  </si>
  <si>
    <t>maheshmpai@canarabank.com</t>
  </si>
  <si>
    <t>Strategy &amp; Resource Wing,_x000D_
Head Office, 112, JC Road</t>
  </si>
  <si>
    <t>+91 9019827131</t>
  </si>
  <si>
    <t>Bangaluru</t>
  </si>
  <si>
    <t>Sathyanarayana Raju K</t>
  </si>
  <si>
    <t>Managing Director &amp; CEO</t>
  </si>
  <si>
    <t xml:space="preserve">Mark Alexander Giblett  </t>
  </si>
  <si>
    <t>Sr. Infrastructure Finance Specialist</t>
  </si>
  <si>
    <t>Infrastructure, PPP and Guarantees Group</t>
  </si>
  <si>
    <t>mgiblett@worldbank.org</t>
  </si>
  <si>
    <t>30th Floor, Siam Piwat Tower, 989 Rama 1 Road, Pathumwan</t>
  </si>
  <si>
    <t>+ 1 202 290 4386</t>
  </si>
  <si>
    <t>Bangkok</t>
  </si>
  <si>
    <t>Friedrich  von Ketteler</t>
  </si>
  <si>
    <t>friedrich.ketteler@moonfare.com</t>
  </si>
  <si>
    <t>Kalr-Liebknecht-Straße 34</t>
  </si>
  <si>
    <t>Berlin</t>
  </si>
  <si>
    <t xml:space="preserve">BAI Contact_x000D_
</t>
  </si>
  <si>
    <t>Lozenz  Jüngling</t>
  </si>
  <si>
    <t>lorenz.juengling@moonfare.com</t>
  </si>
  <si>
    <t>Ralph  Guenther</t>
  </si>
  <si>
    <t>ralph.guenther@pantheon.com</t>
  </si>
  <si>
    <t>Leipziger Platz 16</t>
  </si>
  <si>
    <t xml:space="preserve">BAI Contact_x000D_
_x000D_
Pantheon ist ein globaler Private-Markets-Investor mit einer 40-jährigen Erfolgsgeschichte und spezialisierten Strategien in den Bereichen Private Equity, Infrastruktur &amp; Real Assets und Private Debt. Wir investieren in Primary-, Secondary- und Co-Investment-Strategien über eine Reihe von Flagship-Fonds und maßgeschneiderten Lösungen. Global verfügt Pantheon über 134 Investment Experten._x000D_
_x000D_
Private Equity: Pantheon investiert seit mehr als 40 Jahren über Primaries, Secondaries und Co-Investments in Private Equity. Heute verwaltet Pantheon in dieser Asset Klasse ein Vermögen von 65,4 Mrd. USD. _x000D_
_x000D_
Infrastruktur: 1997 begann Pantheon in Infrastruktur zu investieren und betreibt dieses Geschäft seither erfolgreich mit 20,9 Mrd. USD verwaltetem Kapital._x000D_
</t>
  </si>
  <si>
    <t>Rajiv  Dhar</t>
  </si>
  <si>
    <t>rajiv.dhar@niifindia.in</t>
  </si>
  <si>
    <t>4th Floor_x000D_
UTI Tower_x000D_
GN Block_x000D_
South Block</t>
  </si>
  <si>
    <t>+91 78388 78093</t>
  </si>
  <si>
    <t>BKC, Mumai 400 051</t>
  </si>
  <si>
    <t>Jaqueline  Seemann</t>
  </si>
  <si>
    <t>jaqueline.seemann@gls-investments.de</t>
  </si>
  <si>
    <t>Christstraße 9</t>
  </si>
  <si>
    <t>Bochum</t>
  </si>
  <si>
    <t>Stefan  Fritz</t>
  </si>
  <si>
    <t>stefan.fritz@gls-investments.de</t>
  </si>
  <si>
    <t xml:space="preserve">BAI Contact_x000D_
_x000D_
_x000D_
</t>
  </si>
  <si>
    <t xml:space="preserve">Johan De Ketelbutter  </t>
  </si>
  <si>
    <t>Avenue Louise 32 - 46A boite 4_x000D_
1050 Bruxelles T 02 548 52 11_x000D_
Louizalaan 32-46A bus 4 1050</t>
  </si>
  <si>
    <t>Brussel</t>
  </si>
  <si>
    <t>carole.maman@bio-invest.be/</t>
  </si>
  <si>
    <t>Boulevard Bischoffsheimlaan 15_x000D_
1000 Brussels_x000D_
_x000D_
BE 0476.286.331</t>
  </si>
  <si>
    <t>Belgium Investment Company for Developing comanies</t>
  </si>
  <si>
    <t xml:space="preserve">Anita Serrate  </t>
  </si>
  <si>
    <t>anita.serrate@bio-invest.be/</t>
  </si>
  <si>
    <t xml:space="preserve">03 January 2024 16:52:_x000D_
_x000D_
The invest in Impact funds in India_x000D_
_x000D_
------------------------------------------------------------------_x000D_
_x000D_
The invest in Impact funds in India_x000D_
_x000D_
</t>
  </si>
  <si>
    <t>Belgium Investment Company for developing countries</t>
  </si>
  <si>
    <t xml:space="preserve">Jens Hutyra  </t>
  </si>
  <si>
    <t>jens.hutyra@bio-invest.b3e/</t>
  </si>
  <si>
    <t>Seshachalam Centre 8th floor,_x000D_
636/1, Anna Salai, Nandanam</t>
  </si>
  <si>
    <t>Chennai</t>
  </si>
  <si>
    <t>Export-Import Bank of India</t>
  </si>
  <si>
    <t xml:space="preserve">Rani Somasundaram  </t>
  </si>
  <si>
    <t>Assistant General Manager</t>
  </si>
  <si>
    <t>rani.s@eximbankindia.in</t>
  </si>
  <si>
    <t>Overseas Towers, 4th &amp; 5th floor,_x000D_
No.756-L, Anna Salaio</t>
  </si>
  <si>
    <t>+91 8065000139</t>
  </si>
  <si>
    <t>Indian Overseas Bank- Central Office</t>
  </si>
  <si>
    <t xml:space="preserve">Sarada Vani G  </t>
  </si>
  <si>
    <t>Asst. General Manager</t>
  </si>
  <si>
    <t>saradavanig@iobnet.co.in</t>
  </si>
  <si>
    <t>763, Anna Salai,</t>
  </si>
  <si>
    <t>Nair Ajit Krishnan</t>
  </si>
  <si>
    <t>Chief General Manager</t>
  </si>
  <si>
    <t>chennaico@canarabank.com</t>
  </si>
  <si>
    <t>Canara Tower, No.524,_x000D_
Anna Salai, Teynampet</t>
  </si>
  <si>
    <t>+91 9043332591</t>
  </si>
  <si>
    <t>Srinivasa Rao B</t>
  </si>
  <si>
    <t>Chief Manager</t>
  </si>
  <si>
    <t>bo4389@pnb.co.in</t>
  </si>
  <si>
    <t>1, West Road, CIT Nagar,_x000D_
Nandanam</t>
  </si>
  <si>
    <t>+91 7227012323</t>
  </si>
  <si>
    <t>Junki  Yamashita</t>
  </si>
  <si>
    <t>Junki_Yamashita@jetro.go.jp</t>
  </si>
  <si>
    <t>Chandrasekharan  KS</t>
  </si>
  <si>
    <t>Vice President</t>
  </si>
  <si>
    <t>chandrasekharan.k.s@tipsons.com</t>
  </si>
  <si>
    <t>Workfella High Street,_x000D_
New no.431-Office No.621,_x000D_
6th Floor, Anna Salai, Teynampet</t>
  </si>
  <si>
    <t>+91 98414 08230</t>
  </si>
  <si>
    <t>Deepak  Bhavnani</t>
  </si>
  <si>
    <t>lotusglobalcapital@gmail.com</t>
  </si>
  <si>
    <t>Apt 33A 111 East Chestnut Street</t>
  </si>
  <si>
    <t>+91 9892642970</t>
  </si>
  <si>
    <t>Chicago</t>
  </si>
  <si>
    <t xml:space="preserve">03 January 2024 16:52:_x000D_
Deepak Bhavnani_x000D_
91 98926 42970_x000D_
_x000D_
------------------------------------------------------------------_x000D_
Deepak Bhavnani_x000D_
91 98926 42970_x000D_
_x000D_
</t>
  </si>
  <si>
    <t>Martin vom Hagen</t>
  </si>
  <si>
    <t>mvomhagen@adamsstreetpartners.com</t>
  </si>
  <si>
    <t>Adams Street Partners, LLC _x000D_
One North Wacker Drive, Suite 2700_x000D_
US-80539</t>
  </si>
  <si>
    <t>Chicago,</t>
  </si>
  <si>
    <t xml:space="preserve">BAI Contact_x000D_
Adams Street Partners (Adams Street) was founded in 1972 as the growth equity investment team of the First National Bank of Chicago. After several corporate events we operated for many years as a part of UBS Global Asset Management. In 2001 Adams Street Partners, LLC was established as an independent entity, and in 2008 we became a 100% employee-owned firm._x000D_
We are dedicated exclusively to private markets investment management. The initial focus of the firm was direct venture and growth equity investing. Our primary fund investment activity began in 1979 when we first made commitments to primary partnerships on behalf of our clients, thereby creating the first private equity Fund of Funds (FoF). Today we also offer secondary (first established in 1986), co-investment (1989), and private credit (2016) strategies to our global client base through both multi-strategy and single strategy vehicles. Adams Street was one of the first private markets firms to create a multi-strategy FoF, an annual offering which is now in its 26th vintage. We currently manage $50 billion._x000D_
_x000D_
</t>
  </si>
  <si>
    <t>Nadine  Fugert</t>
  </si>
  <si>
    <t>nfugert@adamsstreetpartners.com</t>
  </si>
  <si>
    <t>dJAX Technologies</t>
  </si>
  <si>
    <t xml:space="preserve">Ramkumar R  </t>
  </si>
  <si>
    <t>ramkumar.r@djaxtech.com</t>
  </si>
  <si>
    <t>114, E4, SM Towers, Race Course Road,</t>
  </si>
  <si>
    <t>81481 88413</t>
  </si>
  <si>
    <t>Coimbatore</t>
  </si>
  <si>
    <t xml:space="preserve">Armin Albert  </t>
  </si>
  <si>
    <t>India Office</t>
  </si>
  <si>
    <t>armin.albert@deginvest.de</t>
  </si>
  <si>
    <t>und Entwicklungsgesellschaft mbH_x000D_
AS - Asia Department,_x000D_
Kaemmergasse, 22, 50676, Cologne,</t>
  </si>
  <si>
    <t>Cologne</t>
  </si>
  <si>
    <t xml:space="preserve">Karin Homermann  </t>
  </si>
  <si>
    <t>Vice President Asia</t>
  </si>
  <si>
    <t>kerin.homermann@deginvest.de</t>
  </si>
  <si>
    <t>+49 1737279981</t>
  </si>
  <si>
    <t xml:space="preserve">Andreas Voss  </t>
  </si>
  <si>
    <t>andres.voss@deginvest.de</t>
  </si>
  <si>
    <t>Jan  Albers</t>
  </si>
  <si>
    <t>jan.albers@capital-four.com</t>
  </si>
  <si>
    <t>Per Henrik Lings Allé 2, 7th floor</t>
  </si>
  <si>
    <t>Copenhagen</t>
  </si>
  <si>
    <t xml:space="preserve">BAI Contact_x000D_
_x000D_
Capital Four was founded in 2007 with a vision to establish a leading credit management covering both liquid syndicated debt and illiquid private debt. Prior to_x000D_
founding Capital Four, the team worked together at Nordea Asset Management managing European High_x000D_
Yield since 2001._x000D_
_x000D_
Today, Capital Four is the largest independent leveraged finance manager in Europe with a global and_x000D_
institutional client base. Capital Four is a credit boutique focusing purely on leveraged finance and manage_x000D_
strategies within private debt, leveraged loans, structured credit, multi-asset credit as well as private debt. Our portfolio management team and investment process have been the same since the inception of our_x000D_
first investment strategy in 2001. We manage more than €14bn on behalf of pension funds, insurance_x000D_
companies, endowments, family offices and global financial institutions._x000D_
</t>
  </si>
  <si>
    <t>Martin  Nørregård</t>
  </si>
  <si>
    <t>martin.norregard@capital-four.com</t>
  </si>
  <si>
    <t>IFU Denmark</t>
  </si>
  <si>
    <t xml:space="preserve">Deepa Hingorani  </t>
  </si>
  <si>
    <t>Head of Regional Office-South Asia</t>
  </si>
  <si>
    <t>dhi@ifu.dk</t>
  </si>
  <si>
    <t>Delhi</t>
  </si>
  <si>
    <t xml:space="preserve">Nidhi Husain  </t>
  </si>
  <si>
    <t>Investment Manager</t>
  </si>
  <si>
    <t>nna@ifu.dk</t>
  </si>
  <si>
    <t xml:space="preserve">Rahul Dubey  </t>
  </si>
  <si>
    <t>Sr.Investment Manager</t>
  </si>
  <si>
    <t>rdu@ifu.dk</t>
  </si>
  <si>
    <t>Dirk  Bergander</t>
  </si>
  <si>
    <t>dirk.bergander@collineo-am.com</t>
  </si>
  <si>
    <t>Phoenixseestr. 22a</t>
  </si>
  <si>
    <t>Dortmund</t>
  </si>
  <si>
    <t xml:space="preserve">Bai contact_x000D_
_x000D_
Collineo Asset Management is an independent, partner-managed company, with a focus on real estate finance in the area of mezzanine and equity. Collineo finances project developments and real estate portfolios. Collineo was founded in 2004 and licensed by BaFin one year later. The roots of the company go back to a German mortgage bank. In addition to structuring and advising on real estate finance, Collineo launched its first mezzanine real estate finance company in 2018 and the second followed in 2021._x000D_
_x000D_
Taking into account investment law, tax and accounting aspects, Collineo structures and invests in the financing of project developments, in real estate portfolios and in the financing of real estate-related investments. As an asset manager, Collineo launches club deals or private placements and manages them over their term. Collineo advises institutional investors and market participants on all aspects of innovative real estate and capital market products. The team consists of 14 highly qualified employees in the areas of Portfolio Management, Credit, Product Development &amp; Advisory._x000D_
</t>
  </si>
  <si>
    <t>Niamh  Quinn</t>
  </si>
  <si>
    <t>niamh.quinn@metlife.com</t>
  </si>
  <si>
    <t>20-on-Hatch, Lower Hatch Street</t>
  </si>
  <si>
    <t>Dublin</t>
  </si>
  <si>
    <t xml:space="preserve">BAI Contact_x000D_
_x000D_
</t>
  </si>
  <si>
    <t>Rene  Zeidan</t>
  </si>
  <si>
    <t>rene.zeidan@metlife.com</t>
  </si>
  <si>
    <t>Dirk  Sanden</t>
  </si>
  <si>
    <t>Dirk.Sanden@alterdomus.com</t>
  </si>
  <si>
    <t>B1, Bennigsen-Platz 1</t>
  </si>
  <si>
    <t>Düsseldorf</t>
  </si>
  <si>
    <t xml:space="preserve">BAI Contact_x000D_
Many leading international asset managers, lenders and asset owners choose Alter Domus as their partner for growth. Whether a stand-alone fund with limited investments, or a large multi-billion-dollar fund with complex investment streams across multiple jurisdictions, we understand your world._x000D_
_x000D_
Vertical integration allows us to build dedicated teams to provide support and bespoke solutions across your entire value chain. By tapping into a talent pool of more than 4,100 employees across 37 offices in 21 countries, our expertise and cutting-edge technology combine to put you ahead of the game._x000D_
_x000D_
With an established professional focus on private equity, real assets and debt capital markets sectors, we offer fund administration, corporate services, depositary services, capital administration, transfer pricing, domiciliation and management company services. Our specific experience in the debt capital markets sector allows us to provide specialist solutions such as loan administration, agency services, trade settlement and CLO manager services._x000D_
</t>
  </si>
  <si>
    <t>Mark  Gebauer</t>
  </si>
  <si>
    <t>Mark.Gebauer@alterdomus.com</t>
  </si>
  <si>
    <t>Helmut  Siepmann</t>
  </si>
  <si>
    <t>hs@aream.de</t>
  </si>
  <si>
    <t>Kaistrasse 2</t>
  </si>
  <si>
    <t>Thomas  Eisenbarth</t>
  </si>
  <si>
    <t>te@aream.de</t>
  </si>
  <si>
    <t>Daniel  Maier</t>
  </si>
  <si>
    <t>daniel.maier@chartered-investment.com</t>
  </si>
  <si>
    <t>Fürstenwall 172 A</t>
  </si>
  <si>
    <t xml:space="preserve">BAI Contact_x000D_
_x000D_
Chartered Investment is a leading financial technology company, specializing in financial engineering. The company acts as a powerhouse for the financial industry, creating and delivering products such as securitizations, indices, and tokenized offerings._x000D_
Chartered Investment provides cutting-edge technology platforms, including the OPUS securitization platform, LIXX indices platform, and eSEC tokenization platform. By utilizing these technologies, Chartered Investment delivers practical solutions to banks, insurers, financial service providers, asset managers, and other professional financial market participants as an independent CMaaS (Capital Markets as a Service) provider._x000D_
Headquartered in Düsseldorf, Germany, Chartered Investment was founded in 2013 and now operates internationally, serving over 100 B2B clients and implementing solutions valued at more than €5 billion. The company has a team of more than 35 professionals._x000D_
</t>
  </si>
  <si>
    <t>David  Eckner</t>
  </si>
  <si>
    <t>david.eckner@chartered-investment.com</t>
  </si>
  <si>
    <t>HSBC Asset Management (Deutschland) GmbH</t>
  </si>
  <si>
    <t>Matthias  Rubner</t>
  </si>
  <si>
    <t>matthias.rubner@hsbc.de</t>
  </si>
  <si>
    <t>Hansaallee 3</t>
  </si>
  <si>
    <t xml:space="preserve">BAI Contact_x000D_
_x000D_
HSBC Group is one of the largest and leading banks in the world maintaining a global network of more than 7,500 offices in more than 80 countries. HSBC offers in-depth market knowledge and direct market access – emerging markets led, financing focussed, globally connected._x000D_
_x000D_
HSBC in Germany and Austria offers the full product range of a universal bank focussing on bespoke investment and financing solutions for institutional investors, corporates and the public sector. Our clients primarily benefit from the unique combination of capital strength, placement power as well as our global presence._x000D_
_x000D_
Globally, HSBC is a leading alternative investment manager with over 20 years experience. In Germany and Austria, since 1999 HSBC Trinkaus Alternative Investments team has been arranging, structuring and issuing alternative investments including, private equity, real estate, infrastructure and hedge funds._x000D_
</t>
  </si>
  <si>
    <t>Bernhard  Renger</t>
  </si>
  <si>
    <t>bernhard.renger@hal-privatbank.com</t>
  </si>
  <si>
    <t>Schwannstraße 10</t>
  </si>
  <si>
    <t xml:space="preserve">BAI Contact_x000D_
Kapital 1852 was founded as the key asset manager for illiquid assets of Hauck Aufhäuser Lampe Privatbank, which has been positioned in the German "Mittelstand" since 1796. Since its foundation in 2018, Kapital 1852 has successfully established on the market with approximately 530 mio. EUR of assets under management. Kapital 1852 combines tradition with current momentum, individuality, and at the same time with entrepreneurial thinking. The platform's scope of activities ranges across Venture Capital, Private Equity, Private Debt, Infrastructure to Real Estate. Accoringly, we offer a wide variety of access channels to alternative investments - from single funds, to funds of funds, and also managed account solutions. Kapital 1852's private markets strategies with a consistent focus on the individual needs of our diverse investor base (from semi-professionals to professionals and institutional investors) are unique among German private banks._x000D_
</t>
  </si>
  <si>
    <t>Christian  Schaumkell</t>
  </si>
  <si>
    <t>Christian.Schaumkell@hal-privatbank.com</t>
  </si>
  <si>
    <t xml:space="preserve">BAI Contact_x000D_
Kapital 1852 was founded as the key asset manager for illiquid assets of Hauck Aufhäuser Lampe Privatbank, which has been positioned in the German "Mittelstand" since 1796. Since its foundation in 2018, Kapital 1852 has successfully established on the market with approximately 530 mio. EUR of assets under management. Kapital 1852 combines tradition with current momentum, individuality, and at the same time with entrepreneurial thinking. The platform's scope of activities ranges across Venture Capital, Private Equity, Private Debt, Infrastructure to Real Estate. Accoringly, we offer a wide variety of access channels to alternative investments - from single funds, to funds of funds, and also managed account solutions. Kapital 1852's private markets strategies with a consistent focus on the individual needs of our diverse investor base (from semi-professionals to professionals and institutional investors) are unique among German private banks._x000D_
_x000D_
</t>
  </si>
  <si>
    <t>Erwin  Hennenberg</t>
  </si>
  <si>
    <t>Erwin.Hennenberg@mountstreet.com</t>
  </si>
  <si>
    <t>Am Wehrhahn 33</t>
  </si>
  <si>
    <t xml:space="preserve">BAI Contact_x000D_
_x000D_
The Mount Street Group with its 200 employees in 11 locations worldwide is one of the leading solution providers to the investment industry, delivering bespoke products for investors and lenders active in credit markets. We provide front, middle and back-office services to our clients across the entire lifecycle of an asset/loan. Our broad expertise, our reliable team of highly qualified specialists and our efficient and "state of the art" systems form the basis for outstanding services._x000D_
 _x000D_
Our comprehensive product offering spans the entire business spectrum for our clients: From the provision of origination and due diligence services, to outsourced loan administration and facility/security agency services, to portfolio and investment management services._x000D_
The regulated business unit Mount Street Portfolio Advisers GmbH ("MSPA") has taken a leading role in winding down WestLB's € 150bn assets to date to around € 13bn but have also taken on the management of new loan portfolios in parallel, such as current surveillance and monitoring mandates for a € 13bn infrastructure and renewable energy portfolios for institutional investors._x000D_
_x000D_
</t>
  </si>
  <si>
    <t>Ingo  Wichelhaus</t>
  </si>
  <si>
    <t>Ingo.Wichelhaus@mountstreet.com</t>
  </si>
  <si>
    <t xml:space="preserve">BAI Contact_x000D_
_x000D_
The Mount Street Group with its 200 employees in 11 locations worldwide is one of the leading solution providers to the investment industry, delivering bespoke products for investors and lenders active in credit markets. We provide front, middle and back-office services to our clients across the entire lifecycle of an asset/loan. Our broad expertise, our reliable team of highly qualified specialists and our efficient and "state of the art" systems form the basis for outstanding services._x000D_
 _x000D_
Our comprehensive product offering spans the entire business spectrum for our clients: From the provision of origination and due diligence services, to outsourced loan administration and facility/security agency services, to portfolio and investment management services._x000D_
The regulated business unit Mount Street Portfolio Advisers GmbH ("MSPA") has taken a leading role in winding down WestLB's € 150bn assets to date to around € 13bn but have also taken on the management of new loan portfolios in parallel, such as current surveillance and monitoring mandates for a € 13bn infrastructure and renewable energy portfolios for institutional investors._x000D_
</t>
  </si>
  <si>
    <t xml:space="preserve">Alberta Teachers Retirement Fund  </t>
  </si>
  <si>
    <t>Director, Investments</t>
  </si>
  <si>
    <t>info@atrf.com</t>
  </si>
  <si>
    <t>600 Baneet House_x000D_
11010 142 ST NW_x000D_
Edmonton AB TSN 2R1</t>
  </si>
  <si>
    <t>Edmonton</t>
  </si>
  <si>
    <t>Lothar  Kloster</t>
  </si>
  <si>
    <t>Lothar.Kloster@eurexchange.com</t>
  </si>
  <si>
    <t>Mergenthalerallee 61</t>
  </si>
  <si>
    <t>Eschborn</t>
  </si>
  <si>
    <t>Rik  Verhoeven</t>
  </si>
  <si>
    <t>rik.verhoeven@aegonam.com</t>
  </si>
  <si>
    <t>Eurotheum, 17. Stock, Neue Mainzer Str. 66-68</t>
  </si>
  <si>
    <t>Frankfurt</t>
  </si>
  <si>
    <t xml:space="preserve">BAI Contact_x000D_
Aegon Asset Management is an active global investor. Our 375 investment professionals manage and advise on assets of USD 321 billion (as of June 30, 2023) with capabilities in our around four global platforms, in which Aegon Asset Management has deep asset-class expertise: _x000D_
_x000D_
Fixed Income, Real Assets_x000D_
Equities, Multi-Asset &amp; Solutions. _x000D_
_x000D_
Aegon Asset Management serves a global client-base of pension plans, public funds, insurance companies, banks, wealth managers, family offices and foundations. _x000D_
_x000D_
The DACH Region operates from Frankfurt am Main under the brand of Aegon Asset Management._x000D_
_x000D_
Core focus and expertise: Alternative Investments and Private Debt_x000D_
</t>
  </si>
  <si>
    <t>Sven  Becker</t>
  </si>
  <si>
    <t>sven.becker@aegonam.com</t>
  </si>
  <si>
    <t xml:space="preserve">BAI Contact_x000D_
Aegon Asset Management is an active global investor. Our 375 investment professionals manage and advise on assets of USD 321 billion (as of June 30, 2023) with capabilities in our around four global platforms, in which Aegon Asset Management has deep asset-class expertise: _x000D_
Fixed Income, Real Assets_x000D_
Equities, Multi-Asset &amp; Solutions. _x000D_
Aegon Asset Management serves a global client-base of pension plans, public funds, insurance companies, banks, wealth managers, family offices and foundations. _x000D_
The DACH Region operates from Frankfurt am Main under the brand of Aegon Asset Management._x000D_
Core focus and expertise: Alternative Investments and Private Debt_x000D_
_x000D_
</t>
  </si>
  <si>
    <t>Frank  Rothauge</t>
  </si>
  <si>
    <t>frank.rothauge@ahp-cm.com</t>
  </si>
  <si>
    <t>Weißfrauenstrasse 12 - 16</t>
  </si>
  <si>
    <t>Claus  Fintzen</t>
  </si>
  <si>
    <t>claus.fintzen@allianzgi.com</t>
  </si>
  <si>
    <t>Bockenheimer Landstraße 42-44</t>
  </si>
  <si>
    <t xml:space="preserve">BAI Contact_x000D_
We offer a diversified range of active investment strategies across four main pillars: equities, fixed income, multi asset and private markets. Our expertise covers the developed and emerging markets. We offer single-country and global strategies and thematic and sector portfolios. As a pioneer in sustainable investing for more than two decades, we develop specialist products and carry out dedicated research._x000D_
_x000D_
Our ultimate goal is to ensure a superior experience for our clients, wherever they are based and whatever their investment needs. Being active in everything we do is critical to achieving that aim. With the need to seek out additional sources of return becoming more pressing, active management skills are increasingly valuable today._x000D_
_x000D_
As part of Allianz Group, we share our parent company’s focus on securing our clients’ future. That means putting sustainability at the forefront of what we do more often. For more than 20 years, we have been a pioneer in sustainable investing. We proactively seek out sustainable investments that drive capital into real-life challenges and provide ways for clients to participate in the global transition towards a more sustainable world_x000D_
</t>
  </si>
  <si>
    <t>Florian  Bentele</t>
  </si>
  <si>
    <t>florian.bentele@allianzgi.com</t>
  </si>
  <si>
    <t xml:space="preserve">BAI contact_x000D_
We offer a diversified range of active investment strategies across four main pillars: equities, fixed income, multi asset and private markets. Our expertise covers the developed and emerging markets. We offer single-country and global strategies and thematic and sector portfolios. As a pioneer in sustainable investing for more than two decades, we develop specialist products and carry out dedicated research._x000D_
_x000D_
Our ultimate goal is to ensure a superior experience for our clients, wherever they are based and whatever their investment needs. Being active in everything we do is critical to achieving that aim. With the need to seek out additional sources of return becoming more pressing, active management skills are increasingly valuable today._x000D_
_x000D_
As part of Allianz Group, we share our parent company’s focus on securing our clients’ future. That means putting sustainability at the forefront of what we do more often. For more than 20 years, we have been a pioneer in sustainable investing. We proactively seek out sustainable investments that drive capital into real-life challenges and provide ways for clients to participate in the global transition towards a more sustainable world_x000D_
</t>
  </si>
  <si>
    <t>Ralf  Sibbing</t>
  </si>
  <si>
    <t>ralf.sibbing@amundi.com</t>
  </si>
  <si>
    <t>Taunusanlage 18</t>
  </si>
  <si>
    <t xml:space="preserve">BAI Contact_x000D_
Amundi, the leading European asset manager, ranking among the top 10 global players1, offers its 100 million clients - retail, institutional and corporate - a complete range of savings and investment solutions in active and passive management, in traditional or real assets. This offering is enhanced with IT tools and services to cover the entire savings value chain. A subsidiary of the Crédit Agricole group and listed on the stock exchange, Amundi currently manages nearly €1.9 trillion of assets2._x000D_
_x000D_
With its six international investment hubs3, financial and extra-financial research capabilities and long-standing commitment to responsible investment, Amundi is a key player in the asset management landscape._x000D_
_x000D_
Amundi clients benefit from the expertise and advice of 5,400 employees in 35 countries._x000D_
_x000D_
1 Source: IPE “Top 500 Asset Managers” published in June 2022, based on assets under management as at 31/12/2021_x000D_
2 Amundi data as at 30/09/2022_x000D_
3 Boston, Dublin, London, Milan, Paris and Tokyo_x000D_
</t>
  </si>
  <si>
    <t>Anh-Vu  Tran</t>
  </si>
  <si>
    <t>atran@annerton.com</t>
  </si>
  <si>
    <t>Wöhlerstrasse 5</t>
  </si>
  <si>
    <t xml:space="preserve">BAI Contact_x000D_
_x000D_
Annerton is an independent law firm with offices in Germany and Luxembourg, specializing in regulatory law in the financial industry. With a total of 25 lawyers and 2 tax advisors, the firm offers comprehensive support to young start-ups as well as established companies from the banking, financial services, asset management &amp; digital economy sectors, ranging from small sub-projects to long-term partnerships._x000D_
In addition to its wide range of legal expertise in banking, payments, crypto/DLT and IT/data protection, the boutique firm with its Frankfurt partners Dr. Anna L. Izzo-Wagner and Anh-Vu Tran also covers the area of investment law and advises its clients on all investment regulatory and investment tax issues as well as ESG regulation. Anh-Vu Tran (RA StB) can draw on several years of in-house experience gained at a major German KVG for institutional investors. The advice extends to the investor and fund level (e.g. structuring) as well as to the investment level (e.g. target fund due diligence)_x000D_
</t>
  </si>
  <si>
    <t>Anna  Izzo-Wagner</t>
  </si>
  <si>
    <t>aizzo-wagner@annerton.com</t>
  </si>
  <si>
    <t xml:space="preserve">BAI Contact_x000D_
Annerton is an independent law firm with offices in Germany and Luxembourg, specializing in regulatory law in the financial industry. With a total of 25 lawyers and 2 tax advisors, the firm offers comprehensive support to young start-ups as well as established companies from the banking, financial services, asset management &amp; digital economy sectors, ranging from small sub-projects to long-term partnerships._x000D_
In addition to its wide range of legal expertise in banking, payments, crypto/DLT and IT/data protection, the boutique firm with its Frankfurt partners Dr. Anna L. Izzo-Wagner and Anh-Vu Tran also covers the area of investment law and advises its clients on all investment regulatory and investment tax issues as well as ESG regulation. Anh-Vu Tran (RA StB) can draw on several years of in-house experience gained at a major German KVG for institutional investors. The advice extends to the investor and fund level (e.g. structuring) as well as to the investment level (e.g. target fund due diligence)_x000D_
</t>
  </si>
  <si>
    <t>Florian  Kluge</t>
  </si>
  <si>
    <t>Florian.KLUGE@ardian.com</t>
  </si>
  <si>
    <t>Bockenheimer Landstr. 2-4</t>
  </si>
  <si>
    <t xml:space="preserve">BAI Contact_x000D_
_x000D_
Ardian is a world-leading private investment house with assets over $ 156 bn managed or advised in Europe, Asia and the Americas. The company manages funds on behalf of more than 1,520 clients in Private Equity (Secondaries &amp; Primaries, Co-Investments, Buyout, Expansion, Growth), Real Assets (Infrastructure, Real Estate, Real Estate Debt) &amp; Credit (Private Debt &amp; NAV Financing) strategies._x000D_
</t>
  </si>
  <si>
    <t>Jan  Mehlhorn</t>
  </si>
  <si>
    <t>jan.mehlhorn@ardian.com</t>
  </si>
  <si>
    <t>Fabian  Söffg</t>
  </si>
  <si>
    <t>fso@argos.fund</t>
  </si>
  <si>
    <t>Neuer Mainzer Str. 52 - 58</t>
  </si>
  <si>
    <t xml:space="preserve">BAI Contact_x000D_
_x000D_
Argos Wityu is an independent European investment firm with over 30 years of experience, founded in Geneva in 1989. Today, our offices are in Brussels, Frankfurt am Main, Geneva, Luxembourg, Milan and Paris. Together as a team, we share the same values, the same approach, the same mindset and provide local on-the-ground support to our portfolio companies. We invest between €10 million and €100 million of equity per transaction across industries and borders, exclusively in majority-owned companies, and have over €1 billion of Assets under Management across several fund generations._x000D_
</t>
  </si>
  <si>
    <t>Frank  Hermann</t>
  </si>
  <si>
    <t>fhe@argos.fund</t>
  </si>
  <si>
    <t xml:space="preserve">BAI Contact_x000D_
_x000D_
Argos Wityu is an independent European investment firm with over 30 years of experience, founded in Geneva in 1989. Today, our offices are in Brussels, Frankfurt am Main, Geneva, Luxembourg, Milan and Paris. Together as a team, we share the same values, the same approach, the same mindset and provide local on-the-ground support to our portfolio companies. We invest between €10 million and €100 million of equity per transaction across industries and borders, exclusively in majority-owned companies, and have over €1 billion of Assets under Management across several fund generations._x000D_
_x000D_
</t>
  </si>
  <si>
    <t>Jörg  Schomburg</t>
  </si>
  <si>
    <t>joerg.schomburg@axa-im.com</t>
  </si>
  <si>
    <t>Thurn-und-Taxis-Platz 6</t>
  </si>
  <si>
    <t xml:space="preserve">BAIContact_x000D_
AXA Investment Managers (AXA IM) ist mit rund € 824* Mrd. ein führender Asset Manager mit Fokus auf verantwortungsvolle, soziale und nachhaltige Investments. AXA IM beschäftigt über 2.600 Mitarbeiter weltweit, hat Niederlassungen in 18 Ländern und ist Teil der AXA Group, eines Weltmarktführers für Versicherungen und Investment Management (12/2022). Mit AXA IM Alts setzt AXA IM einen besonderen Schwerpunkt auf den Bereich alternativer Investments und verwaltet mehr als € 198 Mrd.* in den Kernexpertisen Real Estate, Infrastructure, Alternative Credit, Natural Capital &amp; Impact Investments._x000D_
</t>
  </si>
  <si>
    <t>Martin  Köhler</t>
  </si>
  <si>
    <t>martin.koehler@axa-im.com</t>
  </si>
  <si>
    <t xml:space="preserve">BAI Contact_x000D_
AXA Investment Managers (AXA IM) ist mit rund € 824* Mrd. ein führender Asset Manager mit Fokus auf verantwortungsvolle, soziale und nachhaltige Investments. AXA IM beschäftigt über 2.600 Mitarbeiter weltweit, hat Niederlassungen in 18 Ländern und ist Teil der AXA Group, eines Weltmarktführers für Versicherungen und Investment Management (12/2022). Mit AXA IM Alts setzt AXA IM einen besonderen Schwerpunkt auf den Bereich alternativer Investments und verwaltet mehr als € 198 Mrd.* in den Kernexpertisen Real Estate, Infrastructure, Alternative Credit, Natural Capital &amp; Impact Investments._x000D_
</t>
  </si>
  <si>
    <t>David  Gaschik</t>
  </si>
  <si>
    <t>david.gaschik@bailliegifford.com</t>
  </si>
  <si>
    <t>WINX Tower, Neue Mainzer Str. 6 - 10</t>
  </si>
  <si>
    <t xml:space="preserve">BAI Contact_x000D_
Baillie Gifford is an investment company founded in Scotland in 1908 and still run by its partners. This ownership structure allows us to focus on our clients and their investments while taking a long-term perspective. Our investment philosophy is simple yet sophisticated: we look for companies whose exceptional growth potential is not yet properly appreciated by the market. This applies to both private companies and those listed on the stock exchange. At Baillie Gifford, there is no separation between the private equity specialists and the public market teams. We see our core mission as providing capital to innovative companies so that they can use their business models to help change the world for the better. We call this "Actual Investing"._x000D_
_x000D_
</t>
  </si>
  <si>
    <t>Sebastian  Jeuk</t>
  </si>
  <si>
    <t>sebastian.jeuk@bailliegifford.com</t>
  </si>
  <si>
    <t xml:space="preserve">BAI Contact_x000D_
Baillie Gifford is an investment company founded in Scotland in 1908 and still run by its partners. This ownership structure allows us to focus on our clients and their investments while taking a long-term perspective. Our investment philosophy is simple yet sophisticated: we look for companies whose exceptional growth potential is not yet properly appreciated by the market. This applies to both private companies and those listed on the stock exchange. At Baillie Gifford, there is no separation between the private equity specialists and the public market teams. We see our core mission as providing capital to innovative companies so that they can use their business models to help change the world for the better. We call this "Actual Investing"._x000D_
</t>
  </si>
  <si>
    <t>Andreas  Mittler</t>
  </si>
  <si>
    <t>andreas.mittler@bnpparibas.com</t>
  </si>
  <si>
    <t>Senckenberganlage 19</t>
  </si>
  <si>
    <t xml:space="preserve">BAI Contact_x000D_
_x000D_
BNP Paribas Asset Management ist der unabhängige Vermögensverwalter von BNP Paribas, einem der weltweit größten Finanzunternehmen. BNP Paribas Asset Management verwaltet 569 Mrd. Euro Vermögen (Stand: 31. Dezember 2017) und bietet seinen Kunden verschiedenste aktive, quantitative und passive Investmentlösungen für Aktien, Anleihen, Multi-Asset und LDI Strategien über verschiedenste Regionen. Mit rund 700 Investmentexperten und 600 Kundenbetreuern ist BNP Paribas Asset Management für Privatkunden, Unternehmen und institutionelle Anleger in 75 Ländern tätig._x000D_
Seit 2002 engagiert sich BNPP AM in vielen Bereichen der Nachhaltigen Investments (SRI), und berücksichtigt Faktoren wie Umwelt, Soziales und Unternehmensführung (ESG-Kriterien) bei seinen Anlageentscheidungen. BNPP AM ist davon überzeugt, dass dies langfristig zu einer besseren Kapitalanlage führt. Zudem kann BNPP AM so den Wandel hin zu einer nachhaltigen Gesellschaft unterstützen._x000D_
</t>
  </si>
  <si>
    <t>Nader  Purschaker</t>
  </si>
  <si>
    <t>nader.purschaker@bnpparibas.com</t>
  </si>
  <si>
    <t>Fabian  Link</t>
  </si>
  <si>
    <t>fabian.link@bnymellon.com</t>
  </si>
  <si>
    <t>MesseTurm Friedrich-Ebert-Anlage 49</t>
  </si>
  <si>
    <t xml:space="preserve">BAI Contact_x000D_
BNY Mellon Investment Management ist einer der größten globalen Vermögensverwalter mit einem verwalteten Vermögen von rd. USD 1,9 Bio (Stand: 31.12.2019). Unser Vermögensverwaltungsmodell bündelt das Know-how global führender Investment Management-Profis, die mit ihrer einzigartigen Anlagephilosophie sowie individuellen Investmentprozessen auf ihrem jeweiligen Spezialgebiet zu den Besten zählen._x000D_
_x000D_
Wir bieten eine solide Unternehmensbasis sowie weltweite Ressourcen und administrative Unterstützung, die unseren Investmentfirmen die Freiheit verschaffen, sich auf das zu konzentrieren, was sie am besten können – ihren Kunden spezialisierte und fokussierte Investments zu liefern._x000D_
_x000D_
</t>
  </si>
  <si>
    <t>Peter  Peterburs</t>
  </si>
  <si>
    <t>peter.peterburs@bnymellon.com</t>
  </si>
  <si>
    <t xml:space="preserve">BAI Contact_x000D_
BNY Mellon Investment Management ist einer der größten globalen Vermögensverwalter mit einem verwalteten Vermögen von rd. USD 1,9 Bio (Stand: 31.12.2019). Unser Vermögensverwaltungsmodell bündelt das Know-how global führender Investment Management-Profis, die mit ihrer einzigartigen Anlagephilosophie sowie individuellen Investmentprozessen auf ihrem jeweiligen Spezialgebiet zu den Besten zählen._x000D_
_x000D_
Wir bieten eine solide Unternehmensbasis sowie weltweite Ressourcen und administrative Unterstützung, die unseren Investmentfirmen die Freiheit verschaffen, sich auf das zu konzentrieren, was sie am besten können – ihren Kunden spezialisierte und fokussierte Investments zu liefern._x000D_
</t>
  </si>
  <si>
    <t>Karsten  Batran</t>
  </si>
  <si>
    <t>kb@brightcapital.de</t>
  </si>
  <si>
    <t>Große Bockenheimer Straße 43</t>
  </si>
  <si>
    <t xml:space="preserve">BAI Contact_x000D_
_x000D_
BRIGHT CAPITAL ist Manager eines Kreditfonds mit Sitz in Frankfurt am Main. Der BRIGHT CAPITAL Mittelstandsfonds investiert in nachhaltig erfolgreiche mittelständische Unternehmen mit einem exzellenten Management und einer starken Marktpositionierung._x000D_
Das BRIGHT CAPITAL Team blickt auf eine langjährige Erfahrung als Unternehmer und Investor zurück und bringt seine Expertise beratend aber nicht operativ in die Portfoliounternehmen ein. Dabei wird das Fondsmanagement von einem erfahrenen Team von Branchenexperten unterstützt._x000D_
BRIGHT CAPITAL verfolgt einen unternehmerischen Investitionsansatz. Die Darlehen werden passend zur jeweiligen Unternehmenssituation individuell und in Zusammenarbeit mit dem Management und den Gesellschaftern strukturiert._x000D_
</t>
  </si>
  <si>
    <t>Matthias  Mathieu</t>
  </si>
  <si>
    <t>mm@brightcapital.de</t>
  </si>
  <si>
    <t>Tanja  Bender</t>
  </si>
  <si>
    <t>tanja.bender@candriam.com</t>
  </si>
  <si>
    <t>Fellnerstraße 5</t>
  </si>
  <si>
    <t xml:space="preserve">BAI Contact_x000D_
_x000D_
Candriam stands for "Conviction And Responsibility in Asset Management": conviction-based investment decisions and a sense of responsibility to our clients run through everything we do. In addition to providing institutions and wholesale investors with access to Traditional Equity, Fixed Income and Asset Allocation strategies, we have also developed an extensive range of specialist products. These include Emerging Debt and Equity, Quantitative Equities, a number of Thematic Strategies focusing on areas of particular investment interest as well as Private Equity Real Estate._x000D_
_x000D_
Our Sustainable &amp; Responsible Investing (SRI) research team is one of the largest in continental Europe, enabling us to provide a broad range of SRI strategies across geographic regions and asset classes (Equity, Fixed Income and Asset Allocation)._x000D_
</t>
  </si>
  <si>
    <t>Martin  Blumann</t>
  </si>
  <si>
    <t>Martin.Blumann@commerzbank.com</t>
  </si>
  <si>
    <t>Mainzer Landstr. 153</t>
  </si>
  <si>
    <t>Richard  Wellens</t>
  </si>
  <si>
    <t>Richard.Wellens@commerzbank.com</t>
  </si>
  <si>
    <t>Nicolaus  Loos</t>
  </si>
  <si>
    <t>nicolaus.loos@deutschecredit.eu</t>
  </si>
  <si>
    <t>Siesmayerstraße 44</t>
  </si>
  <si>
    <t>Mark  Eckes</t>
  </si>
  <si>
    <t>Mark.Eckes@deka.de</t>
  </si>
  <si>
    <t>Mainzer Landstraße 16</t>
  </si>
  <si>
    <t xml:space="preserve">BAI Contact_x000D_
_x000D_
Die DekaBank ist das Wertpapierhaus der Sparkassen. Als zentraler Dienstleister bündelt sie Kompetenzen in Asset Management und Bankgeschäft – als Vermögensverwalter, Finanzierer, Emittent, Strukturierer und Depotbank. Mit einem verwalteten Fondsvermögen von rund 236 Mrd. Euro (Stand: 31.12.2016) zählt die Deka-Gruppe zu den größten Finanzdienstleistern in Deutschland. In enger Kooperation mit den Sparkassen als exklusiven Vertriebspartnern bietet die DekaBank privaten und institutionellen Investoren ein breites Spektrum von Anlageinstrumenten – von Basisprodukten der strukturierten Geldanlage bis hin zu maßgeschneiderten Lösungen und Dienstleistungen zur Umsetzung individueller Anlagestrategien in unterschiedlichen Marktszenarien._x000D_
</t>
  </si>
  <si>
    <t>Silko  Wünsche</t>
  </si>
  <si>
    <t>Silko.Wuensche@deka.de</t>
  </si>
  <si>
    <t xml:space="preserve">BAI Contact_x000D_
Die DekaBank ist das Wertpapierhaus der Sparkassen. Als zentraler Dienstleister bündelt sie Kompetenzen in Asset Management und Bankgeschäft – als Vermögensverwalter, Finanzierer, Emittent, Strukturierer und Depotbank. Mit einem verwalteten Fondsvermögen von rund 236 Mrd. Euro (Stand: 31.12.2016) zählt die Deka-Gruppe zu den größten Finanzdienstleistern in Deutschland. In enger Kooperation mit den Sparkassen als exklusiven Vertriebspartnern bietet die DekaBank privaten und institutionellen Investoren ein breites Spektrum von Anlageinstrumenten – von Basisprodukten der strukturierten Geldanlage bis hin zu maßgeschneiderten Lösungen und Dienstleistungen zur Umsetzung individueller Anlagestrategien in unterschiedlichen Marktszenarien._x000D_
</t>
  </si>
  <si>
    <t>Dr. Hengster, Loesch &amp; Kollegen GmbH</t>
  </si>
  <si>
    <t>Lars  Loesch</t>
  </si>
  <si>
    <t>ll@hengsterloesch.de</t>
  </si>
  <si>
    <t>Rathenauplatz 1A</t>
  </si>
  <si>
    <t xml:space="preserve">Dr. Hengster, Loesch &amp; Kollegen supports institutional investors in finding suitable investment concepts. The approach here is very strong customer oriented. We are working with a limited number of asset managers after en intensive testing based on defined criteria. The investment focus is primarily on real assets such as real estate, infrastructure, renewable energies and private debt._x000D_
_x000D_
_x000D_
</t>
  </si>
  <si>
    <t>Rupert  Hengster</t>
  </si>
  <si>
    <t>rh@hengsterloesch.de</t>
  </si>
  <si>
    <t xml:space="preserve">BAI Contact_x000D_
Dr. Hengster, Loesch &amp; Kollegen supports institutional investors in finding suitable investment concepts. The approach here is very strong customer oriented. We are working with a limited number of asset managers after en intensive testing based on defined criteria. The investment focus is primarily on real assets such as real estate, infrastructure, renewable energies and private debt._x000D_
</t>
  </si>
  <si>
    <t>Tim  Becker</t>
  </si>
  <si>
    <t>tim.becker@dws.com</t>
  </si>
  <si>
    <t>Mainzer Landstraße 11-17</t>
  </si>
  <si>
    <t xml:space="preserve">BAI Contact_x000D_
Die DWS Group (DWS) ist einer der weltweit führenden Vermögensverwalter mit einem verwalteten Vermögen von 759 Milliarden Euro (Stand: 30. September 2020). Sie blickt auf mehr als 60 Jahre Erfahrung zurück und ist in Deutschland, Europa, Amerika und Asien für ihre exzellenten Leistungen bekannt. Weltweit vertrauen Kunden der DWS als Anbieter für integrierte Anlagelösungen. Sie wird über das gesamte Spektrum der Anlagedisziplinen hinweg als Quelle für Stabilität und Innovationen geschätzt._x000D_
_x000D_
Die DWS bietet Privatpersonen und Institutionen Zugang zu ihren leistungsfähigen Anlagekompetenzen in allen wichtigen Anlagekategorien sowie Lösungen, die sich an Wachstumstrends orientieren. Unsere umfassende Expertise als Vermögensverwalter im Active-, Passive- und Alternatives-Geschäft sowie unser starker Fokus auf die Nachhaltigkeitsaspekte Umwelt, Soziales und gute Unternehmensführung ergänzen einander bei der Entwicklung gezielter Lösungskonzepte für unsere Kunden. Das fundierte Know-how unserer Ökonomen, Research-Analysten und Anlageprofis wird im globalen CIO View zusammengefasst, der unserem Anlageansatz als strategische Leitlinie dient._x000D_
_x000D_
Die DWS möchte die Zukunft des Investierens gestalten. Dank unserer rund 3.500 Mitarbeiter an Standorten in der ganzen Welt sind wir dabei lokal präsent und bilden gleichzeitig ein globales Team. Wir sind Anleger – mit dem Auftrag, die beste Basis für die Zukunft unserer Kunden zu schaffen._x000D_
</t>
  </si>
  <si>
    <t>Edmond de Rothschild Asset Management S.A. (France), Niederlassung Deutschland</t>
  </si>
  <si>
    <t>Regine  Wiedmann</t>
  </si>
  <si>
    <t>r.wiedmann@edr.com</t>
  </si>
  <si>
    <t>mainBuilding Taunusanlage 16</t>
  </si>
  <si>
    <t xml:space="preserve">BAI Contact_x000D_
_x000D_
Founded in 1953, the Edmond de Rothschild Group specializes in asset management and private banking. The product range includes both liquid and illiquid investment strategies. A particular focus is on infrastructure debt, private equity, real estate, sustainable investments (ESG), new technologies (Big Data), emerging market debt, emerging market credit and international equities. On 31 December 2020, assets under management amounted to approximately 155 billion Euro. The group has around 2,500 employees in 32 offices worldwide. The total assets of the asset management arm amounted 91 billion Euro (as of September 30, 2021)._x000D_
</t>
  </si>
  <si>
    <t>Wilhelm  Gold</t>
  </si>
  <si>
    <t>w.gold@edr.com</t>
  </si>
  <si>
    <t xml:space="preserve">BAI Contact_x000D_
_x000D_
Founded in 1953, the Edmond de Rothschild Group specializes in asset management and private banking. The product range includes both liquid and illiquid investment strategies. A particular focus is on infrastructure debt, private equity, real estate, sustainable investments (ESG), new technologies (Big Data), emerging market debt, emerging market credit and international equities. On 31 December 2020, assets under management amounted to approximately 155 billion Euro. The group has around 2,500 employees in 32 offices worldwide. The total assets of the asset management arm amounted 91 billion Euro (as of September 30, 2021)._x000D_
_x000D_
</t>
  </si>
  <si>
    <t>Christian  Fritsch</t>
  </si>
  <si>
    <t>cf@elfcap.com</t>
  </si>
  <si>
    <t>Neue Mainzer Straße 66 - 68</t>
  </si>
  <si>
    <t xml:space="preserve">BAI Contact_x000D_
_x000D_
The funds advised by ELF Capital specialize in flexible financing solutions for medium-sized companies with a focus on Germany, Austria and Switzerland as well as Northwest Europe. The entire investment team has many years of experience in structuring tailor-made financing solutions for owner-managed medium-sized companies, management teams and private equity portfolio companies looking for an entrepreneurial, reliable and committed financing partner._x000D_
_x000D_
ELF Capital offers individually designed financing solutions for established companies as well as for companies in special situations. The focus is on capital solutions for companies with solid and profitable business models, a leading market positioning and good growth prospects._x000D_
</t>
  </si>
  <si>
    <t>Florian  Wimpff</t>
  </si>
  <si>
    <t>fw@elfcap.com</t>
  </si>
  <si>
    <t xml:space="preserve">BAI Contact_x000D_
_x000D_
The funds advised by ELF Capital specialize in flexible financing solutions for medium-sized companies with a focus on Germany, Austria and Switzerland as well as Northwest Europe. The entire investment team has many years of experience in structuring tailor-made financing solutions for owner-managed medium-sized companies, management teams and private equity portfolio companies looking for an entrepreneurial, reliable and committed financing partner._x000D_
_x000D_
ELF Capital offers individually designed financing solutions for established companies as well as for companies in special situations. The focus is on capital solutions for companies with solid and profitable business models, a leading market positioning and good growth prospects._x000D_
_x000D_
</t>
  </si>
  <si>
    <t>Florian  Zimmermann</t>
  </si>
  <si>
    <t>fzimmermann@eurazeo.com</t>
  </si>
  <si>
    <t>Kettenhofweg 51</t>
  </si>
  <si>
    <t xml:space="preserve">Bai contact_x000D_
_x000D_
Eurazeo is a leading global investment group, with a diversified portfolio of €25.6 billion in Assets Under Management, including €16.0 billion from third parties, invested in over 450 companies. With its considerable private equity, real estate and private debt expertise, Eurazeo accompanies companies of all sizes, supporting their development through the commitment of its nearly 300 professionals and by offering deep sector expertise, a gateway to global markets, and a responsible and stable foothold for transformational growth. Its solid institutional and family shareholder base, robust financial structure free of structural debt, and flexible investment horizon enable Eurazeo to support its companies over the long term. Eurazeo is listed on Euronext Paris._x000D_
</t>
  </si>
  <si>
    <t>Richard  Zellmann</t>
  </si>
  <si>
    <t>richard.zellmann@first-private.de</t>
  </si>
  <si>
    <t>Westhafenplatz 8</t>
  </si>
  <si>
    <t xml:space="preserve">BAI contact_x000D_
FIRST PRIVATE ist eine international agierende, unabhängige und partnerschaftlich geführte Asset-Management-Boutique aus Frankfurt. Bereits seit über 25 Jahren konzentriert sich FIRST PRIVATE dabei erfolgreich auf die Entwicklung und Umsetzung aktiver, quantitativer Investmentstrategien in den Bereichen „Aktien“ und „Absolute Return“._x000D_
Darüber hinaus verschafft FIRST PRIVATE als Initiator der Luxemburger Gesellschaft FP Lux Investments S.A. institutionellen Kunden Zugang zu Investmentlösungen im Segment Infrastruktur/Erneuerbare Energien._x000D_
_x000D_
</t>
  </si>
  <si>
    <t>Franklin Templeton International Services S.à.r.l. Niederlassung Deutschland</t>
  </si>
  <si>
    <t>Christian  Rumpf</t>
  </si>
  <si>
    <t>christian.rumpf@franklintempleton.de</t>
  </si>
  <si>
    <t>Mainzer Landstr. 16</t>
  </si>
  <si>
    <t xml:space="preserve">BAI contact_x000D_
_x000D_
Franklin Resources, Inc. [NYSE:BEN] is a global investment management organization with subsidiaries operating as Franklin Templeton and serving clients in over 155 countries. Franklin Templeton’s mission is to help clients achieve better outcomes through investment management expertise, wealth management and technology solutions. Through its specialist investment managers, the company offers specialization on a global scale, bringing extensive capabilities in equity, fixed income, multi-asset solutions and alternatives. With offices in more than 30 countries and approximately 1,300 investment professionals, the California-based company has 75 years of investment experience and approximately $1.4 trillion in assets under management, half of which are on behalf of institutional clients._x000D_
_x000D_
</t>
  </si>
  <si>
    <t>Marie  Keil-Mouy</t>
  </si>
  <si>
    <t>marie.keil-mouy@franklintempleton.de</t>
  </si>
  <si>
    <t xml:space="preserve">BAI contact_x000D_
_x000D_
Franklin Resources, Inc. [NYSE:BEN] is a global investment management organization with subsidiaries operating as Franklin Templeton and serving clients in over 155 countries. Franklin Templeton’s mission is to help clients achieve better outcomes through investment management expertise, wealth management and technology solutions. Through its specialist investment managers, the company offers specialization on a global scale, bringing extensive capabilities in equity, fixed income, multi-asset solutions and alternatives. With offices in more than 30 countries and approximately 1,300 investment professionals, the California-based company has 75 years of investment experience and approximately $1.4 trillion in assets under management, half of which are on behalf of institutional clients._x000D_
</t>
  </si>
  <si>
    <t>Dennis  Lübcke</t>
  </si>
  <si>
    <t>dennis.luebcke@gs.com</t>
  </si>
  <si>
    <t>Marienturm | Taunusanlage 9-10</t>
  </si>
  <si>
    <t xml:space="preserve">BAI Contact_x000D_
By bringing together traditional and alternative investments, Goldman Sachs Asset Management offers clients worldwide a focused or comprehensive partnership - with a focus on long-term performance. We provide investment services to the world's leading institutions, financial advisors and individuals. Backed by our tightly integrated global network and insights from our investment professionals across all regions and various capital markets, we oversee more than US$2 trillion in assets under supervision worldwide (March 31, 2021). We continuously deliver new insights - bundled into tailored investment opportunities. A long-term partnership based on conviction: for joint success with sustainable results. Follow us on LinkedIn._x000D_
</t>
  </si>
  <si>
    <t>Thomas  Herbert</t>
  </si>
  <si>
    <t>thomas.herbert@ha-gim.com</t>
  </si>
  <si>
    <t>aunusanlage 19 (mainBuilding)</t>
  </si>
  <si>
    <t xml:space="preserve">BAI Contact_x000D_
_x000D_
We are an active asset manager for institutional investors with high demands. As an investment company of Hauck Aufhäuser Lampe Privatbank AG and member of the Fosun Family, we combine more than 220 years of experience with internationality and modernity.H&amp;A Global Investment Management GmbH emerged as asset manager from Hauck Aufhäuser Lampe Privatbank AG, one of the most renowned German private banks. In addition to the bank, the Frankfurter Leben Insurance Group and the Chinese Fosun Group are among the company's owners.We develop suitable and high-performance solutions for the respective investor needs in an individual and target-oriented manner. Our clients benefit from our proven expertise in investment management for insurers and private banking asset management outsourced to HAGIM by our shareholders. Our clients also benefit from our many years of experience in serving numerous institutional investors in Germany.In addition, we can also draw on the network and resources of the Chinese Fosun Group as a shareholder_x000D_
_x000D_
</t>
  </si>
  <si>
    <t>Wolfgang  Kirschner</t>
  </si>
  <si>
    <t>wolfgang.kirschner@ha-gim.com</t>
  </si>
  <si>
    <t xml:space="preserve">BAI Contact_x000D_
_x000D_
We are an active asset manager for institutional investors with high demands. As an investment company of Hauck Aufhäuser Lampe Privatbank AG and member of the Fosun Family, we combine more than 220 years of experience with internationality and modernity.H&amp;A Global Investment Management GmbH emerged as asset manager from Hauck Aufhäuser Lampe Privatbank AG, one of the most renowned German private banks. In addition to the bank, the Frankfurter Leben Insurance Group and the Chinese Fosun Group are among the company's owners.We develop suitable and high-performance solutions for the respective investor needs in an individual and target-oriented manner. Our clients benefit from our proven expertise in investment management for insurers and private banking asset management outsourced to HAGIM by our shareholders. Our clients also benefit from our many years of experience in serving numerous institutional investors in Germany.In addition, we can also draw on the network and resources of the Chinese Fosun Group as a shareholder_x000D_
</t>
  </si>
  <si>
    <t>Christian  D´Amico</t>
  </si>
  <si>
    <t>cdamico@hamiltonlane.com</t>
  </si>
  <si>
    <t>Schillerstraße 12</t>
  </si>
  <si>
    <t xml:space="preserve">BAI Contact_x000D_
_x000D_
Hamilton Lane (NASDAQ: HLNE) is a leading global private markets investment manager. _x000D_
_x000D_
We offer investors tailored single managed account (SMA) solutions, as well as co-investment and secondary funds, across all private market asset classes (private equity, infrastructure, impact, private debt and real estate). For Private Wealth clients, we offer access to the private markets via semi-liquid Evergreen products._x000D_
_x000D_
In Germany, Hamilton Lane is Bafin licensed; a team in Frankfurt serves German investors locally._x000D_
_x000D_
</t>
  </si>
  <si>
    <t>Ralph  Aerni</t>
  </si>
  <si>
    <t>raerni@hamiltonlane.com</t>
  </si>
  <si>
    <t xml:space="preserve">BAI Contact_x000D_
_x000D_
Hamilton Lane (NASDAQ: HLNE) is a leading global private markets investment manager. _x000D_
_x000D_
We offer investors tailored single managed account (SMA) solutions, as well as co-investment and secondary funds, across all private market asset classes (private equity, infrastructure, impact, private debt and real estate). For Private Wealth clients, we offer access to the private markets via semi-liquid Evergreen products._x000D_
_x000D_
In Germany, Hamilton Lane is Bafin licensed; a team in Frankfurt serves German investors locally._x000D_
</t>
  </si>
  <si>
    <t>Kaja  Bader</t>
  </si>
  <si>
    <t>Kaja.Bader@helaba-invest.de</t>
  </si>
  <si>
    <t>Junghofstr. 24</t>
  </si>
  <si>
    <t xml:space="preserve">BAI Contact_x000D_
_x000D_
The business strategy of Helaba Invest is based on the three pillars of "Master KAG", "asset management for equities, fixed income and money market" and "asset management for real estate and alternative investments". _x000D_
_x000D_
In order to meet the rising demand of institutional investors for solutions to the current market environment characterized by low interest rates and high volatility, Helaba Invest has broadened its product range. Besides the asset class real estate Helaba Invest offers private equity, infrastructure, renewable energy and forest investment products. These asset classes do not only make a significant contribution to portfolio diversification but also offer a certain degree of inflation protection._x000D_
</t>
  </si>
  <si>
    <t>Tobias  Moroni and Georg Klusak</t>
  </si>
  <si>
    <t>info@2ig.de</t>
  </si>
  <si>
    <t>Hamburger Allee 45</t>
  </si>
  <si>
    <t xml:space="preserve">BAI Contact_x000D_
_x000D_
Die Institutional Investment Group (2IG) ist eine der führenden unabhängigen Investoren-Plattformen für Real Asset-Investments institutioneller Investoren in Deutschland und Europa und verwaltet mehr als 50 Mrd. Euro Real Asset-Vermögen in mehr als 25 Ländern weltweit._x000D_
_x000D_
Ihre Gesellschaften bieten umfassende Strukturen, Leistungen und digitale Lösungen für Fonds- und Debt-Investments sowie deren effiziente Administration und effektive Portfoliosteuerung._x000D_
</t>
  </si>
  <si>
    <t>Bastian  Schmedding</t>
  </si>
  <si>
    <t>bastian.schmedding@icgplc.com</t>
  </si>
  <si>
    <t>An der Welle 5</t>
  </si>
  <si>
    <t xml:space="preserve">BAI Contact_x000D_
ICG is a global alternative asset manager with over 33 years of history. ICG was founded in 1989 to capitalize on opportunities in the then-nascent European subordinated debt/intermediate capital market. Over the past 33 years, ICG has invested approximately €25.1 billion in this market and made 400 investments. Having become a market leader in the European subordinated debt/intermediate capital asset class, ICG has broadened its investment strategies over the years both through organic growth and acquisitions and has evolved into an integrated global asset manager today._x000D_
</t>
  </si>
  <si>
    <t>Julia  Beinker</t>
  </si>
  <si>
    <t>Julia.Beinker@icgam.com</t>
  </si>
  <si>
    <t xml:space="preserve">BAI Contact_x000D_
ICG is a global alternative asset manager with over 33 years of history. ICG was founded in 1989 to capitalize on opportunities in the then-nascent European subordinated debt/intermediate capital market. Over the past 33 years, ICG has invested approximately €25.1 billion in this market and made 400 investments. Having become a market leader in the European subordinated debt/intermediate capital asset class, ICG has broadened its investment strategies over the years both through organic growth and acquisitions and has evolved into an integrated global asset manager today._x000D_
_x000D_
</t>
  </si>
  <si>
    <t>Sascha  Specketer</t>
  </si>
  <si>
    <t>Sascha.Specketer@invesco.com</t>
  </si>
  <si>
    <t xml:space="preserve">BAI Contact_x000D_
_x000D_
Invesco is an independent investment management firm dedicated to delivering an investment experience that helps people get more out of life._x000D_
 _x000D_
We are privileged to manage more than USD 1,367 billion in assets on behalf of clients worldwide (as of January 31, 2021)._x000D_
 _x000D_
We have:_x000D_
_x000D_
Specialized investment teams managing investments across a comprehensive range of asset classes, investment styles and geographies._x000D_
More than 8,000 employees focused on client needs across the globe._x000D_
Proximity to our clients with an on-the-ground presence in more than 20 countries._x000D_
Solid financials, an investment grade debt rating, and a strong balance sheet._x000D_
</t>
  </si>
  <si>
    <t>KKR Kohlberg Kravis Roberts GmbH (Kopie 1)</t>
  </si>
  <si>
    <t>Christian  Ollig</t>
  </si>
  <si>
    <t>christian.ollig@kkr.com</t>
  </si>
  <si>
    <t>OpernTurm, 18. Etage Bockenheimer Landstraße 2-4</t>
  </si>
  <si>
    <t xml:space="preserve">BAI Contact_x000D_
_x000D_
KKR is a leading global investment firm that manages multiple alternative asset classes, including private equity, energy, infrastructure, real estate and credit, with strategic partners that manage hedge funds. KKR aims to generate attractive investment returns for its fund investors by following a patient and disciplined investment approach, employing world-class people, and driving growth and value creation with KKR portfolio companies. KKR invests its own capital alongside the capital it manages for fund investors and provides financing solutions and investment opportunities through its capital markets business. For additional information about KKR &amp; Co. Inc. (NYSE: KKR), please visit KKR's website at www.kkr.com &lt;http://www.kkr.com&gt;  and on Twitter @KKR_Co._x000D_
_x000D_
</t>
  </si>
  <si>
    <t>Hagen  Raab</t>
  </si>
  <si>
    <t>hagen.raab@kkr.com</t>
  </si>
  <si>
    <t xml:space="preserve">BAI Contact_x000D_
_x000D_
KKR is a leading global investment firm that manages multiple alternative asset classes, including private equity, energy, infrastructure, real estate and credit, with strategic partners that manage hedge funds. KKR aims to generate attractive investment returns for its fund investors by following a patient and disciplined investment approach, employing world-class people, and driving growth and value creation with KKR portfolio companies. KKR invests its own capital alongside the capital it manages for fund investors and provides financing solutions and investment opportunities through its capital markets business. For additional information about KKR &amp; Co. Inc. (NYSE: KKR), please visit KKR's website at www.kkr.com and on Twitter @KKR_Co._x000D_
</t>
  </si>
  <si>
    <t>Michael  Lichter</t>
  </si>
  <si>
    <t>michael.lichter@lupusalpha.de</t>
  </si>
  <si>
    <t>Speicherstraße 49-51</t>
  </si>
  <si>
    <t xml:space="preserve">BAI Contact_x000D_
_x000D_
I ndependent, medium-sized, and managed in a partnership approach, we stand for active investment strategies that make a substantial contribution to intelligent portfolio diversification. We focus on six specialized asset classes: European Small &amp; Mid Caps; Volatility, Value Preservation and Overlay Strategies; CLOs and Convertible Bonds. In these segments, as specialists, we have the expertise to consistently deliver high quality to our clients. With about 100 employees, of which 35 are in portfolio management, we are continuously committed to above-average performance and a service tailored to the specific requirements of each mandate. Additionally, with Lupus alpha Investment GmbH as another organizational unit, we launch our own specialized funds. The dedicated professionalism of our teams makes Lupus alpha one of the top addresses among asset managers in Germany. "We take performance personally" - that is the Alpha Way to Invest._x000D_
</t>
  </si>
  <si>
    <t>Pia  Kater</t>
  </si>
  <si>
    <t>pia.kater@lupusalpha.de</t>
  </si>
  <si>
    <t xml:space="preserve">BAI Contact_x000D_
_x000D_
I ndependent, medium-sized, and managed in a partnership approach, we stand for active investment strategies that make a substantial contribution to intelligent portfolio diversification. We focus on six specialized asset classes: European Small &amp; Mid Caps; Volatility, Value Preservation and Overlay Strategies; CLOs and Convertible Bonds. In these segments, as specialists, we have the expertise to consistently deliver high quality to our clients. With about 100 employees, of which 35 are in portfolio management, we are continuously committed to above-average performance and a service tailored to the specific requirements of each mandate. Additionally, with Lupus alpha Investment GmbH as another organizational unit, we launch our own specialized funds. The dedicated professionalism of our teams makes Lupus alpha one of the top addresses among asset managers in Germany. "We take performance personally" - that is the Alpha Way to Invest._x000D_
_x000D_
</t>
  </si>
  <si>
    <t>M&amp;G Luxembourg S.A. Niederlassung Deutschland</t>
  </si>
  <si>
    <t>Ingo  Matthey</t>
  </si>
  <si>
    <t>ingo.matthey@mandg.de</t>
  </si>
  <si>
    <t>Taunusanlage 19</t>
  </si>
  <si>
    <t xml:space="preserve">BAI Contact_x000D_
_x000D_
At M&amp;G Investments we are a long term, active manager, offering a broad range of capabilities that span both public and private markets including fixed income, equities, multi asset, real estate, infrastructure and private equity. We manage over €358 billion* on behalf of individual and institutional investors globally including pension funds, insurers, banks and family offices. M&amp;G’s scale and experience is underpinned by our investment philosophy of bottom-up value investing with a focus on fundamental credit research._x000D_
_x000D_
*M&amp;G Investments, as at 30. June 2022_x000D_
</t>
  </si>
  <si>
    <t>Christos  Tsaravas</t>
  </si>
  <si>
    <t>Christos_Tsaravas@manulifeam.com</t>
  </si>
  <si>
    <t>MesseTurm Friedrich-Ebert-_x000D_
Anlage 49 Frankfurt</t>
  </si>
  <si>
    <t xml:space="preserve">BAI Contact_x000D_
_x000D_
Manulife Investment Management is the asset management arm of Manulife Financial Corporation (Manulife). We draw on more than a century of financial stewardship and the full resources of our parent company to serve institutional investors worldwide.Our leading capabilities in public and private markets are strengthened by an investment footprint that spans 19 geographies. Our investment expertise includes public and private equity, fixed income and private debt, real estate, infrastructure, timberland and farmland. We complement these capabilities in our multi-asset portfolios by providing access to a network of unaffiliated asset managers from around the world—a specialist approach that leverages the diverse expertise of a robust investment organization in a culture of cross-asset class collaboration.We’re committed to investing responsibly. We seek to be a global leader of sustainable asset management, creating long-term value for our stakeholders while helping realize a sustainable trajectory for the global economy. We develop innovative global frameworks for sustainable investing, collaboratively engage with companies in our securities portfolios, and maintain a high standard of stewardship where we own and operate assets._x000D_
</t>
  </si>
  <si>
    <t>Nicole  Kudlek</t>
  </si>
  <si>
    <t>Nicole_Kudlek@manulifeam.com</t>
  </si>
  <si>
    <t xml:space="preserve">BAI Contact_x000D_
_x000D_
Manulife Investment Management is the asset management arm of Manulife Financial Corporation (Manulife). We draw on more than a century of financial stewardship and the full resources of our parent company to serve institutional investors worldwide.Our leading capabilities in public and private markets are strengthened by an investment footprint that spans 19 geographies. Our investment expertise includes public and private equity, fixed income and private debt, real estate, infrastructure, timberland and farmland. We complement these capabilities in our multi-asset portfolios by providing access to a network of unaffiliated asset managers from around the world—a specialist approach that leverages the diverse expertise of a robust investment organization in a culture of cross-asset class collaboration.We’re committed to investing responsibly. We seek to be a global leader of sustainable asset management, creating long-term value for our stakeholders while helping realize a sustainable trajectory for the global economy. We develop innovative global frameworks for sustainable investing, collaboratively engage with companies in our securities portfolios, and maintain a high standard of stewardship where we own and operate assets._x000D_
_x000D_
</t>
  </si>
  <si>
    <t>Philip  Schätzle</t>
  </si>
  <si>
    <t>PSchaetzle@metzler.com</t>
  </si>
  <si>
    <t>Untermainanlage 1</t>
  </si>
  <si>
    <t xml:space="preserve">BAI Contact_x000D_
Metzler Asset Management provides investment services to institutional clients. These include customized portfolio management concepts as well as efficient and secure administrative solutions._x000D_
_x000D_
In portfolio management, Metzler Asset Management concentrates on established equity, bond and multi-asset strategies. The range of products and services also includes capital preservation and absolute_x000D_
return strategies geared to risk-bearing capacity as well as fund-based investment solutions._x000D_
_x000D_
Metzler Pension Management offers occupational pension products as direct commitments, pension funds or as alternative pension concepts aligned with the special needs of the company._x000D_
_x000D_
</t>
  </si>
  <si>
    <t>Ulf  Hollstein</t>
  </si>
  <si>
    <t>UHollstein@metzler.com</t>
  </si>
  <si>
    <t>MSIM Fund Management (Ireland) Limited Frankfurt Branch</t>
  </si>
  <si>
    <t>Martin  Pitzer</t>
  </si>
  <si>
    <t>martin.pitzer@morganstanley.com</t>
  </si>
  <si>
    <t>Grosse Gallusstraße 12</t>
  </si>
  <si>
    <t>Nicole  Schaller</t>
  </si>
  <si>
    <t>nicole.schaller@morganstanley.com</t>
  </si>
  <si>
    <t>Michael  Sauerbrey</t>
  </si>
  <si>
    <t>msauerbrey@muzinich.com</t>
  </si>
  <si>
    <t>Neue Mainzer Str. 20</t>
  </si>
  <si>
    <t xml:space="preserve">BAI Contact_x000D_
_x000D_
Muzinich &amp; Co. was founded in New York in 1988 by George Muzinich as an independent asset manager for corporate credit. The active asset manager for corporate bonds and credits draws on over 35 years of experience in the management of high-yield bonds. In addition to absolute return strategies, the product range of Muzinich &amp; Co. includes - based on a team approach and prudent risk control -  high yield, cross over and short duration strategies with a focus on the US, Europe and emerging markets in publicly traded instruments. In addition, Muzinich &amp; Co. also offers investments in private debt instruments and aviation financing.The investment approach of Muzinich &amp; Co. focuses on a careful bottom-up analysis of all potential companies and investments by the investment team. This investment team consists of portfolio managers, analysts, risk specialists and traders. Muzinich has a well-founded and recognized expertise in company analysis and portfolio management. Muzinich &amp; Co. attaches particular importance to transparency in all investment decisions and prudent risk control. Capital preservation always has the highest priority. Worldwide, the institutional asset manager manages client assets of 36 billion US dollars (as of June 30, 2023) in various investment vehicles, including 15 UCITS funds. Muzinich employs a total of 248 staff in New York, Dublin, Geneva, Singapore, Florida, Sydney, Hong Kong, Tokyo, London, Paris, Frankfurt, Zurich, Milan, Madrid and Manchester, 114 of whom are on the investment and risk team._x000D_
</t>
  </si>
  <si>
    <t>Alexandra  von Kalnein</t>
  </si>
  <si>
    <t>avk@natango-invest.com</t>
  </si>
  <si>
    <t>Freiherr-vom-Stein-Str. 7</t>
  </si>
  <si>
    <t xml:space="preserve">BAI Contact_x000D_
_x000D_
As investment advisor and broker, we build the bridge between professional investors and product partners in both, traditional and alternative investment strategies. The detailed analysis of international stock and bond markets is our everyday business. In choosing our services, you will find a competent and stable partner who is aware of and understands your investment requirements and regulatory restrictions and who manages to find suitable, innovative investment solutions. We cater to the wholesale market (wealth managers, funds of funds) the institutional segment (pension funds, insurance companies, foundations) as well as to family offices world._x000D_
</t>
  </si>
  <si>
    <t>Michael  Jäger</t>
  </si>
  <si>
    <t>michael.jaeger@natixis.com</t>
  </si>
  <si>
    <t>Senckenberganlage 21</t>
  </si>
  <si>
    <t xml:space="preserve">BAI Contact_x000D_
_x000D_
Natixis Investment Managers provides professional investors access to active investment solutions from over 20 high-conviction investment managers around the globe. The expertise covers a range of asset classes from illiquids, including Private Equity, Private Debt, Infrastructure, Energy Transition, Natural Capital and Real Estate, as well as liquid alternative strategies, such as Managed Futures, Global Macro and Volatility, to traditional asset classes like Fixed Income and Equity._x000D_
_x000D_
Multi-Affiliate Model_x000D_
We are convinced that diverse and unconventional thinking makes the difference. At Natixis Investment Managers every affiliate focuses on those investment styles and disciplines, where the investment teams have proven their capabilities._x000D_
_x000D_
</t>
  </si>
  <si>
    <t>Patrick  Sobotta</t>
  </si>
  <si>
    <t>patrick.sobotta@natixis.com</t>
  </si>
  <si>
    <t xml:space="preserve">BAI Contact_x000D_
_x000D_
Natixis Investment Managers provides professional investors access to active investment solutions from over 20 high-conviction investment managers around the globe. The expertise covers a range of asset classes from illiquids, including Private Equity, Private Debt, Infrastructure, Energy Transition, Natural Capital and Real Estate, as well as liquid alternative strategies, such as Managed Futures, Global Macro and Volatility, to traditional asset classes like Fixed Income and Equity._x000D_
_x000D_
Multi-Affiliate Model_x000D_
We are convinced that diverse and unconventional thinking makes the difference. At Natixis Investment Managers every affiliate focuses on those investment styles and disciplines, where the investment teams have proven their capabilities._x000D_
</t>
  </si>
  <si>
    <t>Nicole  Masling</t>
  </si>
  <si>
    <t>nicole.masling@naxicap.com</t>
  </si>
  <si>
    <t>Hochstr. 53</t>
  </si>
  <si>
    <t xml:space="preserve">BAI Contact_x000D_
_x000D_
Naxicap Partners is a private equity firm, operating in all sectors and focusing on leverage buyouts and growth capital. For more than 15 years, Naxicap Partners has invested in ambitious companies in France, Benelux, Germany, Spain and Switzerland through controlling majority stakes. Naxicap Partners currently manages around €4bn for institutional investors._x000D_
</t>
  </si>
  <si>
    <t>Christian  Puschmann</t>
  </si>
  <si>
    <t>christian.puschmann@nb.com</t>
  </si>
  <si>
    <t>Eurotheum, Neue Mainzer Straße 66-68</t>
  </si>
  <si>
    <t xml:space="preserve">BAI Contact_x000D_
_x000D_
Neuberger Berman was founded in 1939 to do one thing: deliver compelling investment results for our clients over the long term. This remains our singular purpose today, driven by a culture rooted in deep fundamental research, the pursuit of investment insight and continuous innovation on behalf of clients, and facilitated by the free exchange of ideas across the organization._x000D_
_x000D_
As a private, independent, employee-owned investment manager, Neuberger Berman is structurally aligned with the long-term interests of our clients. We have no external parent or public shareholders to serve, nor other lines of business to distract us from our core mission._x000D_
</t>
  </si>
  <si>
    <t>Julian  Wess</t>
  </si>
  <si>
    <t>julian.wess@ninetyone.com</t>
  </si>
  <si>
    <t>Bockenheimer Landstraße 23</t>
  </si>
  <si>
    <t xml:space="preserve">BAI Contact_x000D_
_x000D_
Ninety One is an active global investment manager with 141.9 billion euros* in assets under management. Our goal is to provide long-term investment returns for our clients while making a positive difference to people and the planet. Established in South Africa in 1991, as Investec Asset Management, the firm began as a small start-up offering domestic investments in an emerging market. In 2020, as a global firm proud of our emerging market roots, we demerged to become Ninety One. We stand for the organic development of specialised investment teams._x000D_
_x000D_
Our private debt offering includes a number of differentiated and unique investment strategies. These include Africa Credit Opportunities, European Credit Opportunities, Emerging Africa Infrastructure and Africa Real Estate._x000D_
</t>
  </si>
  <si>
    <t>Maik  Fechner</t>
  </si>
  <si>
    <t>maik.fechner@ninetyone.com</t>
  </si>
  <si>
    <t xml:space="preserve">BAI Contact_x000D_
_x000D_
Ninety One is an active global investment manager with 141.9 billion euros* in assets under management. Our goal is to provide long-term investment returns for our clients while making a positive difference to people and the planet. Established in South Africa in 1991, as Investec Asset Management, the firm began as a small start-up offering domestic investments in an emerging market. In 2020, as a global firm proud of our emerging market roots, we demerged to become Ninety One. We stand for the organic development of specialised investment teams._x000D_
_x000D_
Our private debt offering includes a number of differentiated and unique investment strategies. These include Africa Credit Opportunities, European Credit Opportunities, Emerging Africa Infrastructure and Africa Real Estate._x000D_
_x000D_
</t>
  </si>
  <si>
    <t>Liora  Walter</t>
  </si>
  <si>
    <t>liora.walter@nuveenglobal.com</t>
  </si>
  <si>
    <t>Bockenheimer Landstraße 24</t>
  </si>
  <si>
    <t xml:space="preserve">BAI Contact_x000D_
_x000D_
Nuveen, the investment management arm of TIAA, is one of the largest investment managers in the world with $1,1 trillion in assets under management. Managing a broad array of assets across diverse asset classes, geographies, and investment styles, we offer solutions for a range of investors including pension funds, insurance companies, sovereign wealth funds, banks and family offices. We provide investors access to a wide range of liquid and illiquid alternative strategies such as real estate, real assets (farmland, timber, infrastructure), private equity and debt, in addition to both traditional and fixed income assets. Our heritage as a pension fund means we wholly understand the challenges other like-minded investors face. We have successfully been investing through market cycles for over 120 years, for both ourselves and our investment partners._x000D_
_x000D_
</t>
  </si>
  <si>
    <t>Romina  Smith</t>
  </si>
  <si>
    <t>Romina.Smith@nuveenglobal.com</t>
  </si>
  <si>
    <t xml:space="preserve">BAI Contact_x000D_
_x000D_
Nuveen, the investment management arm of TIAA, is one of the largest investment managers in the world with $1,1 trillion in assets under management. Managing a broad array of assets across diverse asset classes, geographies, and investment styles, we offer solutions for a range of investors including pension funds, insurance companies, sovereign wealth funds, banks and family offices. We provide investors access to a wide range of liquid and illiquid alternative strategies such as real estate, real assets (farmland, timber, infrastructure), private equity and debt, in addition to both traditional and fixed income assets. Our heritage as a pension fund means we wholly understand the challenges other like-minded investors face. We have successfully been investing through market cycles for over 120 years, for both ourselves and our investment partners._x000D_
</t>
  </si>
  <si>
    <t>Klaudius  Sosnik</t>
  </si>
  <si>
    <t>sosnik@oaklet.lu</t>
  </si>
  <si>
    <t>Bettinastr. 61</t>
  </si>
  <si>
    <t xml:space="preserve">BAI Contact_x000D_
_x000D_
Oaklet GmbH, based in Frankfurt am Main, was founded in 2006 as a bank-independent provider of securitization solutions._x000D_
The company is a leading structuring and securitization specialist and product provider to family offices, private banks, pension funds and other institutional investor groups._x000D_
The spectrum of the service covers the complete process chain starting with the conception and product design over the modeling up to the issuance and continuous secondary market supervision. The 100% subsidiary Oaklet S.A. completes a modern one-stop solution approach and offers comprehensive corporate services in Luxembourg._x000D_
</t>
  </si>
  <si>
    <t>Nicole  Frackowski</t>
  </si>
  <si>
    <t>Frackowski@oaklet.lu</t>
  </si>
  <si>
    <t xml:space="preserve">BAI Contact_x000D_
_x000D_
Oaklet GmbH, based in Frankfurt am Main, was founded in 2006 as a bank-independent provider of securitization solutions._x000D_
The company is a leading structuring and securitization specialist and product provider to family offices, private banks, pension funds and other institutional investor groups._x000D_
The spectrum of the service covers the complete process chain starting with the conception and product design over the modeling up to the issuance and continuous secondary market supervision. The 100% subsidiary Oaklet S.A. completes a modern one-stop solution approach and offers comprehensive corporate services in Luxembourg._x000D_
_x000D_
</t>
  </si>
  <si>
    <t>Lars  König</t>
  </si>
  <si>
    <t>lkoenig@oaktreecapital.com</t>
  </si>
  <si>
    <t>An der Welle 3</t>
  </si>
  <si>
    <t xml:space="preserve">BAI Contact_x000D_
_x000D_
Oaktree is a leader among global investment managers specializing in alternative investments, with $148 billion in assets under management as of 31 December 2020. The firm emphasizes an opportunistic, value-oriented and risk-controlled approach to investments in credit, private equity, real assets and listed equities. The firm has over 1,000 employees and offices in 19 cities worldwide. For additional information, please visit Oaktree’s website at http://www.oaktreecapital.com/._x000D_
</t>
  </si>
  <si>
    <t>Christine  Huk</t>
  </si>
  <si>
    <t>christine.huk@oddo-bhf.com</t>
  </si>
  <si>
    <t>Gallusanlage 8</t>
  </si>
  <si>
    <t>Bernd  Kreuter</t>
  </si>
  <si>
    <t>bkreuter@palladio-partners.com</t>
  </si>
  <si>
    <t>Klettenbergstrasse 12</t>
  </si>
  <si>
    <t xml:space="preserve">BAI Contact_x000D_
_x000D_
Palladio Partners is the specialist for German institutional investors in the field of global investments in real assets, in particular infrastructure investments and private equity. The owner-managed investment boutique with offices in Frankfurt and Luxembourg was founded in 2012. Today with its over 70 staff members it has assets of approx. € 9 bn under management. Palladio Partners advises institutional investors on realizing their potentially highly complex individual investment strategies. It secures them access to attractive global investment opportunities._x000D_
</t>
  </si>
  <si>
    <t>Frank  Böhmer</t>
  </si>
  <si>
    <t>fbohmer@pictet.com</t>
  </si>
  <si>
    <t>Neue Mainzer Straße 1</t>
  </si>
  <si>
    <t xml:space="preserve">BAI Contact_x000D_
_x000D_
Pictet Asset Management is an independent asset manager, investing for our clients across a range of equity, fixed income, alternative and multi-asset strategies._x000D_
We provide specialist investment services through segregated accounts and investment funds to some of the world’s largest pension funds, financial institutions, sovereign wealth funds, intermediaries and their clients._x000D_
Our business is investment led and centred around a long-term perspective with a dedication to client service. Our aim is to be the investment partner of choice to our clients._x000D_
We believe in active management with a strong focus on valuation across equities, credit, sovereign debt and currencies._x000D_
As a multi-boutique firm we embrace a variety of investment styles, allowing our teams to implement the best approach for their respective asset classes._x000D_
Our investment resources are focused around our core capabilities: Absolute Return, Thematics, Emerging Markets and Multi Asset._x000D_
We manage risk as much as portfolios, with risk management an integral part of the decision making process._x000D_
</t>
  </si>
  <si>
    <t>Walter  Liebe</t>
  </si>
  <si>
    <t>waliebe@pictet.com</t>
  </si>
  <si>
    <t xml:space="preserve">BAI Contact_x000D_
_x000D_
Pictet Asset Management is an independent asset manager, investing for our clients across a range of equity, fixed income, alternative and multi-asset strategies._x000D_
We provide specialist investment services through segregated accounts and investment funds to some of the world’s largest pension funds, financial institutions, sovereign wealth funds, intermediaries and their clients._x000D_
Our business is investment led and centred around a long-term perspective with a dedication to client service. Our aim is to be the investment partner of choice to our clients._x000D_
We believe in active management with a strong focus on valuation across equities, credit, sovereign debt and currencies._x000D_
As a multi-boutique firm we embrace a variety of investment styles, allowing our teams to implement the best approach for their respective asset classes._x000D_
Our investment resources are focused around our core capabilities: Absolute Return, Thematics, Emerging Markets and Multi Asset._x000D_
We manage risk as much as portfolios, with risk management an integral part of the decision making process._x000D_
_x000D_
</t>
  </si>
  <si>
    <t>Jennifer  Kroh</t>
  </si>
  <si>
    <t>Jennifer.Kroh@primecapital-ag.com</t>
  </si>
  <si>
    <t>Bockenheimer Landstr. 51 - 53</t>
  </si>
  <si>
    <t xml:space="preserve">BAI Contact_x000D_
_x000D_
Prime Capital is an independent asset manager and financial services provider with a German Banking Act (KGW licence) and a CSSF licence in Luxembourg, owned by management and employees. As a specialised asset manager, the company focuses on the asset management of hedge fund and absolute return strategies, on infrastructure with a focus on renewable energy and on private debt. The company has an AIFM in Luxembourg, which performs the AIFM function for both open- and closed-end alternative investment funds. In addition, Prime Capital offers tailor-made fund platforms and bankruptcy-proof securitisations through its own Access Solutions division – in the interest of transparency and control over assets as well as minimising overall costs. Prime Capital sees itself as a specialist in alternative investments with a modular and flexible approach that offers its clients a unique combination of long-standing expertise, comprehensive infrastructure and modern technology._x000D_
_x000D_
</t>
  </si>
  <si>
    <t>Thomas  Zugwurst</t>
  </si>
  <si>
    <t>Thomas.Zugwurst@primecapital-ag.com</t>
  </si>
  <si>
    <t xml:space="preserve">BAI Contact_x000D_
_x000D_
Prime Capital is an independent asset manager and financial services provider with a German Banking Act (KGW licence) and a CSSF licence in Luxembourg, owned by management and employees. As a specialised asset manager, the company focuses on the asset management of hedge fund and absolute return strategies, on infrastructure with a focus on renewable energy and on private debt. The company has an AIFM in Luxembourg, which performs the AIFM function for both open- and closed-end alternative investment funds. In addition, Prime Capital offers tailor-made fund platforms and bankruptcy-proof securitisations through its own Access Solutions division – in the interest of transparency and control over assets as well as minimising overall costs. Prime Capital sees itself as a specialist in alternative investments with a modular and flexible approach that offers its clients a unique combination of long-standing expertise, comprehensive infrastructure and modern technology._x000D_
</t>
  </si>
  <si>
    <t>Stephan  Beismann</t>
  </si>
  <si>
    <t>stephan.beismann@qcpartners.com</t>
  </si>
  <si>
    <t>Goethestr. 10</t>
  </si>
  <si>
    <t xml:space="preserve">BAI Contact_x000D_
_x000D_
QC Partners is an owner-operated asset management company located in Frankfurt/Main. The company specializes in alternative investment strategies that take both aspects of successful investment – stable returns and low risk – into consideration, while remaining independent from benchmarks. Individual demands of institutional clients on issues such as structure, little or no capital requirements, liquidity, capital preservation, regulatory environment, and transparency can be catered to._x000D_
_x000D_
In 2013, QC Partners emerged as a management buy-out from Kepler Capital Markets’ asset management division. The newly founded QC Partners GmbH has many years of experience and demonstrably profound expertise in the management of Absolute Return and Derivative Strategies for institutional investors. Because of their independence from banks, successful models of investment can be combined with new features and geared to investors’ individual needs._x000D_
</t>
  </si>
  <si>
    <t>Iliyan  Iliev</t>
  </si>
  <si>
    <t>iliyan.iliev@resonanzcapital.com</t>
  </si>
  <si>
    <t>Eschersheimer Landstraße 50 -54</t>
  </si>
  <si>
    <t>Vincent  Weber</t>
  </si>
  <si>
    <t>vincent.weber@resonanzcapital.com</t>
  </si>
  <si>
    <t>Thorsten  Schneider</t>
  </si>
  <si>
    <t>t.schneider@robeco.com</t>
  </si>
  <si>
    <t>Patrick  Luethje</t>
  </si>
  <si>
    <t>patrick.luethje@santanderam.com</t>
  </si>
  <si>
    <t xml:space="preserve">BAI Contact_x000D_
_x000D_
Santander Asset Management (SAM) is a global asset manager with strong local roots and outstanding expertise in the investment areas of Europe and Latin America. In Germany, Santander Asset Management has been established in the financial center of Frankfurt since 2013. As an expert for Latin America, customers benefit from the local experts on site. Represented in 10 countries, Santander Asset Management manages 189 billion euros AuM. and that with more than 785 employees worldwide. The strength is the development of tailor-made investment solutions that offer consistently strong performance._x000D_
_x000D_
SAM's product offering includes Fixed Income, Equity, Alternatives and ESG strategies, as well as balanced portfolios in the market regions where Santander Asset Management has in-depth knowledge and years of experience: Europe and Latin America._x000D_
As of June 30, 2022_x000D_
</t>
  </si>
  <si>
    <t>Philippe  Rothlin</t>
  </si>
  <si>
    <t>philippe.rothlin@sfpdeutschland.de</t>
  </si>
  <si>
    <t>Barckhausstrasse 1</t>
  </si>
  <si>
    <t xml:space="preserve">BAI Contact_x000D_
_x000D_
Swiss Finance &amp; Property Group (SFP group) is one of the biggest independent Swiss asset manager with a 20 year old track record. In October 2021 SFP expanded to Germany and opened a branch in Frankfurt - Swiss Finance &amp; Property Deutschland GmbH. In a first step three direct and two indirect Swiss property funds have been registered for German institutional investors._x000D_
</t>
  </si>
  <si>
    <t>Dominik  Felsmann</t>
  </si>
  <si>
    <t>dfelsmann@tikehaucapital.com</t>
  </si>
  <si>
    <t>Goethestr. 34</t>
  </si>
  <si>
    <t xml:space="preserve">BAI Contact_x000D_
_x000D_
We are a global alternative asset manager and investment specialists, focusing on four key asset classes - private debt, real assets, private equity and capital markets strategies. Our primary goal is to balance risk and return in order to create long-term value for our clients and shareholders. Tikehau Capital is a founder led team with a differentiated business model, a strong balance sheet, proprietary global deal flow and a track record of backing high quality companies and executives. Deeply rooted in the real economy, Tikehau Capital provides bespoke and innovative alternative financing solutions to companies it invests in and seeks to create long-term value for its investors, while generating positive impacts on society. Leveraging its strong equity base (€3.1 billion of shareholders’ equity at 30 June 2023), the firm invests its own capital alongside its investor-clients within each of its strategies. Controlled by its managers alongside leading institutional partners, Tikehau Capital is guided by a strong entrepreneurial spirit and DNA, shared by its 742 employees (at 30 June 2023) across its 13 offices in Europe, Asia and North America._x000D_
</t>
  </si>
  <si>
    <t>Claudia  Batschi</t>
  </si>
  <si>
    <t>claudia.batschi@vertevis.com</t>
  </si>
  <si>
    <t>Marienturm, Taunusanlage 9 - 10</t>
  </si>
  <si>
    <t xml:space="preserve">BAI Contact_x000D_
_x000D_
Vertevis Capital Partners is a Frankfurt-based impact private equity firm founded in 2022. The investment strategy focuses on growing, Western European small and lower-mid cap companies that promote sustainability goals. Whilst being committed to LP interests and uncompromised financial returns, the purpose is to positively influence climatic and environmental conditions, and human and societal development. We strongly believe that sustainability is a huge value adding factor for future companies and their products or services. A growing tidal wave of changing consumer sentiment means that companies that behave ethically and truly prioritise sustainability will become market leaders._x000D_
The senior investment professionals bring deep knowledge of 12 to 20 years in all the relevant sector verticals. They combine PE, VC, value creation and sustainability expertise – with visible successes as shown by the comprehensive investment track record._x000D_
_x000D_
</t>
  </si>
  <si>
    <t>Sadia  Wern-Sukhera</t>
  </si>
  <si>
    <t>sadia.wern-sukhera@vertevis.com</t>
  </si>
  <si>
    <t xml:space="preserve">BAI Contact_x000D_
_x000D_
Vertevis Capital Partners is a Frankfurt-based impact private equity firm founded in 2022. The investment strategy focuses on growing, Western European small and lower-mid cap companies that promote sustainability goals. Whilst being committed to LP interests and uncompromised financial returns, the purpose is to positively influence climatic and environmental conditions, and human and societal development. We strongly believe that sustainability is a huge value adding factor for future companies and their products or services. A growing tidal wave of changing consumer sentiment means that companies that behave ethically and truly prioritise sustainability will become market leaders._x000D_
The senior investment professionals bring deep knowledge of 12 to 20 years in all the relevant sector verticals. They combine PE, VC, value creation and sustainability expertise – with visible successes as shown by the comprehensive investment track record._x000D_
</t>
  </si>
  <si>
    <t>Margot  Mittler</t>
  </si>
  <si>
    <t>mmittler@wellington.com</t>
  </si>
  <si>
    <t>Bockenheimer Landstr. 43 - 47</t>
  </si>
  <si>
    <t xml:space="preserve">BAI Contact_x000D_
_x000D_
Wellington Management offers a comprehensive range of investment management solutions covering almost all segments of global capital markets. Our investment solutions, tailored to the specific risk and return objectives of clients in 60+ countries, are underpinned by a robust foundation of proprietary research and a corporate culture based on close collaboration while fostering independent thinking and lively discussion. Our ownership structure as a private partnership ensures a long-term focus that keeps our clients' interests closely aligned with our own._x000D_
_x000D_
The firm opened a London office in 1983 and Wellington Management International Limited was established in 2001._x000D_
_x000D_
We have been managing portfolios for German institutional clients since 1994 and have been servicing them from our Frankfurt office since 2011. We offer our clients targeted solutions, including VAG and Solvency II compliant strategies._x000D_
_x000D_
</t>
  </si>
  <si>
    <t>Susanne  Ballauff</t>
  </si>
  <si>
    <t>sballauff@wellington.com</t>
  </si>
  <si>
    <t xml:space="preserve">BAI Contact_x000D_
_x000D_
Wellington Management offers a comprehensive range of investment management solutions covering almost all segments of global capital markets. Our investment solutions, tailored to the specific risk and return objectives of clients in 60+ countries, are underpinned by a robust foundation of proprietary research and a corporate culture based on close collaboration while fostering independent thinking and lively discussion. Our ownership structure as a private partnership ensures a long-term focus that keeps our clients' interests closely aligned with our own._x000D_
_x000D_
The firm opened a London office in 1983 and Wellington Management International Limited was established in 2001._x000D_
_x000D_
We have been managing portfolios for German institutional clients since 1994 and have been servicing them from our Frankfurt office since 2011. We offer our clients targeted solutions, including VAG and Solvency II compliant strategies._x000D_
</t>
  </si>
  <si>
    <t>GmbH Theodor Stern Kai 1_x000D_
60596</t>
  </si>
  <si>
    <t>Frankfurt am Main</t>
  </si>
  <si>
    <t>Markus  Koch</t>
  </si>
  <si>
    <t>mkoch@gcmlp.com</t>
  </si>
  <si>
    <t>Neue Mainzer Strasse 6-10</t>
  </si>
  <si>
    <t xml:space="preserve">BAI Contact_x000D_
GCM Grosvenor is a global alternatives investment firm with approximately $76 billion in assets under management in private equity, infrastructure, real estate, credit, absolute return strategies and multi-asset class opportunistic investments. We have specialized in delivering value-creating alternative solutions to our clients since 1971._x000D_
 _x000D_
The Firm is a pioneer in customized solutions and a leader in providing innovative turnkey, multi-client products. We provide clients with flexible access to alternatives investments through a range of implementation strategies, including funds, co-investments, secondaries transactions, and direct investments._x000D_
_x000D_
</t>
  </si>
  <si>
    <t>Friederike  Schnabel</t>
  </si>
  <si>
    <t>friederike.schnabel@generali-invest.com</t>
  </si>
  <si>
    <t>Oeder Weg 151</t>
  </si>
  <si>
    <t xml:space="preserve">BAI Contact_x000D_
_x000D_
Generali Investments is a platform of asset managers with a wide range of investment solutions spanning both traditional and alternative asset classes._x000D_
_x000D_
We are part of the Generali Asset &amp; Wealth Management Business Unit, in which the group's most important companies in the areas of asset management and wealth management are brought together under one roof._x000D_
_x000D_
Our goal is to give our clients access to new investment opportunities that others may not recognize and to provide them with a partner who puts their long-term interests first._x000D_
_x000D_
Our 10 asset managers have been carefully selected and are experts in their respective fields, with a completely autonomous investment approach, their own focus and their own investment philosophy. Nevertheless, every member of the platform benefits from the support of Generali Investments._x000D_
_x000D_
The companies on our platform regularly exchange best practices, and a common operational and risk framework ensures consistency and discipline. The Generali Group has a majority stake in all of the group's asset managers._x000D_
_x000D_
</t>
  </si>
  <si>
    <t>Stephan  Bannier</t>
  </si>
  <si>
    <t>stephan.bannier@generali-invest.com</t>
  </si>
  <si>
    <t xml:space="preserve">BAI Contact_x000D_
_x000D_
Generali Investments is a platform of asset managers with a wide range of investment solutions spanning both traditional and alternative asset classes._x000D_
_x000D_
We are part of the Generali Asset &amp; Wealth Management Business Unit, in which the group's most important companies in the areas of asset management and wealth management are brought together under one roof._x000D_
_x000D_
Our goal is to give our clients access to new investment opportunities that others may not recognize and to provide them with a partner who puts their long-term interests first._x000D_
_x000D_
Our 10 asset managers have been carefully selected and are experts in their respective fields, with a completely autonomous investment approach, their own focus and their own investment philosophy. Nevertheless, every member of the platform benefits from the support of Generali Investments._x000D_
_x000D_
The companies on our platform regularly exchange best practices, and a common operational and risk framework ensures consistency and discipline. The Generali Group has a majority stake in all of the group's asset managers._x000D_
</t>
  </si>
  <si>
    <t>HarbourVest Partners (Ireland) Limited,</t>
  </si>
  <si>
    <t>Martina  Schliemann</t>
  </si>
  <si>
    <t>mschliemann@harbourvest.com</t>
  </si>
  <si>
    <t>Untermainkai 40</t>
  </si>
  <si>
    <t xml:space="preserve">BAI Contact	_x000D_
Private Markets specialist in private equity, private credit and real assets/ infrastructure with a strong track record of 40 years._x000D_
_x000D_
</t>
  </si>
  <si>
    <t>Olav  König</t>
  </si>
  <si>
    <t>okonig@harbourvest.com</t>
  </si>
  <si>
    <t xml:space="preserve">BAI Contact	_x000D_
Private Markets specialist in private equity, private credit and real assets/ infrastructure with a strong track record of 40 years._x000D_
</t>
  </si>
  <si>
    <t>Jürgen  Breue</t>
  </si>
  <si>
    <t>juergen.breuer@pembertonam.com</t>
  </si>
  <si>
    <t xml:space="preserve">BAI Contact_x000D_
_x000D_
Pemberton Asset Management is an independent diversified asset manager focusing on Direct Lending in European mid-market companies. Backed by one of Europe’s largest insurers, Legal &amp; General Group PLC, Pemberton has one of the largest pan-European origination networks with on-the-ground presence in eight European locations (UK, Germany, France, Netherlands, Luxembourg, Denmark, Italy and Spain) and over 102 professionals dedicated to Direct Lending. Pemberton has €9.3 bn Assets Under Management and is the number one Private Debt provider in the DACH region and number two in Europe (number of deals in last 12 months as per 2020, Debtwire)._x000D_
_x000D_
Pemberton offers four private debt strategies with risk-return profiles ranging from 3 - 19% gross IRR. With these specific strategies (Receivables Strategy, Senior Loan Strategy, European Mid-Market Debt Strategy and Strategic Credit Strategy), Pemberton is simultaneously able to address investors’ needs whilst offering tailor-made financing solutions to portfolio companies.  _x000D_
_x000D_
Pemberton invests in European mid-market companies with a turnover between €75m and €1,000m and EBITDA between €15m and €75m. The global institutional investor base consists of over 85% insurances and pension funds including 4 of the top 6 European insurance companies._x000D_
</t>
  </si>
  <si>
    <t>Ralph  Hora</t>
  </si>
  <si>
    <t>ralph.hora@pembertonam.com</t>
  </si>
  <si>
    <t xml:space="preserve">BAI Contact_x000D_
_x000D_
Pemberton Asset Management is an independent diversified asset manager focusing on Direct Lending in European mid-market companies. Backed by one of Europe’s largest insurers, Legal &amp; General Group PLC, Pemberton has one of the largest pan-European origination networks with on-the-ground presence in eight European locations (UK, Germany, France, Netherlands, Luxembourg, Denmark, Italy and Spain) and over 102 professionals dedicated to Direct Lending. Pemberton has €9.3 bn Assets Under Management and is the number one Private Debt provider in the DACH region and number two in Europe (number of deals in last 12 months as per 2020, Debtwire)._x000D_
_x000D_
Pemberton offers four private debt strategies with risk-return profiles ranging from 3 - 19% gross IRR. With these specific strategies (Receivables Strategy, Senior Loan Strategy, European Mid-Market Debt Strategy and Strategic Credit Strategy), Pemberton is simultaneously able to address investors’ needs whilst offering tailor-made financing solutions to portfolio companies.  _x000D_
_x000D_
Pemberton invests in European mid-market companies with a turnover between €75m and €1,000m and EBITDA between €15m and €75m. The global institutional investor base consists of over 85% insurances and pension funds including 4 of the top 6 European insurance companies._x000D_
_x000D_
</t>
  </si>
  <si>
    <t>Farkhondeh  Demirci</t>
  </si>
  <si>
    <t>farkhondeh.demirci@swisslife-am.com</t>
  </si>
  <si>
    <t>Darmstädter Landstraße 125</t>
  </si>
  <si>
    <t xml:space="preserve">BAI Contact_x000D_
_x000D_
Swiss Life Asset Managers has over 165 years of experience in managing the assets of the Swiss Life Group. This insurance heritage has had a decisive influence on the investment philosophy. The focus is on key principles such as value preservation, the generation of long-term and stable returns and a responsible approach to risk. Swiss Life Asset Managers also makes this proven approach available to third-party clients in Switzerland, France, Germany, Luxembourg, the UK, Italy and the Nordic countries._x000D_
_x000D_
As at June 30, 2023, Swiss Life Asset Managers managed EUR 265.8 billion in assets for the Swiss Life Group, of which over EUR 114.8 billion for third-party clients._x000D_
</t>
  </si>
  <si>
    <t>Jörg  Senftleben</t>
  </si>
  <si>
    <t>joerg.senftleben@swisslife-am.com</t>
  </si>
  <si>
    <t xml:space="preserve">BAI Contact_x000D_
_x000D_
Swiss Life Asset Managers has over 165 years of experience in managing the assets of the Swiss Life Group. This insurance heritage has had a decisive influence on the investment philosophy. The focus is on key principles such as value preservation, the generation of long-term and stable returns and a responsible approach to risk. Swiss Life Asset Managers also makes this proven approach available to third-party clients in Switzerland, France, Germany, Luxembourg, the UK, Italy and the Nordic countries._x000D_
_x000D_
As at June 30, 2023, Swiss Life Asset Managers managed EUR 265.8 billion in assets for the Swiss Life Group, of which over EUR 114.8 billion for third-party clients._x000D_
_x000D_
</t>
  </si>
  <si>
    <t>Miriam  Uebel</t>
  </si>
  <si>
    <t>miriam.uebel@ubs.com</t>
  </si>
  <si>
    <t>Reiner  Hübner</t>
  </si>
  <si>
    <t>reiner.huebner@ubs.com</t>
  </si>
  <si>
    <t>Florian  Rehm</t>
  </si>
  <si>
    <t>frehm@unigestion.com</t>
  </si>
  <si>
    <t>8c Avenue de Champel 1211</t>
  </si>
  <si>
    <t>Geneva 12</t>
  </si>
  <si>
    <t xml:space="preserve">BAI Contact_x000D_
_x000D_
Unigestion is an asset management boutique that develops and implements customized investment solutions for risk-conscious investors worldwide. Our core values - integrity, independence, competence and care - are at the heart of everything we do._x000D_
 _x000D_
We manage client assets of €16.7 billion across our areas of expertise - equities, private equity and multi-asset &amp; wealth management. We believe that risk management is the key ingredient for long-term out-performance, and therefore subject all investment strategies to stringent risk analysis._x000D_
 _x000D_
Our growth is based on ideas. Unigestion sees itself as a driver of innovation in investment management. For us, innovation is synonymous with co-creation: in partnership with our clients, we develop the investment solutions that precisely meet their needs. Unigestion employs 172 people worldwide, representing 24 nationalities. In addition to our Geneva, Zurich and London centers, we are present for our clients with offices in Europe, North America and Asia._x000D_
</t>
  </si>
  <si>
    <t>Reto  Germann</t>
  </si>
  <si>
    <t>rgermann@unigestion.com</t>
  </si>
  <si>
    <t xml:space="preserve">BAI Contact_x000D_
_x000D_
Unigestion is an asset management boutique that develops and implements customized investment solutions for risk-conscious investors worldwide. Our core values - integrity, independence, competence and care - are at the heart of everything we do._x000D_
 _x000D_
We manage client assets of €16.7 billion across our areas of expertise - equities, private equity and multi-asset &amp; wealth management. We believe that risk management is the key ingredient for long-term out-performance, and therefore subject all investment strategies to stringent risk analysis._x000D_
 _x000D_
Our growth is based on ideas. Unigestion sees itself as a driver of innovation in investment management. For us, innovation is synonymous with co-creation: in partnership with our clients, we develop the investment solutions that precisely meet their needs. Unigestion employs 172 people worldwide, representing 24 nationalities. In addition to our Geneva, Zurich and London centers, we are present for our clients with offices in Europe, North America and Asia._x000D_
_x000D_
</t>
  </si>
  <si>
    <t>Johannes  Fink</t>
  </si>
  <si>
    <t>jfink@accesscp.de</t>
  </si>
  <si>
    <t>Ludwig-Ganghofer-Str. 6</t>
  </si>
  <si>
    <t>Grünewald</t>
  </si>
  <si>
    <t>Thomas  Kohlmeyer</t>
  </si>
  <si>
    <t>kohlmeyer@accesscp.de</t>
  </si>
  <si>
    <t>Alexander  Küpers</t>
  </si>
  <si>
    <t>Alexander.kuepers@kgal.de</t>
  </si>
  <si>
    <t>Tölzer Str. 15</t>
  </si>
  <si>
    <t>Grünwald</t>
  </si>
  <si>
    <t xml:space="preserve">BAI Contact_x000D_
KGAL is a leading independent investment and asset manager with a managed investment volume of €16.0 billion. The group sources, executes and manages long-term real asset investments for institutional and private investors in real estate, sustainable infrastructure and aviation. KGAL, which operates throughout Europe, was founded more than 50 years ago and is headquartered in Grünwald near Munich. Our 353 employees are dedicated to achieving sustainable, stable investment performance, taking into account return and risk criteria. (as of 31 December 2022)_x000D_
_x000D_
</t>
  </si>
  <si>
    <t>Peter  Tschütscher</t>
  </si>
  <si>
    <t>peter.tschuetscher@kgal.de</t>
  </si>
  <si>
    <t xml:space="preserve">BAI Contact_x000D_
KGAL is a leading independent investment and asset manager with a managed investment volume of €16.0 billion. The group sources, executes and manages long-term real asset investments for institutional and private investors in real estate, sustainable infrastructure and aviation. KGAL, which operates throughout Europe, was founded more than 50 years ago and is headquartered in Grünwald near Munich. Our 353 employees are dedicated to achieving sustainable, stable investment performance, taking into account return and risk criteria. (as of 31 December 2022)_x000D_
</t>
  </si>
  <si>
    <t>Robert  Massing</t>
  </si>
  <si>
    <t>info@solutio.ag</t>
  </si>
  <si>
    <t>Bavariafilmplatz 7 Gebäude 100</t>
  </si>
  <si>
    <t xml:space="preserve">BAI Contact_x000D_
_x000D_
SOLUTIO AG was founded in 1998 and specializes in the development and management of innovative investment concepts. In cooperation with successful international investment companies, we implement long-term investment programs. We focus on the asset classes private equity, private debt, infrastructure and real estate. The criteria for our investment concepts are performance, continuity and sustainability._x000D_
_x000D_
We are the crucial link between investors and investments in real assets and close the gap between strategy and administration. Our investment concepts offer the ideal solution for a targeted and efficient implementation and make real assets investable._x000D_
_x000D_
In doing so, we enable access to entrepreneurial value creation through broadly diversified umbrella programs via first-class and global asset management. In addition, our customers benefit from close support and the assumption of administration over the entire life cycle of an investment. This means less effort and greater efficiency._x000D_
</t>
  </si>
  <si>
    <t>Julia  Nothaft</t>
  </si>
  <si>
    <t>julia.nothaft@wealthcap.com</t>
  </si>
  <si>
    <t>Bavariafilmplatz 8</t>
  </si>
  <si>
    <t xml:space="preserve">BAI Contact_x000D_
_x000D_
As a real asset and investment manager with more than 35 years of experience, Wealthcap ranks among Germany‘s most renowned real asset investment specialists. With forward-thinking trend expertise and extensive strategic asset management, we give both institutional and retail investors access to high-quality investment strategies. Approximately EUR 10 billion assets under management and more than 170 corporate equity stakes placed are our foundation for long-term and foresighted thinking and action. We shape values for our investors in the areas of real estate, private equity and multi-assets. Wealthcap is a wholly owned subsidiary of UniCredit Bank AG und thus part of the strong international UniCredit network._x000D_
</t>
  </si>
  <si>
    <t>Regina  Kohler</t>
  </si>
  <si>
    <t>regina.kohler@wealthcap.com</t>
  </si>
  <si>
    <t xml:space="preserve">BAI Contact_x000D_
_x000D_
As a real asset and investment manager with more than 35 years of experience, Wealthcap ranks among Germany‘s most renowned real asset investment specialists. With forward-thinking trend expertise and extensive strategic asset management, we give both institutional and retail investors access to high-quality investment strategies. Approximately EUR 10 billion assets under management and more than 170 corporate equity stakes placed are our foundation for long-term and foresighted thinking and action. We shape values for our investors in the areas of real estate, private equity and multi-assets. Wealthcap is a wholly owned subsidiary of UniCredit Bank AG und thus part of the strong international UniCredit network._x000D_
_x000D_
</t>
  </si>
  <si>
    <t>Thorsten  Eitle</t>
  </si>
  <si>
    <t>t.eitle@hep.global</t>
  </si>
  <si>
    <t>Römerstraße 3</t>
  </si>
  <si>
    <t>Güglingen</t>
  </si>
  <si>
    <t xml:space="preserve">BAI Contact_x000D_
_x000D_
HEP Kapitalverwaltung AG (KVG) operates as a fund management company specialized in solar investments. It was founded in 2012 and has been approved as an AIF capital management company since January 24, 2018. Even before its approval as a KVG, according to the KAGB, the German Investment Code, hep has specialized in the ′renewable energy′ asset class since its founding in 2008._x000D_
Uniquely, the company provides all services over the life cycle of a photovoltaic plant: From project development, construction, operation to financing. From the search for the “green field“ to the long-term operation of a solar plant, hep offers all products and services necessary for a successful implementation in every phase of a solar project. At the same time, hep’s financial experts can design international investments with different maturities and risk-return profiles. _x000D_
By specializing exclusively in solar plants and their financing, hep has developed a strong network of business partners in Germany, England, Japan, the US and Canada and has a constantly growing pipeline._x000D_
</t>
  </si>
  <si>
    <t>Sandeep  Bhansali</t>
  </si>
  <si>
    <t>sandeep.bhansali@tipsons.com</t>
  </si>
  <si>
    <t>Tipsons Group_x000D_
Tipsons House_x000D_
Polytechnic Road_x000D_
Ambawadi, Ahmedabad</t>
  </si>
  <si>
    <t>+91 90999 33611</t>
  </si>
  <si>
    <t>Gujarat 380 015</t>
  </si>
  <si>
    <t xml:space="preserve">Arpit Khandelwal  </t>
  </si>
  <si>
    <t>akhandelwal@mcadv.com</t>
  </si>
  <si>
    <t>Level 9, Tower B, DLF Cyber Park</t>
  </si>
  <si>
    <t>+91 81978 20156</t>
  </si>
  <si>
    <t>Gurgaon</t>
  </si>
  <si>
    <t xml:space="preserve">03 January 2024 16:52:_x000D_
International Fund Placement Agent_x000D_
------------------------------------------------------------------_x000D_
International Fund Placement Agent_x000D_
</t>
  </si>
  <si>
    <t>Selva Prabhu P  Dewangan</t>
  </si>
  <si>
    <t>Trust &amp; Investment</t>
  </si>
  <si>
    <t>selvaprabhu@recindia.com</t>
  </si>
  <si>
    <t>REC World Headquarters, Plot No I-4, Near IFFCO Chowk Metro Station, Sector -29,</t>
  </si>
  <si>
    <t>+ 91 99945 22111</t>
  </si>
  <si>
    <t>Gurugram</t>
  </si>
  <si>
    <t>Haryana</t>
  </si>
  <si>
    <t xml:space="preserve">Harsh Baweja  </t>
  </si>
  <si>
    <t>Director, Finance</t>
  </si>
  <si>
    <t>harsh.baweja@recindia.com</t>
  </si>
  <si>
    <t>Plot No. I-4, Sector 29, Near IFFCO Chowk Metro Station</t>
  </si>
  <si>
    <t>+ 91 99282 02000</t>
  </si>
  <si>
    <t xml:space="preserve">Subhendu Roy  </t>
  </si>
  <si>
    <t>subhendu.roy@recl.in</t>
  </si>
  <si>
    <t>REC World Headquarters, Plot No. 1-4, Near IFFCO Chowk Metro Station, Sector 29</t>
  </si>
  <si>
    <t>+ 91 94369 27525</t>
  </si>
  <si>
    <t>info@nspenscion.ca</t>
  </si>
  <si>
    <t>PO Box No.371, NS B3J 2PB</t>
  </si>
  <si>
    <t>Halifax</t>
  </si>
  <si>
    <t xml:space="preserve">Left Nova Scotia Pension Agency 2023_x000D_
</t>
  </si>
  <si>
    <t>Michael  Busack</t>
  </si>
  <si>
    <t>Contact Person</t>
  </si>
  <si>
    <t>busack@absolut-research.de</t>
  </si>
  <si>
    <t>Große Elbstr. 277 a</t>
  </si>
  <si>
    <t>Hamburg</t>
  </si>
  <si>
    <t xml:space="preserve">BAI Contact_x000D_
Absolut Research GmbH was founded in 2000 to provide institutional investors in German speaking countries with innovative know-how and practice-oriented research for day to day aspects of the investment business, strategic and tactical asset allocation, risk management external asset managers' selection._x000D_
_x000D_
The underlying philosophy for institutional asset management is: Broad diversification combined with the most recent concepts in portfolio theory and risk management. The firm embraces traditional and alternative investments on equal footing._x000D_
_x000D_
Absolut Research GmbH launched the first specialist periodical for institutional investors in 2001 – with focus on innovative asset management. Absolut|report has now become the most prestigious publication available  for institutional investors._x000D_
_x000D_
In addition to Absolut|report, Absolut Research GmbH has other specialist publications on the day to day aspects of institutional investors' business._x000D_
_x000D_
Absolut Research GmbH prepares individual research for institutional investors into asset allocation, risk diversification and product analyses._x000D_
</t>
  </si>
  <si>
    <t>Christian  Holste</t>
  </si>
  <si>
    <t>Christian.holste@aquila-capital.de</t>
  </si>
  <si>
    <t>Valentinskamp 70</t>
  </si>
  <si>
    <t xml:space="preserve">BAI Contact_x000D_
_x000D_
Aquila Capital is an investment and asset development company focused on generating and managing essential assets on behalf of its clients. By investing in clean energy and sustainable infrastructure, Aquila Capital contributes to the global energy transition and strengthens the world’s infrastructure backbone. The company initiates, develops, and manages these essential assets along the entire value chain and lifetime. Currently, Aquila Capital manages around EUR 13 billion on behalf of institutional investors worldwide. Our primary objective is to generate performance for our clients by managing the complexity of essential assets. _x000D_
_x000D_
Established in 2001, Aquila Capital is founder- and partner-owned. The shareholders are backed by a minority stake of Daiwa, one of the largest Asian investors. Over the last two decades, Aquila Capital and its subsidiaries explored, projected, and engaged in meaningful trends for mankind and our planet.  _x000D_
_x000D_
Today, the company manages wind energy, solar PV and hydropower assets of more than 12 GW capacity. Additionally, 1.8 million square metres of sustainable real estate and green logistics projects have been completed or are under development. Aquila Capital also invests in energy efficiency, carbon forestry, and data centres. Aquila Capital has been carbon neutral since 2006. Sustainability has always been part of our value system and is an integral part of our investment strategies, processes, and management of our assets. The company has around 600 employees from 48 nations, operating in 15 offices in 13 countries worldwide._x000D_
</t>
  </si>
  <si>
    <t>Uwe  Schwedewsky</t>
  </si>
  <si>
    <t>uwe.schwedewsky@berenberg.de</t>
  </si>
  <si>
    <t>Neuer Jungfernstieg 20</t>
  </si>
  <si>
    <t xml:space="preserve">BAI Contact_x000D_
Berenberg is one of Europe’s leading private banks, offering services in the divisions of Asset Management, Wealth Management, Investment Banking and Corporate Banking. Headquartered in Hamburg and led by managing partners, Berenberg maintains a strong presence in the financial centres of Frankfurt, London, New York, and Zurich._x000D_
Our Asset Management team offers innovative investment concepts (discretionary and quantitative approach) and professional risk management strategies. Our experts develop solutions tailored to the specific needs and investment objectives of institutional investors. Our management expertise comprises:_x000D_
_x000D_
Equities – We manage German and European large, mid und small caps actively and bottom-up._x000D_
Fixed income – We have specialist knowledge covering emerging markets, short-term bonds and the use of sustainability (ESG) criteria._x000D_
Multi asset – We combine asset classes and strategies to react flexibly to changing market conditions._x000D_
Overlay strategies – We hedge interest rate, equity, currency and commodity risk systematically._x000D_
Liquid alternatives – Volatility-based strategies allow us to generate market-neutral earnings._x000D_
</t>
  </si>
  <si>
    <t>Brookfield CEE Holding GmbH</t>
  </si>
  <si>
    <t>Steve  Sowinski</t>
  </si>
  <si>
    <t>sowinski@cee-group.de</t>
  </si>
  <si>
    <t>Speersort 10</t>
  </si>
  <si>
    <t xml:space="preserve">BAI Contact_x000D_
_x000D_
Die CEE Group mit Sitz in Hamburg ist eine auf Sachwertinvestitionen spezialisierte Beteiligungsgesellschaft mit ca. 1,3 Milliarden Euro Assets under Management. Es werden u.a. Eigenkapitalinvestments in Energieerzeugungsprojekte primär aus den Bereichen Wind und Photovoltaik, sowie in entsprechende Technologieunternehmen getätigt. Mit der RWE Innogy besteht eine strategische Kooperation im Bereich Technologie-Beteiligungen in junge Unternehmen. Investoren der CEE Group sind wenige, in Deutschland ansässige, institutionelle Investoren und Family Offices, die langfristiges Interesse am Markt für Investitionen in Erneuerbare Energien und Sachwerte haben. Die CEE Group wurde im Dezember 2017 übernommen von Brookfield Asset Management, einem globalen Alternative Asset Manager._x000D_
</t>
  </si>
  <si>
    <t>Ludger  Wibbeke</t>
  </si>
  <si>
    <t>Ludger.Wibbeke@hansainvest.de</t>
  </si>
  <si>
    <t>Kapstadtring 8</t>
  </si>
  <si>
    <t xml:space="preserve">BAI Contact_x000D_
_x000D_
HANSAINVEST is one of the oldest investment companies in Germany. Our philosophy is focussed on innovation and services in all kind of the investment business._x000D_
_x000D_
We administrate about 12 bn. € in over 100 mututal funds und 40 special funds._x000D_
_x000D_
We are the only german investment company which has the BaFin-approval for launching and administrating all kind of german investment funds like UCITS IV-, real estate or hedge funds._x000D_
_x000D_
We are one of Germany’s largest administrator of real estate and we manage real estate all over the world._x000D_
_x000D_
HANSAINVEST belongs to SIGNAL IDUNA group – one of the largest insurance companies in Germany._x000D_
</t>
  </si>
  <si>
    <t>Robert  Guzialowski</t>
  </si>
  <si>
    <t>robert.guzialowski@hansainvest.de</t>
  </si>
  <si>
    <t xml:space="preserve">BAI Contact_x000D_
_x000D_
HANSAINVEST is one of the oldest investment companies in Germany. Our philosophy is focussed on innovation and services in all kind of the investment business._x000D_
_x000D_
We administrate about 12 bn. € in over 100 mututal funds und 40 special funds._x000D_
_x000D_
We are the only german investment company which has the BaFin-approval for launching and administrating all kind of german investment funds like UCITS IV-, real estate or hedge funds._x000D_
_x000D_
We are one of Germany’s largest administrator of real estate and we manage real estate all over the world._x000D_
_x000D_
HANSAINVEST belongs to SIGNAL IDUNA group – one of the largest insurance companies in Germany._x000D_
_x000D_
</t>
  </si>
  <si>
    <t>Anne Katrin Funke</t>
  </si>
  <si>
    <t>Anne-katrin.funke@hmt-ag.de</t>
  </si>
  <si>
    <t>Neue Rabenstraße 3</t>
  </si>
  <si>
    <t>Jens  Schneider</t>
  </si>
  <si>
    <t>jens.schneider@hmt-ag.de</t>
  </si>
  <si>
    <t>Söhnke  Erichsen</t>
  </si>
  <si>
    <t>serichsen@hih.de</t>
  </si>
  <si>
    <t>Ericusspitze 1</t>
  </si>
  <si>
    <t xml:space="preserve">BAI Contact_x000D_
_x000D_
HIH Invest Real Estate is one of the leading investment managers for real estate in Germany and Europe. We adopt a future-oriented approach to find, develop and manage properties in the interests of our clients. The early recognition of market changes, the implementation of regulatory requirements and forward-looking digital management are part of our corporate philosophy. HIH Invest currently manages assets with a volume of 17.7 billion euros in 89 funds._x000D_
</t>
  </si>
  <si>
    <t>Carina  Grabs</t>
  </si>
  <si>
    <t>Carina.Grabs@kontora.com</t>
  </si>
  <si>
    <t>Jungfernstieg 51</t>
  </si>
  <si>
    <t xml:space="preserve">BAI Contact_x000D_
_x000D_
Kontora is a Hamburg based, independent Multi Family Office that provides comprehensive wealth advisory services to help clients preserve and grow their assets, diversify their holdings, and maintain a legacy for future generations. As a fee-based advisor, we act with absolute discretion and exclusively in the interest of our clients. Within the framework of a holistic advisory approach, we create transparency about individual and complex asset structures and implement target-oriented strategies with maximum effectiveness. We have three arms covering Kontora as Full Service Family Office, Kontora as a complementary Service Office and Kontora as Investment Office._x000D_
</t>
  </si>
  <si>
    <t>Alexander  Ruesch</t>
  </si>
  <si>
    <t>ar@Luxcara.com</t>
  </si>
  <si>
    <t>Große Bleichen 31</t>
  </si>
  <si>
    <t xml:space="preserve">BAI Contact_x000D_
_x000D_
Luxcara is an independent asset manager offering equity and debt investment opportunities to international investors in the global clean energy market. The management-owned company acquires, structures, finances and operates clean energy and related infrastructure projects as a long-term buy-and-hold investor. Luxcara’s longstanding focus on unsubsidized markets has made the company Europe’s most prominent investor in projects with long-term power purchase agreements.The company’s portfolio includes clean energy infrastructure across Europe with a total capacity of around 6 GW and an investment volume of about EUR 6 bn. This track record, dating back to 2009, makes Luxcara one of the continent’s most experienced asset managers for clean energy investments._x000D_
</t>
  </si>
  <si>
    <t>Marco  Kistner</t>
  </si>
  <si>
    <t>mk@Luxcara.com</t>
  </si>
  <si>
    <t xml:space="preserve">BAI Contact_x000D_
_x000D_
Luxcara is an independent asset manager offering equity and debt investment opportunities to international investors in the global clean energy market. The management-owned company acquires, structures, finances and operates clean energy and related infrastructure projects as a long-term buy-and-hold investor. Luxcara’s longstanding focus on unsubsidized markets has made the company Europe’s most prominent investor in projects with long-term power purchase agreements.The company’s portfolio includes clean energy infrastructure across Europe with a total capacity of around 6 GW and an investment volume of about EUR 6 bn. This track record, dating back to 2009, makes Luxcara one of the continent’s most experienced asset managers for clean energy investments._x000D_
_x000D_
</t>
  </si>
  <si>
    <t>Christian  Schwenkenbecher</t>
  </si>
  <si>
    <t>c.schwenkenbecher@mpc-capital.com</t>
  </si>
  <si>
    <t>Palmaille 67</t>
  </si>
  <si>
    <t xml:space="preserve">BAI Contact_x000D_
_x000D_
MPC Capital is a global asset and investment manager for real assets focusing on Real Estate, Renewables and Shipping. We select, launch, develop, structure, actively manage and sell investments. Drawing on our many years of experience, we enable institutional investors to access attractive investments in dynamic markets offering opportunities for growth and returns. Our work is guided by the interests of our clients, and we strongly believe in the projects in which we co-invest. We incorporate sustainability principles into all of our decision-making._x000D_
_x000D_
With its focus on profitable growth, our robust business model provides a strong foundation for covering the funding requirements of forward-looking global projects, including in selected niche markets. As a listed and responsible company with a strong family background, we have the financial and organizational flexibility to further expand our excellent position in the market._x000D_
</t>
  </si>
  <si>
    <t>Britta  Jürgens</t>
  </si>
  <si>
    <t>britta.juergens@caplantic.com</t>
  </si>
  <si>
    <t>Adenauerallee 10</t>
  </si>
  <si>
    <t>Hannover</t>
  </si>
  <si>
    <t>Matthias  Korn</t>
  </si>
  <si>
    <t>matthias.korn@caplantic.com</t>
  </si>
  <si>
    <t>Andreas  Binder</t>
  </si>
  <si>
    <t>abinder@wave-ag.de</t>
  </si>
  <si>
    <t>VHV-Platz 1</t>
  </si>
  <si>
    <t>Uudenmaankatu 16 B _x000D_
P.O. Box 391, FI-00121,</t>
  </si>
  <si>
    <t>Helsinki</t>
  </si>
  <si>
    <t>+358 934843380</t>
  </si>
  <si>
    <t xml:space="preserve">Heidi Syrjanen  </t>
  </si>
  <si>
    <t>Executive Assistant to President</t>
  </si>
  <si>
    <t>heidi.syrjanen@nib.int</t>
  </si>
  <si>
    <t>P.O.Box No.249,_x000D_
Fabianinkatu 34_x000D_
Fl-00171</t>
  </si>
  <si>
    <t xml:space="preserve">Harro Pitkanen  </t>
  </si>
  <si>
    <t>Head of Lending</t>
  </si>
  <si>
    <t>harro.pitkanen@nib.int</t>
  </si>
  <si>
    <t xml:space="preserve">Henrik Normann  </t>
  </si>
  <si>
    <t>President &amp; CEO</t>
  </si>
  <si>
    <t>henrik.normann@nib.int</t>
  </si>
  <si>
    <t xml:space="preserve">Isabel Leroux  </t>
  </si>
  <si>
    <t>Program Manager</t>
  </si>
  <si>
    <t>isabel.leroux@ndf.int</t>
  </si>
  <si>
    <t>Fabianinkatu 34</t>
  </si>
  <si>
    <t xml:space="preserve">Earlier she was in Finnish Fund as Investment Manager_x000D_
</t>
  </si>
  <si>
    <t>Claes  Siegfrids</t>
  </si>
  <si>
    <t>claes.siegfrids@mandatumam.com</t>
  </si>
  <si>
    <t>Bulevardi 56</t>
  </si>
  <si>
    <t xml:space="preserve">BAI Contact_x000D_
_x000D_
Mandatum Asset Management Ltd (“MAM”) was formed by combining Sampo Group’s proprietary balance sheet, client assets, and the investment operations from Sampo Plc and Mandatum into a new asset management company. MAM leverages Sampo’s investment heritage as one of the most successful institutional investors in the Nordic region by combining Mandatum’s cutting-edge client solutions with Sampo’s investment expertise into a growing asset management company._x000D_
_x000D_
MAM’s direct clients are Nordic and European institutional and UHNWI investors, other client segments are covered through selected distribution networks._x000D_
_x000D_
MAM offers discretionary and consultative wealth management and manages various investment strategies within the following core areas: credit, alternatives, and equity selection._x000D_
</t>
  </si>
  <si>
    <t>Markus  Saloranta</t>
  </si>
  <si>
    <t>markus.saloranta@mandatumam.com</t>
  </si>
  <si>
    <t xml:space="preserve">BAI Contact_x000D_
_x000D_
Mandatum Asset Management Ltd (“MAM”) was formed by combining Sampo Group’s proprietary balance sheet, client assets, and the investment operations from Sampo Plc and Mandatum into a new asset management company. MAM leverages Sampo’s investment heritage as one of the most successful institutional investors in the Nordic region by combining Mandatum’s cutting-edge client solutions with Sampo’s investment expertise into a growing asset management company._x000D_
_x000D_
MAM’s direct clients are Nordic and European institutional and UHNWI investors, other client segments are covered through selected distribution networks._x000D_
_x000D_
MAM offers discretionary and consultative wealth management and manages various investment strategies within the following core areas: credit, alternatives, and equity selection._x000D_
_x000D_
</t>
  </si>
  <si>
    <t xml:space="preserve">Jari Matero  </t>
  </si>
  <si>
    <t>Head of New Investments</t>
  </si>
  <si>
    <t>info@ilmastorahasto.fi</t>
  </si>
  <si>
    <t>Porkkalankatu 1</t>
  </si>
  <si>
    <t>+358 (40) 523 2815</t>
  </si>
  <si>
    <t>Helsinki,</t>
  </si>
  <si>
    <t xml:space="preserve">Raju Ruparelia  </t>
  </si>
  <si>
    <t>inquiry_asia@otpp.com</t>
  </si>
  <si>
    <t>28/F, Alexandra House,_x000D_
18, Charter Road, Central</t>
  </si>
  <si>
    <t>Hong Kong</t>
  </si>
  <si>
    <t>Harbourvest Partners (Asia) Limited</t>
  </si>
  <si>
    <t xml:space="preserve">Jagnath Swamy  </t>
  </si>
  <si>
    <t>jswamy@harbourvest.com</t>
  </si>
  <si>
    <t>Citi Bank Tower Suite 1207_x000D_
3 Garden Road_x000D_
Central Hong Kong</t>
  </si>
  <si>
    <t>+852 28785636</t>
  </si>
  <si>
    <t>Globeleq</t>
  </si>
  <si>
    <t>Jim  Yates</t>
  </si>
  <si>
    <t>jim.yates@globeleq.com</t>
  </si>
  <si>
    <t>Suite 700 1419 Post Oak Boulevard</t>
  </si>
  <si>
    <t>+001 (832) 455-1209</t>
  </si>
  <si>
    <t>Houston</t>
  </si>
  <si>
    <t>TX</t>
  </si>
  <si>
    <t>Komachi  Takano</t>
  </si>
  <si>
    <t>soumu6@ko-marutaka.co.jp</t>
  </si>
  <si>
    <t>12-31, Azouno Minamimachi</t>
  </si>
  <si>
    <t>Kochi</t>
  </si>
  <si>
    <t>Felix  Wickenkamp</t>
  </si>
  <si>
    <t>cgn.info@altamarcam.com</t>
  </si>
  <si>
    <t>Gereonshof 12</t>
  </si>
  <si>
    <t>Köln</t>
  </si>
  <si>
    <t xml:space="preserve">BAI Contact_x000D_
AltamarCAM Partners is a leading, independent and partner-led global asset manager providing institutional investors as well as high net worth individuals with streamlined access to private market investments including: Private Equity, Venture Capital, Life Sciences, Real Assets (Real Estate and Infrastructure) and Private Debt/Credit via various strategies such as primary, secondary and co-investments. With offices in Madrid, Barcelona, Santiago de Chile, New York, London, Cologne and Munich the firm has more than 250 professionals and over €18 billion in assets under management._x000D_
</t>
  </si>
  <si>
    <t>Martin Graf Strachwitz</t>
  </si>
  <si>
    <t>Martin.Strachwitz@ampega.com</t>
  </si>
  <si>
    <t>Charles-de-Gaulle-Platz 1</t>
  </si>
  <si>
    <t>Thomas  Mann</t>
  </si>
  <si>
    <t>thomas.mann@ampega.com</t>
  </si>
  <si>
    <t>Philipp  Henkels</t>
  </si>
  <si>
    <t>phenkels@art-invest.de</t>
  </si>
  <si>
    <t>Am Kabellager 11-13</t>
  </si>
  <si>
    <t xml:space="preserve">BAI Contact_x000D_
_x000D_
Art-Invest Real Estate is a long-term oriented and vertically integrated real estate investment and project development company with headquarters in Cologne. We are active throughout Europe and specialise in large-volume, inner-city regeneration schemes, commercial real estate project development, as well as the construction and operation of hotels and data centres. As regulated AIFM, we invest and increase the capital on behalf of our insitutional investors._x000D_
</t>
  </si>
  <si>
    <t>Thomas  Klein</t>
  </si>
  <si>
    <t>thomas.klein@degimpact.de</t>
  </si>
  <si>
    <t>Kämmergasse 22</t>
  </si>
  <si>
    <t xml:space="preserve">DAI Contact_x000D_
_x000D_
DEG Impact GmbH ("DEG Impact") is a subsidiary of DEG - Deutsche Investitions- und Entwicklunggesellschaft mbH ("DEG") - founded in 2020 – as well as a company of the KfW Group based in Frankfurt am Main. As a medium-sized securities institute with a license for investment brokerage and investment advice, DEG Impact advises institutional investors who invest in developing and emerging countries. In doing so, DEG Impact draws on, among other things, the experience of DEG, which has been investing as a partner of private companies in developing and emerging countries for over 60 years. DEG Impact is currently managing four mandates with a volume of approximately EUR 650 million._x000D_
</t>
  </si>
  <si>
    <t>Tobias  Kauer</t>
  </si>
  <si>
    <t>tobias.kauer@degimpact.de</t>
  </si>
  <si>
    <t xml:space="preserve">BAI Contact_x000D_
_x000D_
DEG Impact GmbH ("DEG Impact") is a subsidiary of DEG - Deutsche Investitions- und Entwicklunggesellschaft mbH ("DEG") - founded in 2020 – as well as a company of the KfW Group based in Frankfurt am Main. As a medium-sized securities institute with a license for investment brokerage and investment advice, DEG Impact advises institutional investors who invest in developing and emerging countries. In doing so, DEG Impact draws on, among other things, the experience of DEG, which has been investing as a partner of private companies in developing and emerging countries for over 60 years. DEG Impact is currently managing four mandates with a volume of approximately EUR 650 million._x000D_
</t>
  </si>
  <si>
    <t>Peter  Begler</t>
  </si>
  <si>
    <t>peter.begler@fil.com</t>
  </si>
  <si>
    <t>Kastanienhöhe 1</t>
  </si>
  <si>
    <t>Kronberg am Taunus</t>
  </si>
  <si>
    <t xml:space="preserve">BAI Contact_x000D_
Fidelity International provides investment solutions, services and retirement expertise to its more than 2.5 million customers worldwide. We are represented in over 25 locations and manage assets of €626.9 billion. Our clients include central banks, sovereign wealth funds, large corporations, financial institutions, insurance companies, asset managers and private investors._x000D_
_x000D_
Our corporate and personal pension division provides retail investors, financial advisors and employers with access to world-class investment opportunities, third-party investment products, investment-related services and retirement planning. Together with our Investment Solutions and Services business, we invest €470.2 billion in assets on behalf of our clients._x000D_
_x000D_
We are aware that our clients are not only seeking long-term capital growth, but also short-term_x000D_
balance sheet or regulatory requirements as well as sustainability criteria. Based on one of the largest research networks worldwide, sound investment decisions are made daily in the areas of equities, bonds, private assets and multi-assets._x000D_
</t>
  </si>
  <si>
    <t>Selҫuk  Kes</t>
  </si>
  <si>
    <t>selcuk.kes@fil.com</t>
  </si>
  <si>
    <t>Annette  Schönwetter</t>
  </si>
  <si>
    <t>as@investor-partners.de</t>
  </si>
  <si>
    <t>Kopenhagener Str. 10</t>
  </si>
  <si>
    <t>Limburg</t>
  </si>
  <si>
    <t xml:space="preserve">BAI Contact_x000D_
Die Investor Partners GmbH betreut deutsche institutionelle Investoren rund um das Thema Kapitalanlage. Neben der Bearbeitung aufsichtsrechtlicher Themen, institutionellen Fragestellungen und Lösungsansätzen, veranstaltet die Investor Partners GmbH pro Jahr mehrere Konferenzen und Seminare mit hohem Praxisbezug für deutsche Pensionseinrichtungen und Versicherungen._x000D_
_x000D_
Das Research-Team analysiert fortlaufend den Markt, um in Anlageklassen mit attraktivem Rendite-/Risikoprofil die besten Manager zu identifizieren. Daneben ist die Investor Partners GmbH Herausgeber des institutionellen Fachmagazins mehrwert. Das Fachmagazin wirft einen kritischen Blick auf bewährte Anlageklassen und leistet Aufklärungsarbeit für neue Themen._x000D_
_x000D_
</t>
  </si>
  <si>
    <t>Christian  Becker</t>
  </si>
  <si>
    <t>cb@investor-partners.de</t>
  </si>
  <si>
    <t>Dorian  Vogt</t>
  </si>
  <si>
    <t>Contact person</t>
  </si>
  <si>
    <t>vogt@17capital.com</t>
  </si>
  <si>
    <t>Almack House, 28 King Street</t>
  </si>
  <si>
    <t>London</t>
  </si>
  <si>
    <t>Martin  Munte</t>
  </si>
  <si>
    <t>munte@17capital.com</t>
  </si>
  <si>
    <t xml:space="preserve">BAI contact_x000D_
17Capital provides finance to private equity funds, investors, and management companies against the net asset value (NAV) of their underlying portfolios. By transacting with 17Capital, counterparties seeking to monetise their assets can do so without having to sell them and giving up all the potential upside. Similarly, investors or management companies seeking to raise capital can avoid full equity dilution and the constraints of traditional debt._x000D_
17Capital typically invests between 10% and 65% of an existing portfolio’s net asset value and will tailor its terms depending on the liquidity profile of the portfolio. 17Capital has a senior position and receives all or the majority of the first distributions until its initial investment has been repaid plus a contractual return (PIK), after which it may also receive a share of subsequent distributions, when such a structure is deemed attractive and feasible._x000D_
17Capital addresses the NAV finance market with two distinct offerings – preferred equity and credit. To date, 17Capital has raised five preferred equity funds, most recently 17Capital Fund 5 ($2.9bn, June 2021). The credit strategy was launched in 2020 and 17Capital’s inaugural Credit Fund was successfully closed at its hard cap in April 2022 with €2.6bn in commitments._x000D_
</t>
  </si>
  <si>
    <t>Founder &amp; md</t>
  </si>
  <si>
    <t>Clayton Ventures_x000D_
3 – 6 Kenrick Place</t>
  </si>
  <si>
    <t>Wael  ELKHOULY</t>
  </si>
  <si>
    <t>Head of Asset Management</t>
  </si>
  <si>
    <t>welkhouly@yahoo.com</t>
  </si>
  <si>
    <t>82 Bishopsgate</t>
  </si>
  <si>
    <t>+44 (0) 7799 587 005</t>
  </si>
  <si>
    <t xml:space="preserve">Met him at London on the 5th of December 2007 to understand the issues typically faced by the Infrastructure funds whicle raising funds_x000D_
_x000D_
</t>
  </si>
  <si>
    <t>Seema  Ram</t>
  </si>
  <si>
    <t>Principal Investment Infrastructure EM</t>
  </si>
  <si>
    <t>seema.ram@db.com</t>
  </si>
  <si>
    <t>Winchester House
1 Great Winchester Street
Deutsche Bank AG CIB Global Markets</t>
  </si>
  <si>
    <t>+44 7507571731</t>
  </si>
  <si>
    <t>Bethany  Smith</t>
  </si>
  <si>
    <t>bethany.smith@alcentra.com</t>
  </si>
  <si>
    <t>160 Queen Victoria Street</t>
  </si>
  <si>
    <t xml:space="preserve">BAI contact_x000D_
In 2022, Franklin Templeton fully acquired Alcentra, allowing us to leverage our expertise across Franklin Templeton's $1.4 trillion AUM platform. Embedded within Franklin Templeton, we now benefit from the resources, breath and scale of a global platform, while consistently focusing on our unique and independent Alcentra/Benefit Street Partners (BSP) strategies. The combined Alcentra/BSP platform is one of the largest alternative credit asset managers globally, with more than 34 years combined global expertise in private debt, special situations, structured credit, collateralized loan obligations, liquid credit and real estate lending.  _x000D_
BSP is a US based alternative credit manager and invests across a range of illiquid and liquid credit strategies, with strong expertise in private lending in both sponsor and non-sponsor transactions._x000D_
Alcentra is one of the largest European alternative credit managers, with global expertise in senior secured loans, high yield bonds, private credit, structure credit, special situations and multi-strategy credit strategies. _x000D_
The combined BSP / Alcentra platform employs a disciplined, value-orientated approach to evaluating individual investments and constructing portfolios focusing on financial outcomes that matter to clients. _x000D_
_x000D_
Capabilities:_x000D_
U.S. and European Private Credit_x000D_
U.S. and European Senior Private Credit_x000D_
U.S. and European Special Situations_x000D_
Global High Yield_x000D_
U.S. and Global Securitized Credit_x000D_
U.S. and Global Multi Strategy_x000D_
U.S. and Global Structured Credit_x000D_
U.S. Real Estate Lending_x000D_
</t>
  </si>
  <si>
    <t>Silvia  Mischel</t>
  </si>
  <si>
    <t>Silvia.Mischel@alcentra.com</t>
  </si>
  <si>
    <t>Raphael  Hampicke</t>
  </si>
  <si>
    <t>rhampicke@apollo.com</t>
  </si>
  <si>
    <t>25 St. George Street</t>
  </si>
  <si>
    <t>Daniela  Jönsson</t>
  </si>
  <si>
    <t>djonsson@aresmgmt.com</t>
  </si>
  <si>
    <t>10 New Burlington Street</t>
  </si>
  <si>
    <t xml:space="preserve">BAI Contact_x000D_
_x000D_
Ares Management Corporation (NYSE: ARES) is a leading global alternative investment manager offering clients complementary primary and secondary investment solutions across the credit, private equity, real estate and infrastructure asset classes. We seek to provide flexible capital to support businesses and create value for our stakeholders and within our communities. By collaborating across our investment groups, we aim to generate consistent and attractive investment returns throughout market cycles. As of September 30, 2021, Ares Management Corporation's global platform had approximately $282 billion of assets under management, with approximately 2,000 employees operating across North America, Europe, Asia Pacific and the Middle East. For more information, please visit www.aresmgmt.com._x000D_
</t>
  </si>
  <si>
    <t>Julian  Schicke</t>
  </si>
  <si>
    <t>js@avellinia.com</t>
  </si>
  <si>
    <t>One Heddon Street</t>
  </si>
  <si>
    <t>Matthias  Dux</t>
  </si>
  <si>
    <t>md@avellinia.com</t>
  </si>
  <si>
    <t>Volker  Samonigg</t>
  </si>
  <si>
    <t>volker.samonigg@barings.com</t>
  </si>
  <si>
    <t>20 Old Bailey</t>
  </si>
  <si>
    <t xml:space="preserve">BAI Contact_x000D_
_x000D_
Barings is a $350+ billion global investment manager sourcing differentiated opportunities and building long-term portfolios across public and private fixed income, real estate, and specialist equity markets. We offer investment funds and bespoke solutions for institutional investors across a broad spectrum of private markets investments: Private Credit, Private Equity, Real Estate Debt and Equity as well as Infrastructure Debt, Capital Solutions &amp; Private Placements. With investment professionals based in North America, Europe and Asia Pacific, the firm, a subsidiary of MassMutual, aims to serve its clients, communities and employees, and is committed to sustainable practices and responsible investment._x000D_
_x000D_
Barings has been working with German institutional investors for more than 19 years across our product range. Since 2004, we have managed a number of outsourcing mandates for insurance companies, pension funds, and corporates, and have outsourcing relationships with several KVGs in Germany. We currently manage over €8 billion on behalf of German investors (as at 30 June 2022)._x000D_
</t>
  </si>
  <si>
    <t>Julien  Mayen</t>
  </si>
  <si>
    <t>jmayen@entrustglobal.com</t>
  </si>
  <si>
    <t>30 PANTON STREET</t>
  </si>
  <si>
    <t>LONDON</t>
  </si>
  <si>
    <t xml:space="preserve">BAI Contact_x000D_
EnTrust Global is one of the world’s largest alternative solutions providers, managing approximately $18 billion for institutions and private investors worldwide. EnTrust Global offers investment solutions through customized portfolios, co-investments, real asset investments and established funds across alternative strategies including diversified, strategy focused and opportunistic. With a deep industry knowledge, expertise, scale and resources, EnTrust Global brings clients meaningful solutions to meet their investment objectives through comprehensive risk management, rigorous due diligence and a diversified selection of investment partners based on underlying strategies and market exposure_x000D_
_x000D_
</t>
  </si>
  <si>
    <t>Viktoria  Moskalew</t>
  </si>
  <si>
    <t>vmoskalew@entrustglobal.com</t>
  </si>
  <si>
    <t xml:space="preserve">BAI Contact_x000D_
EnTrust Global is one of the world’s largest alternative solutions providers, managing approximately $18 billion for institutions and private investors worldwide. EnTrust Global offers investment solutions through customized portfolios, co-investments, real asset investments and established funds across alternative strategies including diversified, strategy focused and opportunistic. With a deep industry knowledge, expertise, scale and resources, EnTrust Global brings clients meaningful solutions to meet their investment objectives through comprehensive risk management, rigorous due diligence and a diversified selection of investment partners based on underlying strategies and market exposure_x000D_
</t>
  </si>
  <si>
    <t>Marco  Sedlmayr</t>
  </si>
  <si>
    <t>marco.sedlmayr@hayfin.com</t>
  </si>
  <si>
    <t>One Eagle Place  GB-</t>
  </si>
  <si>
    <t xml:space="preserve">BAI Contact_x000D_
_x000D_
Founded in 2009, Hayfin Capital Management (“Hayfin”) is a leading alternative asset management firm with c. €30 billion in assets under management. Hayfin focuses on delivering attractive risk-adjusted returns for its investors across its private debt, liquid credit and private equity solutions businesses._x000D_
_x000D_
Hayfin has a diverse international team of over 200 experienced industry professionals with offices globally, including headquarters in London and offices in Frankfurt, Munich, Madrid, Milan, Paris, Luxembourg, Stockholm, New York, San Diego, Singapore and Tokyo._x000D_
</t>
  </si>
  <si>
    <t>Anna  Demarmels</t>
  </si>
  <si>
    <t>anna.demarmels@ifminvestors.com</t>
  </si>
  <si>
    <t>2 London Wall Street</t>
  </si>
  <si>
    <t xml:space="preserve">BAI Contact_x000D_
_x000D_
Founded more than 25 years ago by a group of Australian superannuation funds, IFM Investors manages €131 billion as at 30 June 2023 and aims to invest, safeguard and grow the long-term retirement savings of working people. We prioritise the interests of like-minded investors worldwide who focus on investments that combine superior long-term risk-return characteristics with broad economic, environmental and social community benefits. IFM operates globally from offices in Melbourne, Sydney, London, Berlin, Zurich, Amsterdam, New York, Hong Kong, Seoul, Tokyo and Milan and manages investments in infrastructure, debt, listed equities and private equity. For more information, visit ifminvestors.com._x000D_
</t>
  </si>
  <si>
    <t>Benjamin  Sauveur</t>
  </si>
  <si>
    <t>Benjamin.Sauveur-Lumyna@generali.com</t>
  </si>
  <si>
    <t>Nova North 11 Bresseden Place</t>
  </si>
  <si>
    <t xml:space="preserve">13 February 2024 15:31:_x000D_
BAI Contact_x000D_
------------------------------------------------------------------_x000D_
BAI Contact_x000D_
_x000D_
_x000D_
</t>
  </si>
  <si>
    <t>Nesrine  Holmes</t>
  </si>
  <si>
    <t>Nesrine.Holmes@lumyna.com</t>
  </si>
  <si>
    <t>Madeleine  Fulst</t>
  </si>
  <si>
    <t>madeleine.fulst@mackayshields.co.uk</t>
  </si>
  <si>
    <t>80 Coleman Street</t>
  </si>
  <si>
    <t xml:space="preserve">BAI Contact_x000D_
MacKay Shields specializes in fixed income credit and less efficient segments of global equity markets where proprietary research can generate attractive client oriented outcomes. We manage USD 132 bn. in AUM across six independent portfolio management teams: MacKay Municipal Managers, Global Fixed Income, High Yield, Global Credit, Convertibles, and Fundamental Equity, whose areas of responsibility largely align with specific asset classes in the market._x000D_
_x000D_
As an institutionally focused asset manager, we are committed to partnering with our clients to deliver tailored income-oriented investment solutions based on their goals and objectives. We have been managing mandates for German institutional investors for over a decade._x000D_
_x000D_
MacKay Shields is an indirect, fully owned subsidiary of the US life insurer New York Life. In Europe, MacKay Shields is active through its entities in Dublin and London._x000D_
</t>
  </si>
  <si>
    <t>Rüdiger  Blank</t>
  </si>
  <si>
    <t>ruediger.blank@parksquarecapital.com</t>
  </si>
  <si>
    <t>5 Stratton Street_x000D_
GB-</t>
  </si>
  <si>
    <t>Thomas  Stehr</t>
  </si>
  <si>
    <t>Thomas.Stehr@parksquarecapital.com</t>
  </si>
  <si>
    <t>Brenden  Woods</t>
  </si>
  <si>
    <t>woods@stonepeakpartners.com</t>
  </si>
  <si>
    <t>5 Filmer Road</t>
  </si>
  <si>
    <t xml:space="preserve">BAI Contact_x000D_
_x000D_
Stonepeak is a leading, independent infrastructure asset management firm founded in 2011 with over $24 billion of assets under management* and 87 employees in New York, Houston, Austin and Hong Kong._x000D_
_x000D_
Stonepeak has more than 130 sophisticated institutional investors in North America, Asia, the Middle East and Europe, including a number of investors from the DACH region._x000D_
_x000D_
*Stonepeak’s assets under management (“AUM”) calculation provided herein is determined by taking into account (i) unfunded capital commitments of Stonepeak Infrastructure Fund LP (“Fund I”), Stonepeak Infrastructure Fund II LP (“Fund II”), Stonepeak Infrastructure Fund III LP (“Fund III”, and together with Fund I and Fund II, the “Funds” and each a “Fund”), Stonepeak Infrastructure Credit Fund I LP ("Credit Fund"), Stonepeak Global Renewables Fund LP ("GRF") and any co-invest vehicles managed by Stonepeak as of March 31, 2020,  (ii) the gross asset value of such funds and co-invest vehicles, plus any feeder fund level cash with respect to such funds and co-invest vehicles as of March 31, 2020 and (iii) accepted capital commitments of Stonepeak Infrastructure Fund IV LP ("Fund IV") as of May 22, 2020.  The AUM figure differs from the amount of assets under management reported for regulatory purposes, and is based on gross asset values that are estimated and unaudited._x000D_
_x000D_
</t>
  </si>
  <si>
    <t>Daniel  Zinic</t>
  </si>
  <si>
    <t>zinic@stonepeakpartners.com</t>
  </si>
  <si>
    <t xml:space="preserve">BAI Contact_x000D_
_x000D_
Stonepeak is a leading, independent infrastructure asset management firm founded in 2011 with over $24 billion of assets under management* and 87 employees in New York, Houston, Austin and Hong Kong._x000D_
_x000D_
Stonepeak has more than 130 sophisticated institutional investors in North America, Asia, the Middle East and Europe, including a number of investors from the DACH region._x000D_
_x000D_
*Stonepeak’s assets under management (“AUM”) calculation provided herein is determined by taking into account (i) unfunded capital commitments of Stonepeak Infrastructure Fund LP (“Fund I”), Stonepeak Infrastructure Fund II LP (“Fund II”), Stonepeak Infrastructure Fund III LP (“Fund III”, and together with Fund I and Fund II, the “Funds” and each a “Fund”), Stonepeak Infrastructure Credit Fund I LP ("Credit Fund"), Stonepeak Global Renewables Fund LP ("GRF") and any co-invest vehicles managed by Stonepeak as of March 31, 2020,  (ii) the gross asset value of such funds and co-invest vehicles, plus any feeder fund level cash with respect to such funds and co-invest vehicles as of March 31, 2020 and (iii) accepted capital commitments of Stonepeak Infrastructure Fund IV LP ("Fund IV") as of May 22, 2020.  The AUM figure differs from the amount of assets under management reported for regulatory purposes, and is based on gross asset values that are estimated and unaudited._x000D_
</t>
  </si>
  <si>
    <t>Henning  Schwabe</t>
  </si>
  <si>
    <t>henning.schwabe@arendt.com</t>
  </si>
  <si>
    <t>41 A, avenue J.F. Kennedy</t>
  </si>
  <si>
    <t>Luxembourg</t>
  </si>
  <si>
    <t xml:space="preserve">BAI Contact_x000D_
_x000D_
Arendt &amp; Medernach is the leading independent business law firm in Luxembourg._x000D_
The firm’s international team of 450 legal professionals represents clients in all areas of Luxembourg business law, with representative offices in Hong Kong, London, New York and Paris._x000D_
Our service to clients is differentiated by the end to end specialist advice we offer, covering all legal, regulatory, taxation and advisory aspects of doing business in Luxembourg._x000D_
</t>
  </si>
  <si>
    <t>Michael  Daemgen</t>
  </si>
  <si>
    <t>Michael.Daemgen@arendt.com</t>
  </si>
  <si>
    <t xml:space="preserve">BAI Contact_x000D_
_x000D_
Arendt &amp; Medernach is the leading independent business law firm in Luxembourg._x000D_
The firm’s international team of 450 legal professionals represents clients in all areas of Luxembourg business law, with representative offices in Hong Kong, London, New York and Paris._x000D_
Our service to clients is differentiated by the end to end specialist advice we offer, covering all legal, regulatory, taxation and advisory aspects of doing business in Luxembourg._x000D_
_x000D_
</t>
  </si>
  <si>
    <t>Stephan  Grimm</t>
  </si>
  <si>
    <t>avega-capitalmanagement@acm-aifm.lu</t>
  </si>
  <si>
    <t>2, rue Edward Steichen</t>
  </si>
  <si>
    <t xml:space="preserve">BAI Contact_x000D_
_x000D_
AVEGA Capital Management S.A. (ACM) is a management-owned Private Markets third-party AIFM. ACM manages from Luxembourg alternative Investment funds (AIFs) with a specialization in Private Equity, Real Estate, Debt/Credit, Infrastructure and Fund of Funds. Besides AIFM services, AVEGA provides also ancillary services like accounting, domiciliation, legal housekeeping, securitization and reporting. Target clients are German speaking LPs, mainly insurers and pension funds, and GPs from continental Europe, UK and North America. ACM is part of AVEGA Group, which has over 270 employees in Luxembourg, Netherlands, France and Spain._x000D_
</t>
  </si>
  <si>
    <t>Viktoria  Holzhäuser</t>
  </si>
  <si>
    <t>Henri  Hackenberg</t>
  </si>
  <si>
    <t>henri.hackenberg@bbh.com</t>
  </si>
  <si>
    <t>80, route d'Esch</t>
  </si>
  <si>
    <t>Charles Daulon Du Laurens</t>
  </si>
  <si>
    <t>charlesdaulon@act.is</t>
  </si>
  <si>
    <t>1 rue Hildegard von Bingen</t>
  </si>
  <si>
    <t>Luxembourg-1282</t>
  </si>
  <si>
    <t xml:space="preserve">BAI Contact_x000D_
_x000D_
Actis is a leading global investor in sustainable infrastructure. We deliver competitive returns for institutional investors and measurable positive impact for countries, cities, and communities in which we operate. Our global experience, operational know-how and strong culture allow us to create global sustainability leaders. We do it at scale. And have been doing so for decades. Since inception, we have raised US $24 billion to invest in a better tomorrow._x000D_
</t>
  </si>
  <si>
    <t>Mattheus  Waldthaler</t>
  </si>
  <si>
    <t>mwaldthaler@act.is</t>
  </si>
  <si>
    <t>Luxembourg-1282 Luxembourg</t>
  </si>
  <si>
    <t xml:space="preserve">BAI Contact_x000D_
Actis is a leading global investor in sustainable infrastructure. We deliver competitive returns for institutional investors and measurable positive impact for countries, cities, and communities in which we operate. Our global experience, operational know-how and strong culture allow us to create global sustainability leaders. We do it at scale. And have been doing so for decades. Since inception, we have raised US $24 billion to invest in a better tomorrow._x000D_
</t>
  </si>
  <si>
    <t>Costa  Barakos</t>
  </si>
  <si>
    <t>costa.barakos@klarphos.com</t>
  </si>
  <si>
    <t>7, rue Lou Hemmer</t>
  </si>
  <si>
    <t>Luxembourg-Findel</t>
  </si>
  <si>
    <t>Rainer  Knippel</t>
  </si>
  <si>
    <t>rainer.knippel@klarphos.com</t>
  </si>
  <si>
    <t>Marc  Moser</t>
  </si>
  <si>
    <t>marc.moser@reichmuthco.ch</t>
  </si>
  <si>
    <t>Rütligasse 1</t>
  </si>
  <si>
    <t>Luzern</t>
  </si>
  <si>
    <t xml:space="preserve"> COFIDES</t>
  </si>
  <si>
    <t>Francisco Javier Puig</t>
  </si>
  <si>
    <t>cofides@cofides.es</t>
  </si>
  <si>
    <t>Headquarters in C/Principe de Vergara,_x000D_
132-28002</t>
  </si>
  <si>
    <t>Madrid</t>
  </si>
  <si>
    <t>Jose Luis Curbelo</t>
  </si>
  <si>
    <t xml:space="preserve">Asif S Cheema  </t>
  </si>
  <si>
    <t>acheema@adb.org</t>
  </si>
  <si>
    <t>6, ADB Avenue, _x000D_
1550 Metro Manila</t>
  </si>
  <si>
    <t>Mandaluyong</t>
  </si>
  <si>
    <t xml:space="preserve">Srinivas Sampath  </t>
  </si>
  <si>
    <t>ssampath@adb.org</t>
  </si>
  <si>
    <t>Saswathi G Blliappa</t>
  </si>
  <si>
    <t>Senior Safeguards Specialist</t>
  </si>
  <si>
    <t>sbelliappa@adb.org</t>
  </si>
  <si>
    <t>Sekhar  Bonu</t>
  </si>
  <si>
    <t>Health Specialist</t>
  </si>
  <si>
    <t>sbonu@adb.org</t>
  </si>
  <si>
    <t>6 ADB Avenue</t>
  </si>
  <si>
    <t>Mandaluyong City</t>
  </si>
  <si>
    <t>Metro Manila
Manila</t>
  </si>
  <si>
    <t xml:space="preserve">He is Bhavani Aunty's Brother_x000D_
Is an IAS officer an is currently on deputation_x000D_
Has been on various WB and ADB deputations ever since_x000D_
Has married an IAS officer and has a Son_x000D_
_x000D_
</t>
  </si>
  <si>
    <t xml:space="preserve">Vinaya Bhat PJ  </t>
  </si>
  <si>
    <t>vinayabhatpj@ktkbank.com</t>
  </si>
  <si>
    <t>Head Office, Mahaveera Circle,_x000D_
Kankanady</t>
  </si>
  <si>
    <t>+91 9449595656</t>
  </si>
  <si>
    <t>Mangaluru</t>
  </si>
  <si>
    <t>Anandh  Kannan</t>
  </si>
  <si>
    <t>Director - Technology &amp; Innovations</t>
  </si>
  <si>
    <t>anandh@wtoconsultancy.co.uk</t>
  </si>
  <si>
    <t>Vestry Hall, London Road</t>
  </si>
  <si>
    <t>+91 9940706213</t>
  </si>
  <si>
    <t>Mitcham</t>
  </si>
  <si>
    <t xml:space="preserve">Also Project Head – Global IT Summit, London_x000D_
</t>
  </si>
  <si>
    <t xml:space="preserve">Amitesh Kumar  </t>
  </si>
  <si>
    <t>amitesh.k@canarabank.com</t>
  </si>
  <si>
    <t>Integrated Treasury Wing, Canara Bank Building,_x000D_
B wing, 6th floor, C-14, G Block, _x000D_
Bandra Gurla Complex, Bandra (W)</t>
  </si>
  <si>
    <t>Mumbai</t>
  </si>
  <si>
    <t>Union Bank of India</t>
  </si>
  <si>
    <t xml:space="preserve">Ranjit Kumar  </t>
  </si>
  <si>
    <t>ranjit.kumar@unionbankofindia.com</t>
  </si>
  <si>
    <t>First Floor, 239, Vidhan Bhavan Marg,_x000D_
Nariman Point, Mumbai</t>
  </si>
  <si>
    <t>Omri  Halevi</t>
  </si>
  <si>
    <t>omri@phang.in</t>
  </si>
  <si>
    <t>Rajan Rd
201/202,Benston B,Shirley</t>
  </si>
  <si>
    <t>+91 9821891500</t>
  </si>
  <si>
    <t>Maharashtra</t>
  </si>
  <si>
    <t xml:space="preserve">Dr K Inkarsal  </t>
  </si>
  <si>
    <t>dcas@nabard.org</t>
  </si>
  <si>
    <t>4th Floor, 'E' Wing C-24,
'G' Block Bandra Kurla Complex Bandra (East)</t>
  </si>
  <si>
    <t xml:space="preserve">Janardhana Rao PV  </t>
  </si>
  <si>
    <t>janardhanaraopv@canarabank.com</t>
  </si>
  <si>
    <t xml:space="preserve">Abdul Khader Suriya  </t>
  </si>
  <si>
    <t>CIO - SWAMIH Investment Fund</t>
  </si>
  <si>
    <t>abdulkhader.suriya@sbicapventures.com</t>
  </si>
  <si>
    <t>12th Floor, A Wing, Marathon Futurex, N.M.Joshi Marg, Lower Parel (East)</t>
  </si>
  <si>
    <t>+ 91 98705 49844</t>
  </si>
  <si>
    <t>Satish  Kachchawa</t>
  </si>
  <si>
    <t>COO</t>
  </si>
  <si>
    <t>satish.kachhawa@sbicapventures.com</t>
  </si>
  <si>
    <t>A Wing, 12th Floor Marathon Futurex, Mafatlal Mills Compound, N.M. Joshi Marg, Lower Parel</t>
  </si>
  <si>
    <t>+91 77381 21717</t>
  </si>
  <si>
    <t>Roy S. S. P</t>
  </si>
  <si>
    <t>Deputy General Manager</t>
  </si>
  <si>
    <t>ssproy@indianbank.co.in</t>
  </si>
  <si>
    <t>Zonal Office, West_x000D_
Manish Commercial Centre,_x000D_
216A, Dr.Anne Besant Road, Worli</t>
  </si>
  <si>
    <t>NABFiD</t>
  </si>
  <si>
    <t>Samuel  Joseph</t>
  </si>
  <si>
    <t>dmd.lpf@nabfid.org</t>
  </si>
  <si>
    <t>Swavalamaban Bhavan, Avenue 3, Lane 2, _x000D_
C-11, G-Block, _x000D_
Bandra Kurla Complex, Bandra (E)</t>
  </si>
  <si>
    <t>+91 9920458916</t>
  </si>
  <si>
    <t>Gulshan  Malik</t>
  </si>
  <si>
    <t>Commercial Clients Group - 1</t>
  </si>
  <si>
    <t>dmd.ccg@sbi.co.in</t>
  </si>
  <si>
    <t>State Bank Bhavan, Madame Cama Road, Nariman Point</t>
  </si>
  <si>
    <t>Kamalesh  Kumar</t>
  </si>
  <si>
    <t>Dept. of Subsidiaries &amp; Strategic Investment_x000D_
Plot.No.C-24, G Block, _x000D_
Bendra-Kurla Complex, Bandra (E)</t>
  </si>
  <si>
    <t>+91 9571104642</t>
  </si>
  <si>
    <t>Anand  Lalla</t>
  </si>
  <si>
    <t>Head - Domestic Institutional Clients Group, DICG</t>
  </si>
  <si>
    <t>anand.lalla@nuvama.com</t>
  </si>
  <si>
    <t>Nuvama Group,_x000D_
Inspire BKC G Block, _x000D_
8th Floor, Bandra Kurla Complex</t>
  </si>
  <si>
    <t>+91 7506051178</t>
  </si>
  <si>
    <t xml:space="preserve">Avinash Sule  </t>
  </si>
  <si>
    <t>Head India Office</t>
  </si>
  <si>
    <t>avinash@qia.qa</t>
  </si>
  <si>
    <t>73/B North Avenue,_x000D_
Maker Maxity, Bandra Kurla Coomplex,_x000D_
Bandra</t>
  </si>
  <si>
    <t>+91 9819858310</t>
  </si>
  <si>
    <t>mumbai</t>
  </si>
  <si>
    <t>Nagesh Singh Chauhan</t>
  </si>
  <si>
    <t>Head of Debt Capital Market</t>
  </si>
  <si>
    <t>nagesh.chauhan@tipsons.com</t>
  </si>
  <si>
    <t>ONE BKC, G Block - C Wing,_x000D_
704, Bandra Kurlav Complex, Bandra (East)</t>
  </si>
  <si>
    <t>+91 9820921288</t>
  </si>
  <si>
    <t xml:space="preserve">Rajkiran Rai G.  </t>
  </si>
  <si>
    <t>md@nabfid.org</t>
  </si>
  <si>
    <t>1503, 15th Floor, 'A' Wing, The Capital Building, G-Block, Bandra Kurla Complex, Bandra (East)</t>
  </si>
  <si>
    <t>+ 91 95995 33552</t>
  </si>
  <si>
    <t>Kishore  Gotety</t>
  </si>
  <si>
    <t>Managing Director , Co-Head: Asia ex-China I Real Estate</t>
  </si>
  <si>
    <t>+91 9821299525</t>
  </si>
  <si>
    <t xml:space="preserve">Managing Director , Co-Head: Asia ex-China I Real Estate_x000D_
_x000D_
</t>
  </si>
  <si>
    <t>Managing Partner</t>
  </si>
  <si>
    <t>info@startfordhouse.com</t>
  </si>
  <si>
    <t>Vaswani Chambers, 264 - 265, _x000D_
Dr Annie Besant Road, Worli,</t>
  </si>
  <si>
    <t xml:space="preserve">_x000D_
Earlier he was in cdcgroup, Asia Funds_x000D_
</t>
  </si>
  <si>
    <t xml:space="preserve">Swati Bansal  </t>
  </si>
  <si>
    <t>Principal-Strategic Opportunities Fund</t>
  </si>
  <si>
    <t>swati.bansal@niifindia.in</t>
  </si>
  <si>
    <t>4th floor, UTI Tower, GN Block_x000D_
South Block, BKC</t>
  </si>
  <si>
    <t>+91 9833180438</t>
  </si>
  <si>
    <t xml:space="preserve">Hitesh Bhalla  </t>
  </si>
  <si>
    <t>Senior Relationship Manager</t>
  </si>
  <si>
    <t>hitesh.bhalla@indusind.com</t>
  </si>
  <si>
    <t>Peninsula Corporate Park,_x000D_
Tower A, 4th Floor,_x000D_
Ganpatrao Kadam Marg,_x000D_
Off Senapati Bapat Marg,_x000D_
Lower Parel</t>
  </si>
  <si>
    <t xml:space="preserve">Devang Kakkad  </t>
  </si>
  <si>
    <t>devang.kakkad@hdfcbank.com</t>
  </si>
  <si>
    <t>1st Floor, HDFC Bank House,_x000D_
Senapati Bapat Marg_x000D_
Lower Parel</t>
  </si>
  <si>
    <t>Chirag S Gandhi</t>
  </si>
  <si>
    <t>chirag.gandhi@ccchokshi.com</t>
  </si>
  <si>
    <t>A-902, Marathon Futurex_x000D_
NM Joshi Marg, Lower Parel (E)</t>
  </si>
  <si>
    <t>Parvesh  Gupta</t>
  </si>
  <si>
    <t>parvesh_gupta@yahoo.com</t>
  </si>
  <si>
    <t>Senapati Bapat Marg
2nd Floor, Kamala House, Kamala City</t>
  </si>
  <si>
    <t>+91 9820414032</t>
  </si>
  <si>
    <t>MH</t>
  </si>
  <si>
    <t xml:space="preserve">My colleague at Actis_x000D_
He has been harry's roommate during his days in SBI Caps_x000D_
_x000D_
</t>
  </si>
  <si>
    <t>Rakesh  Singh</t>
  </si>
  <si>
    <t>rk.singh@hdfcbank.com</t>
  </si>
  <si>
    <t>5th Floor, HDFC Bank House, Senapati Bapat marg, Lower Parel (W)</t>
  </si>
  <si>
    <t>+91 98201 83738</t>
  </si>
  <si>
    <t xml:space="preserve">Ref by Sanjiv Aggarwal_x000D_
_x000D_
Rakesh Singh_x000D_
Group Head_x000D_
Investment Banking, Private Banking, Capital Markets and Financial Institutions_x000D_
___________________________________________________________________________x000D_
HDFC Bank House, 5th Floor, Senapati Bapat Marg, Lower Parel (W), Mumbai - 400013_x000D_
T 00 91 22 66521286, M +919820183738, E rk.singh@hdfcbank.com_x000D_
_x000D_
</t>
  </si>
  <si>
    <t>IL&amp;FS Financuial Services Limited</t>
  </si>
  <si>
    <t>Tushar  Shah</t>
  </si>
  <si>
    <t>tushar.shah@ilfsindia.com</t>
  </si>
  <si>
    <t>ILFS Financial Center
8th Floor, The</t>
  </si>
  <si>
    <t>+91 9820286989</t>
  </si>
  <si>
    <t xml:space="preserve">IL&amp;FS_x000D_
ILFS_x000D_
_x000D_
</t>
  </si>
  <si>
    <t>Mufaddal  Cementwala</t>
  </si>
  <si>
    <t>Mufaddal.Cementwala@investec.co.in</t>
  </si>
  <si>
    <t>607,6th Floor, The Capital A Wing</t>
  </si>
  <si>
    <t>+91 98206 46231</t>
  </si>
  <si>
    <t>XYZ  JEDO</t>
  </si>
  <si>
    <t>Naman Corporate Link, 2nd Floor,_x000D_
Plot No.C-31, C-32, G Block,_x000D_
Bandra Kurla Complex, Bandra East</t>
  </si>
  <si>
    <t>+91 (022) 22028342</t>
  </si>
  <si>
    <t>Brookfield Asset Management</t>
  </si>
  <si>
    <t>Murzash  Manekshana</t>
  </si>
  <si>
    <t>Managing Director, Asset Management, Renewable Power &amp; Transition</t>
  </si>
  <si>
    <t>murzash.manekshana@brookfield.com</t>
  </si>
  <si>
    <t>Unit 1, 4th Floor, Godrej BKC_x000D_
Bandra Kurla Complex</t>
  </si>
  <si>
    <t>+91 98202 35100</t>
  </si>
  <si>
    <t>Mumbai 400 051</t>
  </si>
  <si>
    <t>Kavita  Saha</t>
  </si>
  <si>
    <t>MD, Head, Infra &amp; Sustainable Energies, India, Global Leadership Team Real Assets</t>
  </si>
  <si>
    <t>ksaha@cppib.com</t>
  </si>
  <si>
    <t>CPPIB India Advisors Private Limited_x000D_
3 North Avenue, Maker Maxity_x000D_
5th Floor_x000D_
Bandra Kurla Complex, Bandra (East)</t>
  </si>
  <si>
    <t>+91 98215 25310</t>
  </si>
  <si>
    <t>Christian  von Massenbach</t>
  </si>
  <si>
    <t>MD/Board Member</t>
  </si>
  <si>
    <t>cvm@51northcapital.com</t>
  </si>
  <si>
    <t>Maximilianstrasse 13</t>
  </si>
  <si>
    <t>München</t>
  </si>
  <si>
    <t xml:space="preserve">BAI Contact_x000D_
51 North Capital is a Partner-owned, regionally-focused placement agent and fundraising advisor to private market fund managers. _x000D_
 _x000D_
Established in 2021, 51 North Capital focuses solely on institutional investors in Germany, Austria and Switzerland (collectively, the DACH region), where its team brings long-standing, trusted relationships built over decades as fundraisers and investors._x000D_
 _x000D_
Through its regional specialisation, 51 North Capital believes it can better understand its LPs' goals and preferences, and proactively partner with GPs whose products will be most attractive in the DACH market. _x000D_
 _x000D_
While its investor coverage is purposefully regional, 51 North Capital has partnered with GP clients globally across alternative asset classes, with a particular focus on Private Equity, Infrastructure and Private Debt. _x000D_
 _x000D_
Alongside its placement activities, 51 North Capital advises its GPs on market positioning, fundraising strategy and fund structuring to ensure their products are ready for successful fundraising in the DACH market. _x000D_
</t>
  </si>
  <si>
    <t>Fabian  Pötter</t>
  </si>
  <si>
    <t>fp@51northcapital.com</t>
  </si>
  <si>
    <t xml:space="preserve">BAI Contact_x000D_
51 North Capital is a Partner-owned, regionally-focused placement agent and fundraising advisor to private market fund managers. _x000D_
 _x000D_
Established in 2021, 51 North Capital focuses solely on institutional investors in Germany, Austria and Switzerland (collectively, the DACH region), where its team brings long-standing, trusted relationships built over decades as fundraisers and investors._x000D_
 _x000D_
Through its regional specialisation, 51 North Capital believes it can better understand its LPs' goals and preferences, and proactively partner with GPs whose products will be most attractive in the DACH market. _x000D_
 _x000D_
While its investor coverage is purposefully regional, 51 North Capital has partnered with GP clients globally across alternative asset classes, with a particular focus on Private Equity, Infrastructure and Private Debt. _x000D_
 _x000D_
Alongside its placement activities, 51 North Capital advises its GPs on market positioning, fundraising strategy and fund structuring to ensure their products are ready for successful fundraising in the DACH market._x000D_
</t>
  </si>
  <si>
    <t>Bernhard  Steege</t>
  </si>
  <si>
    <t>b.steege@albourne.com</t>
  </si>
  <si>
    <t>Richard-Strauss-Str. 71</t>
  </si>
  <si>
    <t xml:space="preserve">BAI contact_x000D_
Albourne¹ was established in London in March 1994 as an independent advisor specializing in alternative assets. Albourne’s mission is to empower our clients to be the best investors that they can be, by providing advisory services, research, implementation support and data, news &amp; analytics._x000D_
With over 300 clients² including leading public and corporate pension plans, endowments, foundations, family offices, sovereign wealth funds and financial intermediaries, we benefit from the quality and scale of our clients, who have over $650bn³ invested in alternative assets._x000D_
Albourne is one of the largest alternatives advisory firms, with 550+ employees, including 380+ analysts, in 11 offices around the world. We are independently owned and offer non-discretionary services only._x000D_
                                               _x000D_
¹ “Albourne” and “we” refer to the group of companies comprising Albourne Partners Limited and its subsidiaries._x000D_
² The aggregate number of client entities for Albourne worldwide. Clients may be subscribed to multiple services. All numbers are as of 1 July 2022._x000D_
³ This is a conservative aggregation of the estimated investments in alternatives (where known) of Albourne clients worldwide, using public sources where possible._x000D_
</t>
  </si>
  <si>
    <t>Gunnar  Knierim</t>
  </si>
  <si>
    <t>gunnar.knierim@AllianceBernstein.com</t>
  </si>
  <si>
    <t>Erika-Mann-Straße 9</t>
  </si>
  <si>
    <t xml:space="preserve">BAI Contact_x000D_
AllianceBernstein (AB) ist eine weltweit führende Fondsgesellschaft mit einer breiten Palette von Anlagelösungen für Institutionen und Privatanleger. Unser wichtigstes Anliegen ist es, unseren Kunden durch innovative Ansätze dabei zu helfen, ihr Vermögen zu schützen und zu mehren. Unsere Investmentkapazitäten umfassen die wichtigsten Anlageklassen und geografischen Märkte. Dazu gehören in Luxemburg domizilierte globale, regionale und sektorspezifische Aktienfonds, Multi-Asset- und alternative UCITS-Fonds sowie Anleihenstrategien, die das gesamte Risiko-Ertragsspektrum umfassen._x000D_
</t>
  </si>
  <si>
    <t>Siegfried  Volkmar</t>
  </si>
  <si>
    <t>siegfried.volkmar@AllianceBernstein.com</t>
  </si>
  <si>
    <t>Klaus  Petersen</t>
  </si>
  <si>
    <t>kpetersen@apera-am.com</t>
  </si>
  <si>
    <t>Ainmillerstraße 11</t>
  </si>
  <si>
    <t xml:space="preserve">BAI Contact_x000D_
As a private debt investor, Apera offers customized financing solutions for small and medium-sized companies in the DACH, UK, Scandinavia, France and Benelux regions. The focus is on senior financing (i.a Unitranche), although Apera also invests selectively in subordinated financing. Apera's goal is to support companies and their sponsors on their growth path and to develop a financing solution that is optimally tailored to the company's operational needs. For Apera, the basis for successful investments lies in long-term and trusting partnerships with medium-sized companies, private equity investors and consultants. Apera has offices in Munich, London, Paris and Luxembourg._x000D_
</t>
  </si>
  <si>
    <t>Robert  Shaw</t>
  </si>
  <si>
    <t>rshaw@apera-am.com</t>
  </si>
  <si>
    <t xml:space="preserve">BAI Contact_x000D_
As a private debt investor, Apera offers customized financing solutions for small and medium-sized companies in the DACH, UK, Scandinavia, France and Benelux regions. The focus is on senior financing (i.a Unitranche), although Apera also invests selectively in subordinated financing. Apera's goal is to support companies and their sponsors on their growth path and to develop a financing solution that is optimally tailored to the company's operational needs. For Apera, the basis for successful investments lies in long-term and trusting partnerships with medium-sized companies, private equity investors and consultants. Apera has offices in Munich, London, Paris and Luxembourg._x000D_
_x000D_
</t>
  </si>
  <si>
    <t>David  Burnside</t>
  </si>
  <si>
    <t>dburnside@arcmont.com</t>
  </si>
  <si>
    <t>Maximilianstr. 13</t>
  </si>
  <si>
    <t xml:space="preserve">BAI Contact_x000D_
_x000D_
Arcmont is a leading European Private Debt manager, having been a pioneer of the Direct Lending asset class in Europe. Arcmont was established in 2011 as the Private Debt division of BlueBay. Following the significant growth of the Private Debt platform, in 2019 Arcmont was spun out to become an independently owned and managed business. Arcmont seeks to provide capital, primarily loans, to a diverse range of European mid-market and upper mid-market companies. The strategy is underpinned by a highly experienced team of 34 investment professionals as well as an efficient and flexible underwriting and investment process. Since inception, Arcmont has raised c. €21 billion of committed capital from global institutions making it one of the largest Direct Lending managers in Europe. The company operates three Private Debt strategies – Direct Lending, Senior Loans and Capital Solutions._x000D_
</t>
  </si>
  <si>
    <t>Mattis  Poetter</t>
  </si>
  <si>
    <t>mpoetter@arcmont.com</t>
  </si>
  <si>
    <t>Detmar  Loff</t>
  </si>
  <si>
    <t>detmar.loff@ashurst.com</t>
  </si>
  <si>
    <t>Ludwigspalais, Ludwigstr. 8</t>
  </si>
  <si>
    <t xml:space="preserve">BAI Contact_x000D_
_x000D_
Ashurst ist eine internationale Anwaltskanzlei mit einem Portfolio namhafter, lokaler und globaler Mandanten._x000D_
Schwerpunkt ist u.a. in der finanzmarktregulierten Industrie. Unser wirtschaftliches Verständnis_x000D_
und der Anspruch, stets ausgezeichneten Service zu erbringen, haben die Kanzlei in sämtlichen Bereichen des Wirtschaftsrechts zum Trusted Adviser gemacht. Unsere Anwälte verfügen über das Fachwissen, Branchenwissen und regionales Markt-Know-how, um Mandanten prägnant, praxisgerecht und zielführend zu beraten – dies vor allem auch im Bereich Alternativer Investments (u.a. mit Unterstützung des eigenen Luxemburger Standorts) für Initiatoren, Verwalter und Investoren._x000D_
Ashurst hat 28 Büros in 16 Ländern. In wichtigen Märkten sind wir mit dezidierten Aufsichtsrecht- und_x000D_
Fondsanwälten präsent. Mit über 400 Partnern und 1.600 Rechtsanwälten in 11 Zeitzonen sind wir_x000D_
überall in der Lage, komplexe grenzüberschreitende Projekte erfolgreich zu steuern und optimale Ergebnisse zu erzielen._x000D_
</t>
  </si>
  <si>
    <t>Jasmin  Gütle</t>
  </si>
  <si>
    <t>jasmin.guetle@ashurst.com</t>
  </si>
  <si>
    <t xml:space="preserve">BAI contact_x000D_
_x000D_
Ashurst ist eine internationale Anwaltskanzlei mit einem Portfolio namhafter, lokaler und globaler Mandanten._x000D_
Schwerpunkt ist u.a. in der finanzmarktregulierten Industrie. Unser wirtschaftliches Verständnis_x000D_
und der Anspruch, stets ausgezeichneten Service zu erbringen, haben die Kanzlei in sämtlichen Bereichen des Wirtschaftsrechts zum Trusted Adviser gemacht. Unsere Anwälte verfügen über das Fachwissen, Branchenwissen und regionales Markt-Know-how, um Mandanten prägnant, praxisgerecht und zielführend zu beraten – dies vor allem auch im Bereich Alternativer Investments (u.a. mit Unterstützung des eigenen Luxemburger Standorts) für Initiatoren, Verwalter und Investoren._x000D_
Ashurst hat 28 Büros in 16 Ländern. In wichtigen Märkten sind wir mit dezidierten Aufsichtsrecht- und_x000D_
Fondsanwälten präsent. Mit über 400 Partnern und 1.600 Rechtsanwälten in 11 Zeitzonen sind wir_x000D_
überall in der Lage, komplexe grenzüberschreitende Projekte erfolgreich zu steuern und optimale Ergebnisse zu erzielen._x000D_
</t>
  </si>
  <si>
    <t>Christoph  Lohrer</t>
  </si>
  <si>
    <t>christoph.lohrer@asset-metrix.com</t>
  </si>
  <si>
    <t>Theresienhöhe 13</t>
  </si>
  <si>
    <t xml:space="preserve">BAI Contact_x000D_
_x000D_
Founded in 2013 in Munich, AssetMetrix is a spin-off of a successful private equity fund-of-funds manager. With its private market DNA, solution-driven mentality, and deep technological expertise, AssetMetrix understands the challenges faced by private market firms first-hand. Its team enables investors, fund managers and asset servicers to accelerate their digital transformation in a growing asset class._x000D_
AssetMetrix outsourcing services in the areas of data collection, fund administration, reporting and analysis enhance the efficiency and scalability of middle and back-office operations. With its integrated technology platform, AssetMetrix address increasing transparency requirements of investors and regulators._x000D_
The strategic cooperating partnership with BNP Paribas Security Services has given the firm significant credibility and security enabling them to invest in the growth of their clients._x000D_
AssetMetrix stands for innovative and secure technologies, state-of-the-art analytics and a world-class, experienced service team in private capital._x000D_
</t>
  </si>
  <si>
    <t>Sarah  Lehr</t>
  </si>
  <si>
    <t>Sarah.Lehr@asset-metrix.com</t>
  </si>
  <si>
    <t>Andreas  Kampe</t>
  </si>
  <si>
    <t>andreas.kampe@bayerninvest.de</t>
  </si>
  <si>
    <t>Karlstraße 35</t>
  </si>
  <si>
    <t xml:space="preserve">BAI Contact_x000D_
Die BayernInvest Kapitalanlagegesellschaft mbH wurde 1989 als 100%-ige Tochter der BayernLB gegründet und ist innerhalb des Konzerns BayernLB das Kompetenzzentrum für institutionelles Asset Management. Als Gesamtanbieter ist die BayernInvest sowohl Asset Manager als auch Master KAG. Die Total Assets der BayernInvest betragen rund 34 Milliarden Euro. Damit zählt die BayernInvest zu den führenden Asset Managern in Deutschland. Kernkompetenz der BayernInvest im Asset Management ist das aktive und indexnahe/ enhanced Management europäischer Aktien- und Rentenmandate. Darüber hinaus bieten wir verschiedene Total Return Strategien, Derivate- und Alternative Strategien sowie Multi Assetklassen Management an. Bei allen Produkten/ Strategien steht immer der Kundenwunsch im Mittelpunkt, so dass wir die Strategien auf die Bedürfnisse des Kunden bezüglich Rendite und Risiko maßschneidern. Wir bieten unsere Produkte und Strategien in Form von Spezialfonds, institutionellen Publikumsfonds und institutionellen Vermögensverwaltungsmandaten an. Alle unsere Produkte werden als Voll-, Outsourcing- oder Advisorymandat angeboten. Ferner bieten wir auch Master-KAG Dienstleistungen und Investment-AG Lösungen an._x000D_
</t>
  </si>
  <si>
    <t>Harald  Klug</t>
  </si>
  <si>
    <t>harald.klug@blackrock.com</t>
  </si>
  <si>
    <t>Lehnbachplatz 1</t>
  </si>
  <si>
    <t xml:space="preserve">BAI Contact_x000D_
_x000D_
BlackRock is a leader in investment management, risk management and advisory services for institutional and retail clients worldwide.  At June 30, 2011, BlackRock’s AUM was $3.659 trillion.  BlackRock offers products that span the risk spectrum to meet clients’ needs, including active, enhanced and index strategies across markets and asset classes. Products are offered in a variety of structures including separate accounts, mutual funds, iShares® (exchange-traded funds), and other pooled investment vehicles. BlackRock also offers risk management, advisory and enterprise investment system services to a broad base of institutional investors through BlackRock Solutions®. Headquartered in New York City, as of June 30, 2011, the firm has approximately 9,700 employees in 26 countries and a major presence in key global markets, including North and South America, Europe, Asia, Australia and the Middle East and Africa. For additional information, please visit the Company's website at www.blackrock.com._x000D_
</t>
  </si>
  <si>
    <t>Michael  Wolfram</t>
  </si>
  <si>
    <t>mwolfram@bluebay.com</t>
  </si>
  <si>
    <t>Frauenlobstrasse 2</t>
  </si>
  <si>
    <t xml:space="preserve">BAI Contact_x000D_
_x000D_
RBC BlueBay Asset Management, which represents RBC Global Asset Management (the asset management division of the Royal Bank of Canada) outside North America, provides global investment management services and solutions to institutional and wholesale investors. Characterised by our specialist fixed income platform, BlueBay, and broad-based capabilities in equities, credit, liquidity management and alternatives, we also have expertise in ESG-integrated, and impact investing strategies, enabling us to respond to a full range of client requirements around responsible investing._x000D_
</t>
  </si>
  <si>
    <t>Alex  Koriath</t>
  </si>
  <si>
    <t>akoriath@cambridgeassociates.com</t>
  </si>
  <si>
    <t>Prannerstraße 6</t>
  </si>
  <si>
    <t xml:space="preserve">BAI Contact_x000D_
Cambridge Associates GmbH (‘CA’) is a privately held company providing both discretionary and non-discretionary investment solutions to our clients and this is our single line of business. Asset classes covered include; Private Equity, Venture Capital, Private Credit, Real Assets, Co-Investments, Hedge Funds and Long-Only.  CA was founded in 1973 to provide investment research and advice to a group of major university endowments in the United States. Today, our client base expanded beyond university endowments and foundations, to pension funds/insurers and other institutions, along with a select group of private families. Our fundamental mission has always remained unchanged: we strive to help long term investors around the world to meet or exceed their investment objectives by providing proactive, unbiased advice grounded in intensive and independent research. We achieve this by providing bespoke portfolios and advice to each client through Separately Managed Accounts. This enables customization and a close client relationship with local touch_x000D_
_x000D_
</t>
  </si>
  <si>
    <t>Olga  Braun-Cangl</t>
  </si>
  <si>
    <t>obrauncangl@cambridgeassociates.com</t>
  </si>
  <si>
    <t xml:space="preserve">BAI Contact_x000D_
_x000D_
Cambridge Associates GmbH (‘CA’) is a privately held company providing both discretionary and non-discretionary investment solutions to our clients and this is our single line of business. Asset classes covered include; Private Equity, Venture Capital, Private Credit, Real Assets, Co-Investments, Hedge Funds and Long-Only.  CA was founded in 1973 to provide investment research and advice to a group of major university endowments in the United States. Today, our client base expanded beyond university endowments and foundations, to pension funds/insurers and other institutions, along with a select group of private families. Our fundamental mission has always remained unchanged: we strive to help long term investors around the world to meet or exceed their investment objectives by providing proactive, unbiased advice grounded in intensive and independent research. We achieve this by providing bespoke portfolios and advice to each client through Separately Managed Accounts. This enables customization and a close client relationship with local touch._x000D_
</t>
  </si>
  <si>
    <t>Campbell Lutyens SA</t>
  </si>
  <si>
    <t>Lukas  Neubauer</t>
  </si>
  <si>
    <t>neubauer@cambell-lytyens.com</t>
  </si>
  <si>
    <t>Brienner Str. 45 a-d</t>
  </si>
  <si>
    <t xml:space="preserve">BAI Contact_x000D_
_x000D_
Campbell Lutyens is a global and independent private markets advisor, providing fund placement, secondary advisory and GP capital advisory services to leading fund managers and investors. With specialist knowledge in private equity, infrastructure, private credit and sustainable investing, the firm has a team of 230 operating from offices in London, Paris, New York, Chicago, Los Angeles, Charlotte, Hong Kong, Singapore, Tokyo, Seoul and Melbourne._x000D_
</t>
  </si>
  <si>
    <t>Michael  Anderson</t>
  </si>
  <si>
    <t>anderson@campbell-lutyens.com</t>
  </si>
  <si>
    <t xml:space="preserve">BAI Contact_x000D_
_x000D_
Campbell Lutyens is a global and independent private markets advisor, providing fund placement, secondary advisory and GP capital advisory services to leading fund managers and investors. With specialist knowledge in private equity, infrastructure, private credit and sustainable investing, the firm has a team of 230 operating from offices in London, Paris, New York, Chicago, Los Angeles, Charlotte, Hong Kong, Singapore, Tokyo, Seoul and Melbourne._x000D_
_x000D_
</t>
  </si>
  <si>
    <t>Klaus  Gierling</t>
  </si>
  <si>
    <t>kgierling@capdyn.com</t>
  </si>
  <si>
    <t>Possartstrasse 13</t>
  </si>
  <si>
    <t xml:space="preserve">BAI Contact_x000D_
Capital Dynamics is an independent global asset management firm focusing on private assets, including clean energy, private equity (primaries, secondaries co-investments) and private credit. Created in 1988, the Firm has extensive knowledge and experience developing solutions tailored to meet the exacting needs of a diverse and global client base of institutional and private wealth investors. Capital Dynamics oversees more than USD 13 billion in assets under management and advisement1, and employs approximately 150 professionals globally across 13 offices in Europe, North America, and Asia._x000D_
With over three decades of experience, Capital Dynamics has developed long-term relationships with over 350 private equity fund managers globally, enabling powerful and propriety deal flow across primaries, secondaries, co-investments, and private credit opportunities. The Firm’s clean energy platform makes direct equity investments in carbon-reducing renewable energy power generation from late-stage development to commercial operations._x000D_
Capital Dynamics is a recognized industry leader in responsible investment, receiving high marks from the UNPRI and GRESB for its Investment &amp; Stewardship Policy, and investment strategies. The Firm combines robust returns with market-leading responsible investment practices, including designing, implementing and trademarking the Capital Dynamics R-Eye™ Rating System – a unique, best-in-class approach to diligence and rating of each investment based on UNPRI principles and UN Sustainable Development Goals._x000D_
_x000D_
</t>
  </si>
  <si>
    <t>Markus  Langner</t>
  </si>
  <si>
    <t>mlangner@capdyn.com</t>
  </si>
  <si>
    <t>Bertram  Schütz</t>
  </si>
  <si>
    <t>bschuetz@capza.co</t>
  </si>
  <si>
    <t>Amiraplatz 3</t>
  </si>
  <si>
    <t xml:space="preserve">BAI Contact_x000D_
_x000D_
Created in 2004, CAPZA is an established European private investment platform focused on small &amp; mid cap companies._x000D_
 _x000D_
With €7.4 billion of assets, CAPZA puts its experience and passion for investing in businesses at the service of investors in Europe and around the world. CAPZA provides a platform of 6 complementary areas of expertise: Flex Equity, Private Debt, Growth Tech, Flex Equity Mid Market, Transition and Artemid Senior Loans._x000D_
</t>
  </si>
  <si>
    <t>Benedikt  Huber</t>
  </si>
  <si>
    <t>huber@competo-ci.de</t>
  </si>
  <si>
    <t>Karlstr. 14</t>
  </si>
  <si>
    <t xml:space="preserve">BAI Contact_x000D_
We are a bank-independent and owner-managed capital management company responsible for the management of the Competo funds._x000D_
With our real estate special AIFs, we address a homogeneous circle of professional German investors, such as foundations, family offices and medium-sized companies. The mezzanine fund is aimed at project developers who would like to integrate a capital partner for the realization of their real estate projects in Germany. The focus is on project developments in the asset classes office, residential, retail, logistics, hotel and mixed forms in the German TOP-7 cities and metropolitan regions as well as top locations in B-cities.The risk profile is designed in such a way that at the time of participation in the project, the classic requirements such as building law, advance letting or cost certainty must be fulfilled to the greatest possible extent.The mezzanine loans have a term of 6 months to three years and a fixed interest rate without profit entitlement._x000D_
_x000D_
</t>
  </si>
  <si>
    <t>Thomas  Pscherer</t>
  </si>
  <si>
    <t>pscherer@competo-ci.de</t>
  </si>
  <si>
    <t xml:space="preserve">BAI Contact_x000D_
We are a bank-independent and owner-managed capital management company responsible for the management of the Competo funds._x000D_
With our real estate special AIFs, we address a homogeneous circle of professional German investors, such as foundations, family offices and medium-sized companies. The mezzanine fund is aimed at project developers who would like to integrate a capital partner for the realization of their real estate projects in Germany. The focus is on project developments in the asset classes office, residential, retail, logistics, hotel and mixed forms in the German TOP-7 cities and metropolitan regions as well as top locations in B-cities.The risk profile is designed in such a way that at the time of participation in the project, the classic requirements such as building law, advance letting or cost certainty must be fulfilled to the greatest possible extent.The mezzanine loans have a term of 6 months to three years and a fixed interest rate without profit entitlement._x000D_
</t>
  </si>
  <si>
    <t>Nina  Dohr-Pawlowitz</t>
  </si>
  <si>
    <t>office@dcpla.com</t>
  </si>
  <si>
    <t>Prinzregentenstrasse 54</t>
  </si>
  <si>
    <t xml:space="preserve">BAI Contact_x000D_
DC Placement Advisors (DCPLA) ist ein bankenunabhängiger, europaweit agierender Platzierungsagent, spezialisiert auf die alternativen Assetklassen Infrastruktur, Private Equity, erneuerbare Energien, Immobilien und Private Debt. Die Firma bietet internationalen Investmentmanagern strategische Beratung, Markt-Positionierung sowie Fundraising-Dienstleistungen und unterstützt diese dabei, von führenden institutionellen Investoren Kapital einzuwerben._x000D_
Basierend auf langfristigen, etablierten Beziehungen zu den maßgeblichen institutionellen Investoren in Europa, schafft DC Placement Advisors für seine Kunden maßgeschneiderte Marktzugänge mit effizienter Umsetzung._x000D_
</t>
  </si>
  <si>
    <t>Symon  Godl</t>
  </si>
  <si>
    <t>s.godl@deutsche-finance.de</t>
  </si>
  <si>
    <t>Leopoldstrasse 156</t>
  </si>
  <si>
    <t>Matthias  Reicherter</t>
  </si>
  <si>
    <t>reicherter@goldingcapital.com</t>
  </si>
  <si>
    <t>Einsteinstraße 172</t>
  </si>
  <si>
    <t xml:space="preserve">BAI Contact_x000D_
_x000D_
Golding Capital Partners is one of Europe’s leading independent asset managers for alternative investments, focusing on the asset classes infrastructure, private credit, private equity, secondaries and impact. With a team of more than 200 professionals at its offices in Munich, London, Luxembourg, Milan, New York, Tokyo and Zurich, Golding Capital Partners helps institutional and professional investors to develop their investment strategy and manages more than €13.9 billion in assets. Its more than 230 investors include pension funds, insurance companies, foundations, family offices and ecclesiastical institutions, as well as banks, savings banks and cooperative banks. Golding became a signatory of the United Nations Principles for Responsible Investment (UNPRI) in 2013 and has been a supporter of the Task Force on Climate-related Financial Disclosures (TCFD) since 2021._x000D_
_x000D_
</t>
  </si>
  <si>
    <t>Susanne  Stolzenburg</t>
  </si>
  <si>
    <t>Stolzenburg@goldingcapital.com</t>
  </si>
  <si>
    <t xml:space="preserve">BAI Contact_x000D_
_x000D_
Golding Capital Partners is one of Europe’s leading independent asset managers for alternative investments, focusing on the asset classes infrastructure, private credit, private equity, secondaries and impact. With a team of more than 200 professionals at its offices in Munich, London, Luxembourg, Milan, New York, Tokyo and Zurich, Golding Capital Partners helps institutional and professional investors to develop their investment strategy and manages more than €13.9 billion in assets. Its more than 230 investors include pension funds, insurance companies, foundations, family offices and ecclesiastical institutions, as well as banks, savings banks and cooperative banks. Golding became a signatory of the United Nations Principles for Responsible Investment (UNPRI) in 2013 and has been a supporter of the Task Force on Climate-related Financial Disclosures (TCFD) since 2021._x000D_
</t>
  </si>
  <si>
    <t>Hans-Peter  Dohr</t>
  </si>
  <si>
    <t>hp.dohr@ic-ica.com</t>
  </si>
  <si>
    <t>Mauerkircherstraße 81 b</t>
  </si>
  <si>
    <t xml:space="preserve">BAI Contact_x000D_
_x000D_
ICA Institutional Capital Associates GmbH (ICA) is a private markets advisory firm founded in 2016 designed to represent a select number of industry leading alternatives fund managers. Our tailored distribution strategy provides managers effective outsourcing of their business development and fundraising endeavours, and allows for significant asset growth and deeper relationships with a broad array of diverse investors._x000D_
ICA's partners have a collective 80 years of experience investing and raising capital._x000D_
</t>
  </si>
  <si>
    <t>Mario  Weiss</t>
  </si>
  <si>
    <t>m.weiss@ic-icf.com</t>
  </si>
  <si>
    <t xml:space="preserve">BAI Contact_x000D_
_x000D_
ICA Institutional Capital Associates GmbH (ICA) is a private markets advisory firm founded in 2016 designed to represent a select number of industry leading alternatives fund managers. Our tailored distribution strategy provides managers effective outsourcing of their business development and fundraising endeavours, and allows for significant asset growth and deeper relationships with a broad array of diverse investors._x000D_
ICA's partners have a collective 80 years of experience investing and raising capital._x000D_
_x000D_
</t>
  </si>
  <si>
    <t>Alexander  Schicho</t>
  </si>
  <si>
    <t>Alexander.Schicho@kartesia.com</t>
  </si>
  <si>
    <t>Katharina-von-Bora-Str. 3</t>
  </si>
  <si>
    <t>Frantz  Paulus</t>
  </si>
  <si>
    <t>frantz.paulus@kartesia.com</t>
  </si>
  <si>
    <t>Detlef  Mackewicz</t>
  </si>
  <si>
    <t>dm@mackewicz-partner.de</t>
  </si>
  <si>
    <t>Ohmstraße 22</t>
  </si>
  <si>
    <t xml:space="preserve">BAI Contact_x000D_
_x000D_
Mackewicz &amp; Partner, Investment Advisers, versteht sich als Partner institutioneller Investoren für die Entwicklung und Umsetzung maßgeschneiderter Alternative Investment-Programme. Unser Leistungsspektrum beinhaltet die Planung von Investitions-Programmen  (Strukturierung, Asset Allokation und Aufstellung eines Investitionszeitplans), die Unterstützung bei der Umsetzung einer solchen Planung in Form von Fondsauswahl und Investitionen bis hin zur administrativen Begleitung und Betreuung des betreffenden Investitions-Programms einschließlich der investorenorientierten Interessenvertretung in entsprechenden Beteiligungsausschüssen und Aufsichtsgremien._x000D_
</t>
  </si>
  <si>
    <t>Frank  Becker</t>
  </si>
  <si>
    <t>fbecker@meag.com</t>
  </si>
  <si>
    <t>Am Münchner Tor 1</t>
  </si>
  <si>
    <t xml:space="preserve">BAI Contact_x000D_
_x000D_
MEAG is the asset manager of Munich Re and ERGO._x000D_
_x000D_
We stand for the Munich Re Group's investments: 140 years of experience, more than 100 investment managers and assets of €324 bn (as at 30 june 2023). This makes us one of the most important players in the international financial sector. MEAG manages all major asset classes, such as interest-bearing securities, equities and real estate, as well as investments in renewable energies,  infrastructure and forestry &amp; agriculture. Our worldwide presence enables us to work the market efficiently at a global level. Our investment managers pursue a stringent and risk-controlled investment approach with the aim of achieving above-average long-term performance for our investors. MEAG stands for high cost efficiency, the prerequisite for good investment results and satisfied clients._x000D_
_x000D_
MEAG as a partner to private and institutional investors._x000D_
_x000D_
MEAG is the ideal asset management partner to both private investors and institutional investors. The fund, real estate and direct investment portfolios are compiled according to earnings-based specifications from the clients. The volume of the assets we manage enables us to offer our clients inexpensive conditions and outstanding security for their investments._x000D_
</t>
  </si>
  <si>
    <t>Thomas  Bayerl</t>
  </si>
  <si>
    <t>TBayerl@MEAG.com</t>
  </si>
  <si>
    <t xml:space="preserve">BAI Contact_x000D_
_x000D_
MEAG is the asset manager of Munich Re and ERGO._x000D_
_x000D_
We stand for the Munich Re Group's investments: 140 years of experience, more than 100 investment managers and assets of €324 bn (as at 30 june 2023). This makes us one of the most important players in the international financial sector. MEAG manages all major asset classes, such as interest-bearing securities, equities and real estate, as well as investments in renewable energies,  infrastructure and forestry &amp; agriculture. Our worldwide presence enables us to work the market efficiently at a global level. Our investment managers pursue a stringent and risk-controlled investment approach with the aim of achieving above-average long-term performance for our investors. MEAG stands for high cost efficiency, the prerequisite for good investment results and satisfied clients._x000D_
_x000D_
MEAG as a partner to private and institutional investors._x000D_
_x000D_
MEAG is the ideal asset management partner to both private investors and institutional investors. The fund, real estate and direct investment portfolios are compiled according to earnings-based specifications from the clients. The volume of the assets we manage enables us to offer our clients inexpensive conditions and outstanding security for their investments._x000D_
_x000D_
</t>
  </si>
  <si>
    <t>Dörte  Höppner</t>
  </si>
  <si>
    <t>dhoppner@riversidecompany.com</t>
  </si>
  <si>
    <t>Alter Hof 5</t>
  </si>
  <si>
    <t>Florian  Kreitmeier</t>
  </si>
  <si>
    <t>florian.kreitmeier@swancap.eu</t>
  </si>
  <si>
    <t>Montgelasstrasse 14</t>
  </si>
  <si>
    <t xml:space="preserve">BAI Contact_x000D_
_x000D_
For over 20 years, the SwanCap Team has specialised in the private equity asset class with a leading track record of investment returns through multiple economic cycles. Based on trusted, long-term partnerships, SwanCap offers proven and sophisticated investment strategies in distinctive private equity segments to meet the dynamic needs of its high calibre investor base. Prominent institutional investors and large family offices rely on SwanCap to achieve attractive risk-adjusted returns on their invested capital._x000D_
_x000D_
</t>
  </si>
  <si>
    <t>Volker  Wende</t>
  </si>
  <si>
    <t>volker.wende@swancap.eu</t>
  </si>
  <si>
    <t xml:space="preserve">BAI Contact_x000D_
_x000D_
For over 20 years, the SwanCap Team has specialised in the private equity asset class with a leading track record of investment returns through multiple economic cycles. Based on trusted, long-term partnerships, SwanCap offers proven and sophisticated investment strategies in distinctive private equity segments to meet the dynamic needs of its high calibre investor base. Prominent institutional investors and large family offices rely on SwanCap to achieve attractive risk-adjusted returns on their invested capital._x000D_
</t>
  </si>
  <si>
    <t>Sandro  Bund</t>
  </si>
  <si>
    <t>Sandro.Bund@twelvecapital.com</t>
  </si>
  <si>
    <t>Theatinerstrasse 11</t>
  </si>
  <si>
    <t xml:space="preserve">BAI Contact_x000D_
_x000D_
Twelve Capital is an independent investment manager specialising in insurance investments for institutional clients. Its investment expertise covers the entire balance sheet, including Insurance Bonds, Insurance Private Debt, Catastrophe Bonds, Private Insurance-Linked Securities and Equity. It also composes Mulit-Asset portfolios. Its capital solutions are drawing the world of insurance and reinsurance into a closer, more productive relationship with capital markets. It was founded in October 2010 and is majority-owned by its employees. It has offices in Zurich, London and Munich._x000D_
</t>
  </si>
  <si>
    <t>Thomas  Frey</t>
  </si>
  <si>
    <t>thomas.frey@twelvecapital.com</t>
  </si>
  <si>
    <t xml:space="preserve">BAI Contact_x000D_
_x000D_
Twelve Capital is an independent investment manager specialising in insurance investments for institutional clients. Its investment expertise covers the entire balance sheet, including Insurance Bonds, Insurance Private Debt, Catastrophe Bonds, Private Insurance-Linked Securities and Equity. It also composes Mulit-Asset portfolios. Its capital solutions are drawing the world of insurance and reinsurance into a closer, more productive relationship with capital markets. It was founded in October 2010 and is majority-owned by its employees. It has offices in Zurich, London and Munich._x000D_
_x000D_
</t>
  </si>
  <si>
    <t>Maira  Fontes</t>
  </si>
  <si>
    <t>maira.fontes@yielco.com</t>
  </si>
  <si>
    <t>Promenadeplatz 12/3</t>
  </si>
  <si>
    <t xml:space="preserve">BAI Contact_x000D_
_x000D_
YIELCO Investments focuses on alternative investments that generate attractive, long-term predictable income. YIELCO offers multi-manager products (funds of funds), co-investments funds, managed account solutions, individual advisory services and market analysis. YIELCO helps institutional investors gain access to the world's leading fund managers and attractive transactions with a focus on the following segments within the alternatives space: investments in infrastructure, private debt and private equity. All partners have well over 15 years of international experience in the field of alternative investments. YIELCO is experiencing continuous growth in all segments and services EUR 8.9 billion in assets as per Q4 2022._x000D_
_x000D_
</t>
  </si>
  <si>
    <t>Natalie  Gnesa</t>
  </si>
  <si>
    <t>natalie.gnesa@yielco.com</t>
  </si>
  <si>
    <t xml:space="preserve">BAI Contact_x000D_
_x000D_
YIELCO Investments focuses on alternative investments that generate attractive, long-term predictable income. YIELCO offers multi-manager products (funds of funds), co-investments funds, managed account solutions, individual advisory services and market analysis. YIELCO helps institutional investors gain access to the world's leading fund managers and attractive transactions with a focus on the following segments within the alternatives space: investments in infrastructure, private debt and private equity. All partners have well over 15 years of international experience in the field of alternative investments. YIELCO is experiencing continuous growth in all segments and services EUR 8.9 billion in assets as per Q4 2022._x000D_
</t>
  </si>
  <si>
    <t>info@sgrf.gov.om</t>
  </si>
  <si>
    <t>PO Box No.188, PC 100</t>
  </si>
  <si>
    <t>Muscat</t>
  </si>
  <si>
    <t>Benjamin  Mohr</t>
  </si>
  <si>
    <t>b.mohr@creditreform-rating.de</t>
  </si>
  <si>
    <t>Europadamm 2-6</t>
  </si>
  <si>
    <t>Neuss</t>
  </si>
  <si>
    <t xml:space="preserve">BAI Contact_x000D_
_x000D_
As one of the leading European rating agencies, Creditreform Rating AG has been analyzing and assessing companies, banks, structured finance products and countries, as well as financing instruments in the asset classes infrastructure, real estate, renewable energies, logistics, aviation and structured finance for over twenty years. Currently, the company manages more than 400 rating projects covering approximately 5500 valid bonds. The company was founded in 2000 as a wholly owned subsidiary of Creditreform AG and is thus part of the Creditreform Group._x000D_
As one of the first European agencies, Creditreform Rating is seeking accreditation for the ECB Eurosystem Credit Assessment Framework (ECAF)._x000D_
</t>
  </si>
  <si>
    <t>Michael  Munsch</t>
  </si>
  <si>
    <t>m.munsch@creditreform-rating.de</t>
  </si>
  <si>
    <t>P R Jaishankar</t>
  </si>
  <si>
    <t>md@iifcl.in</t>
  </si>
  <si>
    <t>NBCC Tower, Office Block -2 _x000D_
East Kidwai Nagar</t>
  </si>
  <si>
    <t>+91 99996 73087</t>
  </si>
  <si>
    <t>New Delh 110 023</t>
  </si>
  <si>
    <t>Smruti Ranjan Behra</t>
  </si>
  <si>
    <t>Associate Project Analyst(Project Development Unit)</t>
  </si>
  <si>
    <t>sbehra@adb.org</t>
  </si>
  <si>
    <t>4 San Martin Marg, _x000D_
Chanakyapuri</t>
  </si>
  <si>
    <t>New Delhi</t>
  </si>
  <si>
    <t>Satya Prakash  Singh</t>
  </si>
  <si>
    <t>Chief General Manager, CGM</t>
  </si>
  <si>
    <t>singhsp@sidbi.in</t>
  </si>
  <si>
    <t>Atma Ram House, 1, Tolstoy Marg</t>
  </si>
  <si>
    <t xml:space="preserve">Shin Oya  </t>
  </si>
  <si>
    <t>s-oya@jbic.go.jp</t>
  </si>
  <si>
    <t>1st floor, The Metropolitan Hotel,_x000D_
Bangla Sahib Road,</t>
  </si>
  <si>
    <t xml:space="preserve">Shinya Ejima  </t>
  </si>
  <si>
    <t>2nd Floor, Dr.Gopal Das Bhawan, _x000D_
28 Barakhamba Road</t>
  </si>
  <si>
    <t xml:space="preserve">Sanjay Kulshrestha  </t>
  </si>
  <si>
    <t>CMD</t>
  </si>
  <si>
    <t>cmd@hudco.org</t>
  </si>
  <si>
    <t>core 7 A, HUDCO Bhawan,_x000D_
India Habitat Centre, Lodhi Road</t>
  </si>
  <si>
    <t>+91 8800998303</t>
  </si>
  <si>
    <t>Hoe Yun Jeong</t>
  </si>
  <si>
    <t xml:space="preserve">Deputy Country Director </t>
  </si>
  <si>
    <t>hyjeong@adb.org</t>
  </si>
  <si>
    <t>Vineet  Singhal</t>
  </si>
  <si>
    <t>vineet.singhal@nhb.org.in</t>
  </si>
  <si>
    <t>Core 5-A, India Habitat Centre,_x000D_
Lodhi Road,</t>
  </si>
  <si>
    <t>+91 9717200343</t>
  </si>
  <si>
    <t xml:space="preserve">Nandagopal Narayanasamy  </t>
  </si>
  <si>
    <t>Independent Director</t>
  </si>
  <si>
    <t>nandhanu@gmail.com</t>
  </si>
  <si>
    <t>GAIL Bhawan, 16, Bhikaiji Gama Place_x000D_
RK Puram,</t>
  </si>
  <si>
    <t xml:space="preserve">Rooma Kumar Bussi  </t>
  </si>
  <si>
    <t>Investment Advisor</t>
  </si>
  <si>
    <t>rooma.bussi@investalberta.ca</t>
  </si>
  <si>
    <t>The Ambassador, _x000D_
Subramanim Bharathi Marg,_x000D_
Sujan Singh Park,</t>
  </si>
  <si>
    <t>+91 9818859686</t>
  </si>
  <si>
    <t>British High Commission, New Delhi</t>
  </si>
  <si>
    <t xml:space="preserve">Karthik Krishnan  </t>
  </si>
  <si>
    <t>Investment Lead</t>
  </si>
  <si>
    <t>karthik.krishnan@fcdo.gov.uk</t>
  </si>
  <si>
    <t>Shanthipath, Chanakyapuri</t>
  </si>
  <si>
    <t>+91 9354691735</t>
  </si>
  <si>
    <t xml:space="preserve">Lohit Rastogi  </t>
  </si>
  <si>
    <t>lrastogi@ifc.org</t>
  </si>
  <si>
    <t>6th floor, Asset No 7, Worldmark 3,_x000D_
Aerocity</t>
  </si>
  <si>
    <t>306, 3rd floor, Worldmark 2, Asset No.8_x000D_
Hospitality District, Aerocity</t>
  </si>
  <si>
    <t>Nilaya  Mitash</t>
  </si>
  <si>
    <t>Principal Operations Coordination Specialist</t>
  </si>
  <si>
    <t>nmitash@adb.org</t>
  </si>
  <si>
    <t>+91 8448483357</t>
  </si>
  <si>
    <t xml:space="preserve">Katsushige Takahashi  </t>
  </si>
  <si>
    <t>k-takahashi@jpic.go.jp</t>
  </si>
  <si>
    <t xml:space="preserve">_x000D_
_x000D_
</t>
  </si>
  <si>
    <t xml:space="preserve">Miho Horikawa  </t>
  </si>
  <si>
    <t>Representtive</t>
  </si>
  <si>
    <t>Kasinath  Anbu</t>
  </si>
  <si>
    <t>Senior Consultant</t>
  </si>
  <si>
    <t>kanbu@worldbank.org</t>
  </si>
  <si>
    <t>70, Lodhi Estate,</t>
  </si>
  <si>
    <t>+91 9014690148</t>
  </si>
  <si>
    <t>Sourav  Majumder</t>
  </si>
  <si>
    <t>Senior Project Officer (Urban)</t>
  </si>
  <si>
    <t>smajumder@adb.org</t>
  </si>
  <si>
    <t>+91 8448393094</t>
  </si>
  <si>
    <t>Abhijit  Sankar Ray</t>
  </si>
  <si>
    <t>Senior Urban Development Specialist</t>
  </si>
  <si>
    <t>aray3@worldbank.org</t>
  </si>
  <si>
    <t>Hindustan Times Building _x000D_
(on Kasturba Gandhi Marg, _x000D_
near Connaught Place</t>
  </si>
  <si>
    <t>+91 9818198601</t>
  </si>
  <si>
    <t xml:space="preserve">Chabungbam Rajagopal Singh  </t>
  </si>
  <si>
    <t>Senior Water Resource Specialist</t>
  </si>
  <si>
    <t>csingh5@worldbank.org</t>
  </si>
  <si>
    <t>Davinder  Sandhu (IAS - Retd.)</t>
  </si>
  <si>
    <t>Sr. Advisor, Infrastructure</t>
  </si>
  <si>
    <t>Co-Founder, Primus Partners Pvt. Ltd.</t>
  </si>
  <si>
    <t>dsandhu@worldbank.org</t>
  </si>
  <si>
    <t>The World Bank, Hindustan Times House, Kasturba Gandhi Marg</t>
  </si>
  <si>
    <t>+91 98219 27850</t>
  </si>
  <si>
    <t xml:space="preserve">Nikunj Oli  </t>
  </si>
  <si>
    <t>Unit Head</t>
  </si>
  <si>
    <t>noli@adb.org</t>
  </si>
  <si>
    <t>Bouadokpheng (Toychik) Chansavat</t>
  </si>
  <si>
    <t>Unit Head, Portfolio Management</t>
  </si>
  <si>
    <t>bchansavat@adb.org</t>
  </si>
  <si>
    <t xml:space="preserve">Ashok Srivastava  </t>
  </si>
  <si>
    <t>Urban Specialist</t>
  </si>
  <si>
    <t>asirvastava@adb.org</t>
  </si>
  <si>
    <t xml:space="preserve">Amarbir Singh Anand  </t>
  </si>
  <si>
    <t>amarbir@dynamisglobal.com</t>
  </si>
  <si>
    <t>Suite 118, Ambassaor Hotel, _x000D_
Subramanian Bharati Marg,_x000D_
Sujan Singh Park,</t>
  </si>
  <si>
    <t>+91 9958365172</t>
  </si>
  <si>
    <t>Naveen  Khandelwal</t>
  </si>
  <si>
    <t>NBCC Plaza, Tower II, 2nd Floor, Pushp Vihar</t>
  </si>
  <si>
    <t>+91 9971050109</t>
  </si>
  <si>
    <t>Arijit  Dutt</t>
  </si>
  <si>
    <t>GM, Venture Finance &amp; Investment Vertical</t>
  </si>
  <si>
    <t>Arijit@Sidbi.in</t>
  </si>
  <si>
    <t>Small Industries Development Bank of India_x000D_
Atma Ram House, 1 Tolstoy Marg,</t>
  </si>
  <si>
    <t>New Delhi – 110001</t>
  </si>
  <si>
    <t>Vijay Kumar Singh</t>
  </si>
  <si>
    <t>vksingh@sidbi.in</t>
  </si>
  <si>
    <t>SIDBI_x000D_
1st Floor Atma Ram House_x000D_
1, Tolstoy Marg</t>
  </si>
  <si>
    <t>+91 91987 30909</t>
  </si>
  <si>
    <t>New Delhi 110 001</t>
  </si>
  <si>
    <t>Saravana  Kumar</t>
  </si>
  <si>
    <t>Director &amp; CEO</t>
  </si>
  <si>
    <t>skumar@nvcfl.co.in</t>
  </si>
  <si>
    <t>NSIC Bhawan_x000D_
Okhla Industrial Estate</t>
  </si>
  <si>
    <t>+91 97691 71216</t>
  </si>
  <si>
    <t>New Delhi 110 020</t>
  </si>
  <si>
    <t>Pawan K Kumar IRS</t>
  </si>
  <si>
    <t>dmd@iifcl.in</t>
  </si>
  <si>
    <t>5th Floor Office Block -2_x000D_
Plate A &amp; B, NBCC Tower_x000D_
East Kidwai Nagar</t>
  </si>
  <si>
    <t>+91 98108 51500</t>
  </si>
  <si>
    <t>New Delhi 110 023</t>
  </si>
  <si>
    <t>Apurv  Dutt</t>
  </si>
  <si>
    <t>adutt1@ifc.org</t>
  </si>
  <si>
    <t>6th Floor, Asset No.7_x000D_
Worldmark 3_x000D_
Aerocity</t>
  </si>
  <si>
    <t>+91 73030 50192</t>
  </si>
  <si>
    <t>New Delhi 110 037</t>
  </si>
  <si>
    <t xml:space="preserve">Lihkuan Lee  </t>
  </si>
  <si>
    <t>APO Affairs Dept.</t>
  </si>
  <si>
    <t>02017@cpc.org.tw</t>
  </si>
  <si>
    <t>2F., No. 79Sec.1, Xintai 5th Rd., Xizhi Dist.</t>
  </si>
  <si>
    <t>New Taipei City</t>
  </si>
  <si>
    <t>Part of Taiwanese delegation that made presentation at TNIFMC in July '24</t>
  </si>
  <si>
    <t>Paras  Jain</t>
  </si>
  <si>
    <t>Investment Banking</t>
  </si>
  <si>
    <t>paras.jain@credit-suisse.com</t>
  </si>
  <si>
    <t>Madison Avenue
Eleven</t>
  </si>
  <si>
    <t>New York</t>
  </si>
  <si>
    <t>NY</t>
  </si>
  <si>
    <t>William K. Daley</t>
  </si>
  <si>
    <t>MANAGING PARTNER</t>
  </si>
  <si>
    <t>wkdaley@atlasplacementadvisors.com</t>
  </si>
  <si>
    <t>SUITE 1000 230 PARK AVENUE</t>
  </si>
  <si>
    <t>+1 (917) 887-2515</t>
  </si>
  <si>
    <t>NEW YORK</t>
  </si>
  <si>
    <t xml:space="preserve">03 January 2024 16:52:
William K. Daley, CFA
Mercury Capital Advisors was formed by 24 professionals in October, 2009 as the successor to the Merrill Lynch Private Equity and Real Estate funds placement group. Buyouts magazine ranked the formation of Mercury as one of the most newsworthy events of 2009.
Earlier Organisations:
Mercury Capital Advisors,
Merrill Lynch Private Equity Funds Group,
GE
ATLAS PLACEMENT ADVISORS, LLC
    New York, New York
    Venture Capital &amp; Private Equity
</t>
  </si>
  <si>
    <t>Don  Segalas</t>
  </si>
  <si>
    <t>dsegalas@pinnacle-lp.com</t>
  </si>
  <si>
    <t>712 Fifth Ave - 29th FL</t>
  </si>
  <si>
    <t xml:space="preserve">BAI Contact_x000D_
_x000D_
Founded in 2003, Pinnacle Asset Management, L.P. is a private, New York-based alternative asset management firm with a focus on the global commodity markets and physical commodity-related businesses. As of July 1, 2022, Pinnacle’s AUM is $5.0bn, with a global institutional investor base that includes public and corporate pension funds, endowments, foundations, and family offices. The Firm has been managed by the same group of senior executives for 16+ years._x000D_
_x000D_
Pinnacle is an investment adviser registered with the Securities and Exchange Commission; is a commodity trading adviser and commodity pool operator registered with the Commodity Futures Trading Commission; and is a member of the National Futures Association._x000D_
</t>
  </si>
  <si>
    <t>Timothy  Faenza</t>
  </si>
  <si>
    <t>tfaenza@pinnacle-lp.com</t>
  </si>
  <si>
    <t xml:space="preserve">BAI Contact_x000D_
_x000D_
Founded in 2003, Pinnacle Asset Management, L.P. is a private, New York-based alternative asset management firm with a focus on the global commodity markets and physical commodity-related businesses. As of July 1, 2022, Pinnacle’s AUM is $5.0bn, with a global institutional investor base that includes public and corporate pension funds, endowments, foundations, and family offices. The Firm has been managed by the same group of senior executives for 16+ years._x000D_
_x000D_
Pinnacle is an investment adviser registered with the Securities and Exchange Commission; is a commodity trading adviser and commodity pool operator registered with the Commodity Futures Trading Commission; and is a member of the National Futures Association._x000D_
_x000D_
</t>
  </si>
  <si>
    <t>Daniel  Staub</t>
  </si>
  <si>
    <t>daniel.staub@nuernberger-assetmanagement.de</t>
  </si>
  <si>
    <t>Ostendstr. 100</t>
  </si>
  <si>
    <t>Nürnberg</t>
  </si>
  <si>
    <t xml:space="preserve">BAI Contact_x000D_
_x000D_
Die NÜRNBERGER Asset Management GmbH ist die Asset Management Gesellschaft des NÜRNBERGER Versicherungs-Konzerns. Sie ist die Tochtergesellschaft der NÜRNBERGER Beteiligungs-Aktiengesellschaft. Gegenstand des Unternehmens ist der Betrieb eines Finanzdienstleistungsinstituts mit Erlaubnis nach § 32 KWG. In dieser Eigenschaft ist die Gesellschaft zur Erbringung folgender Finanzdienstleistungen berechtigt:_x000D_
• Anlagevermittlung gem. § 1 Abs. 1a Satz 2 Nr. 1 KWG,_x000D_
• Anlageberatung gem. § 1 Abs. 1a Satz 2 Nr. 1a KWG,_x000D_
• Abschlussvermittlung gem. § 1 Abs. 1a Satz 2 Nr. 2 KWG und_x000D_
• Finanzportfolioverwaltung gem. § 1 Abs. 1a Satz 2 Nr. 3 KWG._x000D_
 _x000D_
Die Gesellschaft hat rund 20 Mitarbeiter und hat ihren Sitz in Nürnberg. Sie verwaltet ein Vermögen von ca. 24 Mrd. Euro._x000D_
_x000D_
</t>
  </si>
  <si>
    <t>Sebastian  Halder</t>
  </si>
  <si>
    <t>sebastian.halder@nuernberger-assetmanagement.de</t>
  </si>
  <si>
    <t xml:space="preserve">BAI Contact_x000D_
_x000D_
Die NÜRNBERGER Asset Management GmbH ist die Asset Management Gesellschaft des NÜRNBERGER Versicherungs-Konzerns. Sie ist die Tochtergesellschaft der NÜRNBERGER Beteiligungs-Aktiengesellschaft. Gegenstand des Unternehmens ist der Betrieb eines Finanzdienstleistungsinstituts mit Erlaubnis nach § 32 KWG. In dieser Eigenschaft ist die Gesellschaft zur Erbringung folgender Finanzdienstleistungen berechtigt:_x000D_
• Anlagevermittlung gem. § 1 Abs. 1a Satz 2 Nr. 1 KWG,_x000D_
• Anlageberatung gem. § 1 Abs. 1a Satz 2 Nr. 1a KWG,_x000D_
• Abschlussvermittlung gem. § 1 Abs. 1a Satz 2 Nr. 2 KWG und_x000D_
• Finanzportfolioverwaltung gem. § 1 Abs. 1a Satz 2 Nr. 3 KWG._x000D_
 _x000D_
Die Gesellschaft hat rund 20 Mitarbeiter und hat ihren Sitz in Nürnberg. Sie verwaltet ein Vermögen von ca. 24 Mrd. Euro._x000D_
</t>
  </si>
  <si>
    <t>Christopher  Bär</t>
  </si>
  <si>
    <t>christopher.baer@mpep.lu</t>
  </si>
  <si>
    <t>Keltenring 5</t>
  </si>
  <si>
    <t>Oberhaching</t>
  </si>
  <si>
    <t>David  Schäfer</t>
  </si>
  <si>
    <t>david.schaefer@mpep.lu</t>
  </si>
  <si>
    <t>Rolf  Tilmes</t>
  </si>
  <si>
    <t>rolf.tilmes@ebs.edu</t>
  </si>
  <si>
    <t>Hauptstr. 31</t>
  </si>
  <si>
    <t>Oestrich-Winkel</t>
  </si>
  <si>
    <t xml:space="preserve">BAI Contact_x000D_
_x000D_
Die EBS Executive School ist Teil der privaten, staatlich anerkannten EBS Universität für Wirtschaft und Recht. Die EBS, gegründet 1971, besteht heute aus drei Schools: der EBS Business School, der EBS Law School und der EBS Executive School._x000D_
_x000D_
Die EBS bietet eine große Bandbreite von Abschlüssen an – vom Bachelor und der ersten juristischen Prüfung über den Master, den MBA und den Executive MBA bis hin zu Weiterbildungsprogrammen. Aktuell studieren 2.200 Menschen aus der ganzen Welt am Campus in Oestrich-Winkel und Wiesbaden, 44 Professor:innen lehren und forschen und mehr als 250 Mitarbeiter:innen kümmern sich um die Einrichtung und unsere Studierenden. In der Weiterbildungsprogrammen werden jährlich knapp 10.000 Teilnehmertage durchgeführt._x000D_
</t>
  </si>
  <si>
    <t xml:space="preserve">Clarissa Dackberg  </t>
  </si>
  <si>
    <t>Investment Director</t>
  </si>
  <si>
    <t>clarissa.dackberg@cubera.se</t>
  </si>
  <si>
    <t>Cubera Private Equity AS_x000D_
P.O. box 1315</t>
  </si>
  <si>
    <t>+46 706753570</t>
  </si>
  <si>
    <t>Oslo</t>
  </si>
  <si>
    <t xml:space="preserve">Now she is in Cubera since September 2016. _x000D_
Cubera is the leading private equity fund-of-funds manager in the Nordic region. Cubera has 32 employees in Oslo and Stockholm and manages assets of EUR 5 billion. Cubera offers a broad range of specialized private equity funds; three primary programs covering International, Nordic and Impact strategies and one Nordic secondary program._x000D_
_x000D_
Earlier she was in Swed Fund International AB as investment Manager_x000D_
</t>
  </si>
  <si>
    <t>XYZ  CBC</t>
  </si>
  <si>
    <t>pension@cbcpension.ca</t>
  </si>
  <si>
    <t>CBC Pension Board of Trustees,_x000D_
919-99 Bank Street_x000D_
Ottawa</t>
  </si>
  <si>
    <t>Ottawa</t>
  </si>
  <si>
    <t>Mirja  Dick</t>
  </si>
  <si>
    <t>mirja.dick@antin-ip.com</t>
  </si>
  <si>
    <t>374 Rue St.-Honore</t>
  </si>
  <si>
    <t>Paris</t>
  </si>
  <si>
    <t xml:space="preserve">BAI Contact_x000D_
Antin Infrastructure Partners is a leading independent private equity firm focused on infrastructure investments._x000D_
_x000D_
Based in Paris, London and New York with 21 partners and a total of more than 165 professionals, we manage five funds that invest in infrastructure in Europe and North America, and target investments in the energy and environment, telecommunications, transportation and social sectors with the objective of generating attractive risk-adjusted returns for investors through a combination of capital appreciation and cash yield._x000D_
_x000D_
We take a differentiated and long-term approach to sourcing and the majority of our investments are sourced through exclusive discussions. _x000D_
_x000D_
Our team’s extensive and international experience provides access to a well-developed network across our target sectors and geographies which has enabled us to build a reputation as a reliable and trusted investor throughout the deployment of our funds._x000D_
_x000D_
We are convinced that an active value creation approach offers the best way to manage infrastructure companies. We seek to create value through an active approach to asset management whereby we work closely with management to improve our portfolio companies’ financial performance, service quality and health and safety condition_x000D_
</t>
  </si>
  <si>
    <t>Robert  Segessenmann</t>
  </si>
  <si>
    <t>robert.segessenmann@antin-ip.com</t>
  </si>
  <si>
    <t>Emmanuelle  Serhrouchni</t>
  </si>
  <si>
    <t>emmanuelle.serhrouchni@eiffel-ig.com</t>
  </si>
  <si>
    <t>22 rue de Marignan</t>
  </si>
  <si>
    <t xml:space="preserve">BAI Contact_x000D_
Eiffel Investment Group is a portfolio manager with more than €5 billion assets under management. Eiffel’s investor base consists of large institutional investors (insurance companies, mutual funds, pension funds, banks, large family offices, public investors) as well as individual investors via retail distribution channels. Backed by the Impala group founded by entrepreneur Jacques Veyrat, Eiffel Investment Group leverages its strong corporate expertise particularly in the field of energy transition, but also in the health, agri-food, and information &amp; communication technology sectors.Eiffel finances companies and their assets through four main strategies: private debt, private equity, energy transition infrastructure, and listed equities and credit. Eiffel Investment Group’s mission is to invest for a sustainable world. Its investment strategies aim to generate not only a strong financial performance but also positive and measurable social and environmental impacts.The Eiffel Investment Group has brought together a team of around 95 talented professionals based mainly in France (Paris) but also in The Netherlands (Amsterdam) and in the USA (New York)._x000D_
</t>
  </si>
  <si>
    <t>Laura  Carrere</t>
  </si>
  <si>
    <t>laura.carrere@eiffel-ig.com</t>
  </si>
  <si>
    <t xml:space="preserve">BAI Contact_x000D_
Eiffel Investment Group is a portfolio manager with more than €5 billion assets under management. Eiffel’s investor base consists of large institutional investors (insurance companies, mutual funds, pension funds, banks, large family offices, public investors) as well as individual investors via retail distribution channels. Backed by the Impala group founded by entrepreneur Jacques Veyrat, Eiffel Investment Group leverages its strong corporate expertise particularly in the field of energy transition, but also in the health, agri-food, and information &amp; communication technology sectors.Eiffel finances companies and their assets through four main strategies: private debt, private equity, energy transition infrastructure, and listed equities and credit. Eiffel Investment Group’s mission is to invest for a sustainable world. Its investment strategies aim to generate not only a strong financial performance but also positive and measurable social and environmental impacts.The Eiffel Investment Group has brought together a team of around 95 talented professionals based mainly in France (Paris) but also in The Netherlands (Amsterdam) and in the USA (New York)._x000D_
_x000D_
</t>
  </si>
  <si>
    <t>Johannes  van Eek</t>
  </si>
  <si>
    <t>jovaneek@olympiagroup.com</t>
  </si>
  <si>
    <t>41 avenue George V</t>
  </si>
  <si>
    <t>Miria Späth Werder</t>
  </si>
  <si>
    <t>miria.spaeth@omnescapital.com</t>
  </si>
  <si>
    <t>37 rue du Rocher</t>
  </si>
  <si>
    <t>Géraud  Dambrine</t>
  </si>
  <si>
    <t>geraud.dambrine@sienna-im.com</t>
  </si>
  <si>
    <t>58 Rue La Boetie Frankreich-</t>
  </si>
  <si>
    <t>Markus  Schuwerack</t>
  </si>
  <si>
    <t>markus.schuwerack@sienna-im.com</t>
  </si>
  <si>
    <t>Maximilian  Brönner</t>
  </si>
  <si>
    <t>maximilian.broenner@lgtcp.com</t>
  </si>
  <si>
    <t>Schützenstrasse 6</t>
  </si>
  <si>
    <t>Pfäffikon</t>
  </si>
  <si>
    <t xml:space="preserve">BAI Contact_x000D_
_x000D_
LGT Capital Partners is an alternative investment specialist with over USD 85 billion in assets under management and more than 600 institutional clients in 43 countries. The Firm employs over 650 professionals to manage a wide range of investment programs focusing on Private Markets (Private Equity, Private Debt, Private Infrastructure, Private Real Estate), Liquid Alternatives (Insurance-Linked Strategies, Hedge funds, Alternative Risk Premia, Equity Downside Risk Mitigation) and Multi-Asset Class Solutions (Multi-Asset/Multi-Alternative Solutions, Specialized Fixed Income, Sustainable Equities)._x000D_
_x000D_
</t>
  </si>
  <si>
    <t>Olaf  Trenner</t>
  </si>
  <si>
    <t>olaf.trenner@lgtcp.com</t>
  </si>
  <si>
    <t xml:space="preserve">BAI Contact_x000D_
_x000D_
LGT Capital Partners is an alternative investment specialist with over USD 85 billion in assets under management and more than 600 institutional clients in 43 countries. The Firm employs over 650 professionals to manage a wide range of investment programs focusing on Private Markets (Private Equity, Private Debt, Private Infrastructure, Private Real Estate), Liquid Alternatives (Insurance-Linked Strategies, Hedge funds, Alternative Risk Premia, Equity Downside Risk Mitigation) and Multi-Asset Class Solutions (Multi-Asset/Multi-Alternative Solutions, Specialized Fixed Income, Sustainable Equities)._x000D_
</t>
  </si>
  <si>
    <t>Marcel  Albert</t>
  </si>
  <si>
    <t>Marcel.Albert@helvetic-finance.ch</t>
  </si>
  <si>
    <t>Zentrum Staldenbach 5</t>
  </si>
  <si>
    <t>Pfäffikon SZ</t>
  </si>
  <si>
    <t xml:space="preserve">BAI Contact _x000D_
The HFS Helvetic Financial Services AG combines innovative Fund-Products for institutional Investors with Mezzanine-Financing for Real-Estate-Development-Projects and is a highly specialized, independent Asset-Management-Boutique for the Real-Estate sector. HFS allocates Mezzanine-Capital for Real-Estate Project-Developers in Germany and Austria._x000D_
</t>
  </si>
  <si>
    <t>Frank  Pöpplow</t>
  </si>
  <si>
    <t>frank.poepplow@federatedhermes.com</t>
  </si>
  <si>
    <t>1001 Liberty Avenue</t>
  </si>
  <si>
    <t>Pittsburgh,</t>
  </si>
  <si>
    <t xml:space="preserve">BAI Contact_x000D_
Our DNA, our culture and our history are rooted in sustainability_x000D_
_x000D_
By pioneering global stewardship, developing innovative ESG strategies and advocating for a financial system that works for all, Federated Hermes Limited has been at the forefront of investment and sustainability since 1983._x000D_
Our $680 Billion in stewardship assets under advice , ground-breaking work in ESG integration across asset classes and key role in developing the Principles for Responsible Investment (PRI) illustrate our commitment and influence._x000D_
With industry-leading investment, stewardship and advocacy experts, we aim to deliver Sustainable Wealth Creation that enriches investors, benefits society and preserves the environment – for current generations and those to come_x000D_
_x000D_
</t>
  </si>
  <si>
    <t>Stefan  Arneth</t>
  </si>
  <si>
    <t>stefan.arneth@federatedhermes.com</t>
  </si>
  <si>
    <t xml:space="preserve">BAI Contact_x000D_
Our DNA, our culture and our history are rooted in sustainability_x000D_
_x000D_
By pioneering global stewardship, developing innovative ESG strategies and advocating for a financial system that works for all, Federated Hermes Limited has been at the forefront of investment and sustainability since 1983._x000D_
Our $680 Billion in stewardship assets under advice , ground-breaking work in ESG integration across asset classes and key role in developing the Principles for Responsible Investment (PRI) illustrate our commitment and influence._x000D_
With industry-leading investment, stewardship and advocacy experts, we aim to deliver Sustainable Wealth Creation that enriches investors, benefits society and preserves the environment – for current generations and those to come_x000D_
</t>
  </si>
  <si>
    <t>Mohamed  Nizar</t>
  </si>
  <si>
    <t>smohideennizar@gmail.com</t>
  </si>
  <si>
    <t>PO Box 10055, _x000D_
Rakez Business Park</t>
  </si>
  <si>
    <t>+91 7358183424</t>
  </si>
  <si>
    <t>Ras Al Khaimah</t>
  </si>
  <si>
    <t xml:space="preserve">Hassan A AI-Jeshi  </t>
  </si>
  <si>
    <t>Acting Head of Investment Banking</t>
  </si>
  <si>
    <t>haljeshi@alistithmarcapital.com</t>
  </si>
  <si>
    <t>PO Box No.3533,_x000D_
Riyadh</t>
  </si>
  <si>
    <t>+91 966505853361</t>
  </si>
  <si>
    <t>Riyaddh</t>
  </si>
  <si>
    <t xml:space="preserve">Saad Ur-Rehman  </t>
  </si>
  <si>
    <t>Group General Manager</t>
  </si>
  <si>
    <t>surehman@alfransi.com.sa</t>
  </si>
  <si>
    <t>P.O.Box 56006,</t>
  </si>
  <si>
    <t>Riyadh</t>
  </si>
  <si>
    <t xml:space="preserve">Capital Dynamics  </t>
  </si>
  <si>
    <t>Fund of Fund</t>
  </si>
  <si>
    <t>cdpl@icapital.biz</t>
  </si>
  <si>
    <t>No.8, Robinson Road, #07-00,_x000D_
ASO Building_x000D_
Singapore</t>
  </si>
  <si>
    <t>Singapore</t>
  </si>
  <si>
    <t xml:space="preserve">Jemima T. Sy  </t>
  </si>
  <si>
    <t>Lead Public Private Partnerships Specialist</t>
  </si>
  <si>
    <t>Infrastructure Finance PPPs &amp; Guarantees</t>
  </si>
  <si>
    <t>jsy@worldbank.org</t>
  </si>
  <si>
    <t>10 Marina Boulevard #12-01, Marina Bay Financial Center Tower 2,</t>
  </si>
  <si>
    <t>+ 1 (202) 361 8350 (US)</t>
  </si>
  <si>
    <t>Ben  Lim</t>
  </si>
  <si>
    <t>#03-04 The Bencoolen 180B Bencoolen street</t>
  </si>
  <si>
    <t xml:space="preserve">Emerging Markets fund_x000D_
</t>
  </si>
  <si>
    <t xml:space="preserve">Abedalrazq (Abed) Khalil  </t>
  </si>
  <si>
    <t>Practice Manager-Urban Resilience and Land, South Asia Region</t>
  </si>
  <si>
    <t>akhalil@worldbank.org</t>
  </si>
  <si>
    <t>10, Marina Boulevard #12-01,_x000D_
Marina Bay Financial Center Tower 2,</t>
  </si>
  <si>
    <t>+1 (646) 4634659</t>
  </si>
  <si>
    <t xml:space="preserve">04 January 2024 10:47:_x000D_
_x000D_
_x000D_
------------------------------------------------------------------_x000D_
_x000D_
_x000D_
</t>
  </si>
  <si>
    <t>Chris  Loo</t>
  </si>
  <si>
    <t>Principal</t>
  </si>
  <si>
    <t>chris_loo@infrastructureasia.org</t>
  </si>
  <si>
    <t>230, Victoria Street, #09-00_x000D_
Bugis Junction Office Tower,</t>
  </si>
  <si>
    <t>65 9797 6129</t>
  </si>
  <si>
    <t>Lim  Kaiheng</t>
  </si>
  <si>
    <t>Senior Lead</t>
  </si>
  <si>
    <t>lim_kaiheng@infrastructureasia.org</t>
  </si>
  <si>
    <t>230 Victoria Street, #09-00_x000D_
Bugis Junction Office Tower</t>
  </si>
  <si>
    <t>+65 97624206</t>
  </si>
  <si>
    <t>Alex  Lee</t>
  </si>
  <si>
    <t>alexlee@axiomasia.com</t>
  </si>
  <si>
    <t>16 Collyer Quay #11-02</t>
  </si>
  <si>
    <t xml:space="preserve">BAI Contact_x000D_
Axiom Asia is an independent fund management firm focused on investing in the Asia Pacific region. Established in 2006, Axiom Asia currently manages five private equity fund-of-funds and one co-investment fund with total commitments of US$5.2 billion._x000D_
Axiom offers investors access to top-tier Asian-focused private equity funds that can provide attractive long-term risk-adjusted returns. We invest in mid-market country-focused funds across buyout, growth and venture capital. In addition to making commitments to primary funds, Axiom also selectively executes secondary transactions as well as direct investments to enhance overall returns.   _x000D_
We are one of Asia’s most local and experienced PE investment teams. Axiom’s Managing Partners have been investing in Asia since 1997 and have previously worked in sovereign wealth funds, global secondary funds, investment banks and in venture capital._x000D_
Our limited partners include endowments, foundations, family offices, pensions and financial institutions, in Europe, US and rest of the world._x000D_
_x000D_
</t>
  </si>
  <si>
    <t>Debbi  Sutuntivorakoon</t>
  </si>
  <si>
    <t>debbi@axiomasia.com</t>
  </si>
  <si>
    <t xml:space="preserve">BAI Contact_x000D_
Axiom Asia is an independent fund management firm focused on investing in the Asia Pacific region. Established in 2006, Axiom Asia currently manages five private equity fund-of-funds and one co-investment fund with total commitments of US$5.2 billion._x000D_
Axiom offers investors access to top-tier Asian-focused private equity funds that can provide attractive long-term risk-adjusted returns. We invest in mid-market country-focused funds across buyout, growth and venture capital. In addition to making commitments to primary funds, Axiom also selectively executes secondary transactions as well as direct investments to enhance overall returns.   _x000D_
We are one of Asia’s most local and experienced PE investment teams. Axiom’s Managing Partners have been investing in Asia since 1997 and have previously worked in sovereign wealth funds, global secondary funds, investment banks and in venture capital._x000D_
Our limited partners include endowments, foundations, family offices, pensions and financial institutions, in Europe, US and rest of the world._x000D_
</t>
  </si>
  <si>
    <t>International Finance Corporation</t>
  </si>
  <si>
    <t>Thomas Edward Lubeck</t>
  </si>
  <si>
    <t>Regional Manager, Transaction Advisory Services</t>
  </si>
  <si>
    <t>tlubeck@ifc.org</t>
  </si>
  <si>
    <t>10 Marina Boulevard #11-01_x000D_
Marina Bay Financial Centre Tower 2</t>
  </si>
  <si>
    <t>+1 (202) 378 8165 (USA)</t>
  </si>
  <si>
    <t>Singapore 018</t>
  </si>
  <si>
    <t xml:space="preserve">Udayakumar P  </t>
  </si>
  <si>
    <t>Former CMD &amp; Director (Planning &amp; Mktg.)</t>
  </si>
  <si>
    <t>Former Chairman, BIBCOL Restructuring Committee; Advisor - AHIRC, Govt. of Puducherry; Director Exhicon Events</t>
  </si>
  <si>
    <t>spmuday@gmail.com</t>
  </si>
  <si>
    <t>1st Fl, La Place Creole Building, Rodney Bay</t>
  </si>
  <si>
    <t>+ 91 88262 22330; + 91 89255 32556</t>
  </si>
  <si>
    <t>St. Lucia</t>
  </si>
  <si>
    <t>met during meeting of United India Chairperson Chennai &amp; also Met EuroExim Bank Team at ICC BFSI Conference in Chennai, July 2024</t>
  </si>
  <si>
    <t>Maria  Håkansson</t>
  </si>
  <si>
    <t>maria.hakansson@swedfund.se</t>
  </si>
  <si>
    <t>PO Box No.3286,_x000D_
Drottninggatan 92-94</t>
  </si>
  <si>
    <t>+46 (8) 725 94 07</t>
  </si>
  <si>
    <t>Stockholm</t>
  </si>
  <si>
    <t>Fredrik  Linton</t>
  </si>
  <si>
    <t>Chief Business Development &amp; Special Operations Officer</t>
  </si>
  <si>
    <t>fredrik.linton@swedfund.se</t>
  </si>
  <si>
    <t>+46 (8) 725 94 29</t>
  </si>
  <si>
    <t>Gunilla  Nilsson</t>
  </si>
  <si>
    <t>Gunilla Nilsson</t>
  </si>
  <si>
    <t>gunilla.nilsson@swedfund.se</t>
  </si>
  <si>
    <t>+46 (8) 725 94 33</t>
  </si>
  <si>
    <t xml:space="preserve">Henrik Nordlander  </t>
  </si>
  <si>
    <t>Third Swedish National Pension Fund_x000D_
Box 1176</t>
  </si>
  <si>
    <t>+254 (0) 714766323</t>
  </si>
  <si>
    <t xml:space="preserve">,_x000D_
Now he is in Third Swedish National Pension Fund / AP3_x000D_
_x000D_
Earlier he was in Swed Fund International AB as Investment manager_x000D_
</t>
  </si>
  <si>
    <t>Manuel  Köppel</t>
  </si>
  <si>
    <t>m.koeppel@bf-direkt.de</t>
  </si>
  <si>
    <t>Friedrichstr. 23 a</t>
  </si>
  <si>
    <t>Stuttgart</t>
  </si>
  <si>
    <t xml:space="preserve">BAI Contact_x000D_
Die BF.capital GmbH ist ein Investmentmanager für institutionelle Investoren. Über individuelle Fondslösungen bieten wir diesen Zugang zur Assetklasse Real Estate Debt. Durch qualifizierte Prozesse bezüglich Deal-Sourcing, Strukturierung und Bestandsbetreuung sorgt die BF.capital für ein attraktives Rendite-/Risikoprofil auf Portfolioebene. Die derzeitigen Fonds der BF.capital verfügen über Kapitalzusagen von insgesamt über EUR 500 Mio. und investieren in Whole Loan- und Mezzanine-Darlehen, die überwiegend zur Begleitung von Wertschöpfungsphasen an der Immobilie eingesetzt werden. Der Regionale Schwerpunkt liegt auf den deutschen A-Standorten (jeweils Metropolregionen), darüber hinaus können auch Vorhaben an attraktiven B- sowie selektiv C- und D-Standorten begleitet werden._x000D_
</t>
  </si>
  <si>
    <t>Hans-Henning  Brand</t>
  </si>
  <si>
    <t>hans-henning.brand@lbbw-am.de</t>
  </si>
  <si>
    <t>Pariser Platz 1, Haus 5</t>
  </si>
  <si>
    <t xml:space="preserve">David Roseman  </t>
  </si>
  <si>
    <t>Global Head, Infrastructure, Utilities &amp; Renewable</t>
  </si>
  <si>
    <t>alisa.zammit@macquatie.com</t>
  </si>
  <si>
    <t>No.1, Martin Place,_x000D_
Sydney NSW 2000</t>
  </si>
  <si>
    <t>Anna van Saksenlaan, 71_x000D_
P.O.Box 93060_x000D_
2509 AB</t>
  </si>
  <si>
    <t>+0031 703149792</t>
  </si>
  <si>
    <t>The Hague</t>
  </si>
  <si>
    <t>+31 651796867</t>
  </si>
  <si>
    <t xml:space="preserve">Tony Bakels  </t>
  </si>
  <si>
    <t>t.bakels@fmo.nl</t>
  </si>
  <si>
    <t>+0031 652446911</t>
  </si>
  <si>
    <t>Mark  Vernest</t>
  </si>
  <si>
    <t>Associate</t>
  </si>
  <si>
    <t>mvernest@jacobsecurities.com</t>
  </si>
  <si>
    <t>199 Bay St, Suite 2901. Commerce Court West, PO Box 322</t>
  </si>
  <si>
    <t>Toronto</t>
  </si>
  <si>
    <t>ON</t>
  </si>
  <si>
    <t xml:space="preserve">Referred by Sanjiv_x000D_
Sri Lankan IPP secures debt financing from Netherland's FMO (31 Oct 2008)_x000D_
Netherlands Development Finance Company has said that it will provide USD 55m debt financing for South Asia Energy Management Systems' portfolio of 12 small hydro power projects. _x000D_
SAEMS is a US-headquartered firm focused on acquisition and development of small hydro and other renewable energy projects with the initial focus on Sri Lanka._x000D_
The firm currently has eleven small hydro projects in Sri Lanka and one in Uganda with a combined capacity of 58MW. All projects are run of the river schemes._x000D_
While SAEMS acquired five SHPs which are operational (18.5MW), four are currently under construction (29.3MW) and three are under development (10.2MW). _x000D_
The total cost of projects is nearly USD 83.5m._x000D_
Source: Company/organisation statement _x000D_
Please do not hesitate if you have any questions. We will be happy to pass along further information (detailed project level and company level financial details, company models, consultants' reports, hydrology studies, and details of the company's US$55 million senior and subordinated debt package, as well as any additional diligence materials required) upon receiving a signed copy of the NDA._x000D_
Best Regards,_x000D_
Mark Vernest_x000D_
Associate. Jacob &amp; Company Securities Inc._x000D_
199 Bay St, Suite 2901. _x000D_
Commerce Court West, PO Box 322._x000D_
Toronto, ON M5L 1G1_x000D_
Tel.: (416) 866-8346 Fax: (416) 866-8333_x000D_
Email: mvernest@jacobsecurities.com_x000D_
_x000D_
</t>
  </si>
  <si>
    <t>Nico  Baader</t>
  </si>
  <si>
    <t>Nico.Baader@baaderbank.de</t>
  </si>
  <si>
    <t>Weihenstephaner Strasse 4</t>
  </si>
  <si>
    <t>Unterschleißheim</t>
  </si>
  <si>
    <t xml:space="preserve">BAI Contact_x000D_
_x000D_
As an independent and family-owned investment bank Baader Bank AG is the leading specialist for securities trading in Germany. Equipped with a full banking licence Baader Bank assists asset managers and investment companies with brokerage services in all asset classes to support the successful implementation of trading strategies. Medium-sized enterprises are offered capital market services. Furthermore, Baader Bank is the partner for independent asset manager and offers institutional investors access to promising investment solutions, such as:_x000D_
Volatility Strategies, Fixed Income Strategies, Equity Strategies and Multi-Strategy. Investors are serviced by a team specialized in alternative investments and absolute return strategies and are provided with access to a large number of fund solutions for their specific asset allocation. Our current product partners are: Arrow Capital Management Inc., BCM &amp; Partners LLP, Conservative Concept Portfolio Management AG, Ithuba Capital AG, MFI Asset Management GmbH, MG Alpha Advisory GmbH and Signet Capital Management Ltd._x000D_
_x000D_
Baader Bank is a member of the Deposit Protection Fund maintained by the Association of German Banks (EdB)._x000D_
_x000D_
</t>
  </si>
  <si>
    <t>AG, Strauchgasse 3,  1011,</t>
  </si>
  <si>
    <t>Vienna</t>
  </si>
  <si>
    <t>Constatin Freiherr von Wendt</t>
  </si>
  <si>
    <t>Constantin.Wendt@salm-salm.de</t>
  </si>
  <si>
    <t>Schlossstraße 3</t>
  </si>
  <si>
    <t>Wallhausen</t>
  </si>
  <si>
    <t xml:space="preserve">BAI Contact_x000D_
_x000D_
Salm Global Timber GmbH was founded in January 2021 and is an expert for global investments in land and forestry._x000D_
_x000D_
As an asset manager, the company takes care of the search, evaluation, acquisition as well as the long-term and sustainable management of corresponding areas. _x000D_
_x000D_
The target regions for the purchase of forest and agricultural land span Europe, North America and Oceania._x000D_
_x000D_
With a professional team in the offices in Wallhausen (Germany), Atlanta (USA) and Waverly (New Zealand) Salm Global Timber GmbH develops tailor-made solutions for institutional investors as well as for family offices._x000D_
</t>
  </si>
  <si>
    <t>Mathias  Schwermer</t>
  </si>
  <si>
    <t>Mathias.Schwermer@salm-salm.de</t>
  </si>
  <si>
    <t xml:space="preserve">BAI Contact_x000D_
_x000D_
Salm Global Timber GmbH was founded in January 2021 and is an expert for global investments in land and forestry._x000D_
_x000D_
As an asset manager, the company takes care of the search, evaluation, acquisition as well as the long-term and sustainable management of corresponding areas. _x000D_
_x000D_
The target regions for the purchase of forest and agricultural land span Europe, North America and Oceania._x000D_
_x000D_
With a professional team in the offices in Wallhausen (Germany), Atlanta (USA) and Waverly (New Zealand) Salm Global Timber GmbH develops tailor-made solutions for institutional investors as well as for family offices._x000D_
_x000D_
</t>
  </si>
  <si>
    <t>Lorent  Meksi</t>
  </si>
  <si>
    <t>lmeksi@efficient.com</t>
  </si>
  <si>
    <t>4355 Weaver Parkway, Suite 200</t>
  </si>
  <si>
    <t>Warrenville,</t>
  </si>
  <si>
    <t>Michael  Marcey</t>
  </si>
  <si>
    <t>mmarcey@efficient.com</t>
  </si>
  <si>
    <t>Maria  Raab</t>
  </si>
  <si>
    <t>maria.raab@commerzreal.com</t>
  </si>
  <si>
    <t>Friedrichstraße 25</t>
  </si>
  <si>
    <t>Wiesbaden</t>
  </si>
  <si>
    <t xml:space="preserve">BAI Contact_x000D_
Commerz Real is a subsidiary of German Commerzbank AG with 50 years of market experience and approximately 35 billion euros in assets under management. The company combines comprehensive know-how in asset management and a broad-based structuring expertise to deliver its signature range of services of fund products focused on tangibles and bespoke financing solutions. The fund spectrum includes the open-ended real estate fund Hausinvest, Germany’s first retail impact fund for real assets Klimavest, institutional investment products as well as entrepreneurial participations in real estate, regenerative energy and ships. In its role as leasing company of Commerzbank Group, Commerz Real offers tailored equipment leasing concepts._x000D_
</t>
  </si>
  <si>
    <t>Manuel  Nick</t>
  </si>
  <si>
    <t>info@nick-beteiligungen.de</t>
  </si>
  <si>
    <t>Kaiser-Friedrich-Ring 26</t>
  </si>
  <si>
    <t xml:space="preserve">BAI Contact_x000D_
_x000D_
We are a specialist institutional placing agent for non-traditional investment alternatives. As a financial services company we are supervised by the German government’s regulatory authority for financial companies (BaFin). We solely place alternative assets, such as Private Equity, Venture Capital and Hedge Fund products._x000D_
</t>
  </si>
  <si>
    <t>Danielle  Baleeiro</t>
  </si>
  <si>
    <t>danielle.baleeiro@cfprivateequity.com</t>
  </si>
  <si>
    <t>15 Old Danbury Road</t>
  </si>
  <si>
    <t>Wilton</t>
  </si>
  <si>
    <t xml:space="preserve">BAI Contact_x000D_
_x000D_
Since Commonfund Capital's founding in 1988, our mission has remained the same:  Seek to provide quality investment solutions in private equity, venture capital and real assets and sustainability.  Commonfund Capital has managed $20.0 Billion in committed capital since inception. With a staff over 50, we believe we partner with some of the world's leading investment managers to offer a suite of private investment programs–complete solutions, strategy specific portfolios, specialized programs and separate accounts.  Commonfund Capital combines experience and expertise across a tenured team of senior private capital professionals.  We are privileged to partner with both leading general partners in our industry and a prominent set of institutional investors._x000D_
</t>
  </si>
  <si>
    <t>Miriam  Schmitter</t>
  </si>
  <si>
    <t>miriam.schmitter@cfprivateequity.com</t>
  </si>
  <si>
    <t>Dominique  Candrian</t>
  </si>
  <si>
    <t>dcandrian@eicpower.com</t>
  </si>
  <si>
    <t>Seefeldstrasse 19</t>
  </si>
  <si>
    <t>Zurich</t>
  </si>
  <si>
    <t xml:space="preserve">TC's cpontact_x000D_
_x000D_
_x000D_
Dr. Dominique Candrian, CFA_x000D_
Managing Director_x000D_
EIC Partners AG_x000D_
Seefeldstrasse 19_x000D_
CH-8008 Zurich_x000D_
Tel. +41-43-844 10 02_x000D_
Fax. +41-43-844 10 01_x000D_
www.eicpower.com_x000D_
_x000D_
&lt;dcandrian@eicpower.com_x000D_
_x000D_
</t>
  </si>
  <si>
    <t>Sebastian  Carneiro</t>
  </si>
  <si>
    <t>info@solas.capital</t>
  </si>
  <si>
    <t>Seestraße 353</t>
  </si>
  <si>
    <t>Zürich</t>
  </si>
  <si>
    <t xml:space="preserve">BAI Contact_x000D_
_x000D_
Solas Capital is a specialist investment advisory firm dedicated to SFDR Article 9 eligible impact investments, founded and managed by professionals from the energy efficiency financing sector. Through the development of innovative financing solutions Solas Capital’s mission is to support the move to a carbon neutral society. By understanding both the funding needs of energy efficiency projects and the requirements of institutional investors, Solas Capital bridges the gap between investors and projects. As a company managed by its owners with longstanding experience in Energy Efficiency, it cooperates with its clients in the building and industrial sector for implementing energy efficiency and PV self-consumption projects. Solas Capital is the investment advisor to the Solas Sustainable Energy Fund, which is supported by the European Investment Bank and the LIFE-programme of the European Commission._x000D_
</t>
  </si>
  <si>
    <t>Emanuel  Eftimiu</t>
  </si>
  <si>
    <t>emanuel.eftimiu@alpha-associates.ch</t>
  </si>
  <si>
    <t>Bahnhofstrasse 13</t>
  </si>
  <si>
    <t xml:space="preserve">BAI Contact_x000D_
Alpha Associates is an independent manager and advisor for investments in private equity, private debt and infrastructure based in Zurich with a team of 50 professionals. The company is owned by its founding and managing partners and is a manager of collective assets approved by the Swiss Financial Market Supervisory Authority FINMA. We manage private equity, private debt and infrastructure funds of funds as well as tailor-made investment programs (managed accounts) for a global, institutional client base. We make primary fund investments, buy mature fund interests in secondary transactions and make direct co-investments._x000D_
</t>
  </si>
  <si>
    <t>Eva  Schmithausen</t>
  </si>
  <si>
    <t>eva.schmithausen@blueorchard.com</t>
  </si>
  <si>
    <t>Seefeldstrasse 233</t>
  </si>
  <si>
    <t xml:space="preserve">BAI Contact_x000D_
BlueOrchard ist ein weltweit führender Impact Investment Manager mit Hauptsitz in Zürich und seit 2019 Teil der Schroders Gruppe. Das Unternehmen wurde 2001 auf Initiative der Vereinten Nationen als weltweit erster kommerzieller Mikrofinanzmanager gegründet. BlueOrchards Mission ist es die Lebensbedingungen in Schwellenländern durch nachhaltige Wachstumsförderung zu verbessern und die Inklusion möglichst vieler Menschen an das Bankensystem zu ermöglichen._x000D_
_x000D_
_x000D_
Heute verwaltet BlueOrchard den größten Mikrofinanzfonds der Welt und hat Impact Investmentlösungen in den Asset Klassen Private Debt, Private Equity und nachhaltige Infrastruktur entwickelt. BlueOrchard ist auch Partner globaler Entwicklungsbanken für die Verwaltung innovativer Blended Finance Mandate._x000D_
_x000D_
</t>
  </si>
  <si>
    <t>Steffen  Klawitter</t>
  </si>
  <si>
    <t>steffen.klawitter@blueorchard.com</t>
  </si>
  <si>
    <t>Ralph  Kretschmer</t>
  </si>
  <si>
    <t>ralph.kretschmer@ebg-is.com</t>
  </si>
  <si>
    <t>Bellerivestraße 29</t>
  </si>
  <si>
    <t>Daniel  Sayar</t>
  </si>
  <si>
    <t>Daniel.Sayar@energy-infrastructure-partners.lu</t>
  </si>
  <si>
    <t>Paradeplatz 5</t>
  </si>
  <si>
    <t xml:space="preserve">BAI Contact_x000D_
Energy Infrastructure Partners AG is a Switzerland-based manager of collective assets focused on long-term equity investments in high-quality, large-scale renewables and system-critical energy infrastructure assets. Our strategy and investment horizon align with the lifetime of the underlying assets and generate visible cash flows. With over CHF 5 billion under management, EIP leverages an extensive industry network, broad transaction experience and partnerships with leading energy companies and the public sector to develop and manage investment solutions for institutional investors globally. EIP’s investor base includes pension funds, insurance companies and large family offices, who are increasingly interested in contributing to security of the energy supply as a pathway to create positive economic, ecological and social developments, and whose long-term funding needs closely match the energy infrastructure asset class_x000D_
_x000D_
</t>
  </si>
  <si>
    <t>Michael  Henning</t>
  </si>
  <si>
    <t>Michael.Hennig@energy-infrastructure-partners.lu</t>
  </si>
  <si>
    <t>Marc  Dellmann</t>
  </si>
  <si>
    <t>marc.dellmann@nio.partners</t>
  </si>
  <si>
    <t>Florastrasse 14_x000D_
Schweiz</t>
  </si>
  <si>
    <t xml:space="preserve">BAI Contact_x000D_
_x000D_
Nordic Investment Opportunities (NIO) is a Scandinavian Private Market Asset Manager, focusing on small and mid-size institutional as well as private investors. Through our investor portal, private market investments become more accessible specifically in the Affluent and HNW client space where we work with distribution partners (B2B2C). NIO provides both single- and multi-assets private market investment solutions with contingent liquidity and offers preferential access to contemporary thematic offerings like renewable energy, sustainable real estate or impact private equity. NIO´s investment approach is driven by a strong commitment to sustainability and ESG. Today, NIO manages private market portfolios for family offices, foundations and HNWIs primarily in Scandinavia and DACH, with approximately 20% of our investment solutions invested by NIO's owners and employees. NIO (www.nio.partners) was established in 2018 by the founders of Copenhagen Infrastructure Partners, "CIP" (www.cipartners.dk), Nordic Real Estate Partners “NREP” (www.nrep.com) and the family office Lind Invest (www.lind-invest.dk)._x000D_
</t>
  </si>
  <si>
    <t>Angela  Kehrli</t>
  </si>
  <si>
    <t>Angela.Kehrli@Schroders.com</t>
  </si>
  <si>
    <t>Affolternstrasse 56</t>
  </si>
  <si>
    <t xml:space="preserve">BAI Contact_x000D_
_x000D_
Schroders Capital is the private markets investment division of Schroders, the global asset management group._x000D_
_x000D_
Schroders Capital provides access to a comprehensive range of risk-return profiles and sustainability and impact outcomes, under one roof and with global reach. Addressing varying needs, our strategies are designed as standalone building blocks that can be accessed through co-mingled funds, or as a part of bespoke portfolio solutions that we build for specific outcomes._x000D_
_x000D_
Our offering sits across the four distinct business segments of Private Equity, Real Estate, Private Debt &amp; Credit Alternatives, and Infrastructure, with two transversal capabilities of ‘Solutions’ and ‘Sustainability &amp; Impact’– enabling us to combine investments into bespoke solutions for institutional and private clients and to provide access to an unmatched range of sustainable and impact investing opportunities._x000D_
_x000D_
The team aims to achieve sustainable returns through a rigorous approach and in alignment with a culture characterised by performance, collaboration and integrity._x000D_
_x000D_
</t>
  </si>
  <si>
    <t>Kathrin  Keil</t>
  </si>
  <si>
    <t>kathrin.keil@schroders.com</t>
  </si>
  <si>
    <t xml:space="preserve">BAI Contact_x000D_
_x000D_
Schroders Capital is the private markets investment division of Schroders, the global asset management group._x000D_
_x000D_
Schroders Capital provides access to a comprehensive range of risk-return profiles and sustainability and impact outcomes, under one roof and with global reach. Addressing varying needs, our strategies are designed as standalone building blocks that can be accessed through co-mingled funds, or as a part of bespoke portfolio solutions that we build for specific outcomes._x000D_
_x000D_
Our offering sits across the four distinct business segments of Private Equity, Real Estate, Private Debt &amp; Credit Alternatives, and Infrastructure, with two transversal capabilities of ‘Solutions’ and ‘Sustainability &amp; Impact’– enabling us to combine investments into bespoke solutions for institutional and private clients and to provide access to an unmatched range of sustainable and impact investing opportunities._x000D_
_x000D_
The team aims to achieve sustainable returns through a rigorous approach and in alignment with a culture characterised by performance, collaboration and integrity._x000D_
</t>
  </si>
  <si>
    <t>Paul  Kearney</t>
  </si>
  <si>
    <t xml:space="preserve">BAI Contact_x000D_
_x000D_
Solas Capital is a specialist investment advisory firm dedicated to SFDR Article 9 eligible impact investments, founded and managed by professionals from the energy efficiency financing sector. Through the development of innovative financing solutions Solas Capital’s mission is to support the move to a carbon neutral society. By understanding both the funding needs of energy efficiency projects and the requirements of institutional investors, Solas Capital bridges the gap between investors and projects. As a company managed by its owners with longstanding experience in Energy Efficiency, it cooperates with its clients in the building and industrial sector for implementing energy efficiency and PV self-consumption projects. Solas Capital is the investment advisor to the Solas Sustainable Energy Fund, which is supported by the European Investment Bank and the LIFE-programme of the European Commission._x000D_
_x000D_
</t>
  </si>
  <si>
    <t>Matthias  Erb</t>
  </si>
  <si>
    <t>matthias.erb@stepstonegroup.com</t>
  </si>
  <si>
    <t>Klausstrasse 4</t>
  </si>
  <si>
    <t xml:space="preserve">BAI Contact_x000D_
_x000D_
StepStone Group ("StepStone" or the "Firm") is a publicly-listed global private markets investment firm focused on providing customized investment solutions and advisory and data services to our clients. The Firm oversees over US$548 billion of private capital allocations, including more than US$127 billion of assets under management, as of December 31, 2021. In 2020, StepStone allocated more than US$75 billion across fund investments, secondary investments and co-investments on behalf of some of the world’s most influential and sophisticated investors,  _x000D_
StepStones private debt strategy is differentiated primarily by its multi-manager approach and the StepStone private debt platform, which is based on managed accounts with over 30 GPs. The main advantages of the managed account platform are: efficient portfolio construction and re-investment, quality assurance and control, high diversification and attractive economies of scale. In addition, the platform offers flexibility with regard to GPs and investment universe depending on the market situation (dynamic redistribution of commitments possible), scalability and optimization from a tax, regulatory and accounting perspective._x000D_
</t>
  </si>
  <si>
    <t>Veith  Riebow</t>
  </si>
  <si>
    <t>Veith.riebow@stepstonegroup.com</t>
  </si>
  <si>
    <t xml:space="preserve">BAI Contact_x000D_
_x000D_
StepStone Group ("StepStone" or the "Firm") is a publicly-listed global private markets investment firm focused on providing customized investment solutions and advisory and data services to our clients. The Firm oversees over US$548 billion of private capital allocations, including more than US$127 billion of assets under management, as of December 31, 2021. In 2020, StepStone allocated more than US$75 billion across fund investments, secondary investments and co-investments on behalf of some of the world’s most influential and sophisticated investors,  _x000D_
StepStones private debt strategy is differentiated primarily by its multi-manager approach and the StepStone private debt platform, which is based on managed accounts with over 30 GPs. The main advantages of the managed account platform are: efficient portfolio construction and re-investment, quality assurance and control, high diversification and attractive economies of scale. In addition, the platform offers flexibility with regard to GPs and investment universe depending on the market situation (dynamic redistribution of commitments possible), scalability and optimization from a tax, regulatory and accounting perspective._x000D_
_x000D_
</t>
  </si>
  <si>
    <t>Christian  Wagner</t>
  </si>
  <si>
    <t>c.wagner@susi-partners.com</t>
  </si>
  <si>
    <t>Greencity, Maneggstrasse 17</t>
  </si>
  <si>
    <t xml:space="preserve">BAI Contact_x000D_
_x000D_
Founded in 2009, SUSI Partners is a Swiss-based investment manager specialised in sustainable energy infrastructure investments with EUR 1.9bn in capital commitments from institutional investors. The firm’s investment strategy focuses on private equity and credit opportunities across the energy transition spectrum, including clean energy generation, energy efficiency measures, and solutions enabling clean energy use. With a successful track record of more than 140 transactions in over 20 countries to date, SUSI Partners seeks to achieve attractive risk-adjusted returns for its clients and their beneficiaries while contributing meaningfully to achieving global climate neutrality._x000D_
</t>
  </si>
  <si>
    <t xml:space="preserve"> IFU </t>
  </si>
  <si>
    <t>Emil  Sierczynski</t>
  </si>
  <si>
    <t>ems@ifu.dk</t>
  </si>
  <si>
    <t>Ganesh  R</t>
  </si>
  <si>
    <t>AGM</t>
  </si>
  <si>
    <t>radhakrishnan.ganesh@sbi.co.in</t>
  </si>
  <si>
    <t>+91 9176635422</t>
  </si>
  <si>
    <t>George  Maltezos</t>
  </si>
  <si>
    <t>Asia Head</t>
  </si>
  <si>
    <t>maltezos@campbell-lutyens.com</t>
  </si>
  <si>
    <t>+61 (403) 189 116</t>
  </si>
  <si>
    <t xml:space="preserve">_x000D_
Spoke with him in the past_x000D_
_x000D_
HK Mobile:  _x000D_
AU Mobile:  _x000D_
_x000D_
</t>
  </si>
  <si>
    <t>Michael  Koortens</t>
  </si>
  <si>
    <t>MKoortens@Omers.com</t>
  </si>
  <si>
    <t xml:space="preserve">Mike joined the Singapore OMERS Infrastructure team in 2018, and is involved in sourcing and executing investment opportunities in Asia. Prior to joining OMERS, Mike gained over five years of infrastructure investing experience at Macquarie and Ontario Teachers’ Pension Plan in London. Mike holds a Master’s Degree in Financial Economics from the Erasmus University of Rotterdam, and a Bachelor’s in Economics and Business from the Rijks University of Groningen._x000D_
</t>
  </si>
  <si>
    <t>Shadi Yunus  Ghanem</t>
  </si>
  <si>
    <t>Board Member (Director of Project)</t>
  </si>
  <si>
    <t>shadiyu@alsimacapitalgroup.com</t>
  </si>
  <si>
    <t>+97158 8251232</t>
  </si>
  <si>
    <t>Doha</t>
  </si>
  <si>
    <t xml:space="preserve">03 January 2024 16:52:_x000D_
 _x000D_
Connection of Seshadri Akella_x000D_
_x000D_
 Qatar_x000D_
skype: _x000D_
Hotline/whatsapp: _x000D_
_x000D_
_x000D_
------------------------------------------------------------------_x000D_
</t>
  </si>
  <si>
    <t>Arvinder  Sood</t>
  </si>
  <si>
    <t>asood@hansq.com</t>
  </si>
  <si>
    <t>+65 (9710) 8830</t>
  </si>
  <si>
    <t xml:space="preserve">+44 7785 394 084_x000D_
+65 9710 8830_x000D_
 _x000D_
Arvinder Sood,_x000D_
CEO_x000D_
Hanover Square Capital (UK) Ltd,_x000D_
Authorised and regulated by the FCA (211690)_x000D_
180 Piccadilly,_x000D_
London W1J 9HF,_x000D_
United Kingdom_x000D_
 _x000D_
Tel: + 44 (0)20 7930 4695;_x000D_
Fax: +44 (0)20 7283 6425,_x000D_
Email: asood@hansq.com_x000D_
www.hansq.com_x000D_
</t>
  </si>
  <si>
    <t>Henrik  Baltscheffsky</t>
  </si>
  <si>
    <t>Henrik.Baltscheffsky@hexicon.eu</t>
  </si>
  <si>
    <t xml:space="preserve">03 January 2024 16:52:_x000D_
Intro by Tony Singh_x000D_
------------------------------------------------------------------_x000D_
Intro by Tony Singh_x000D_
</t>
  </si>
  <si>
    <t>Alastair  Brown</t>
  </si>
  <si>
    <t>Alastair.Brown@shardcreditpartners.com</t>
  </si>
  <si>
    <t>+44 (7827) 953435</t>
  </si>
  <si>
    <t xml:space="preserve">Is known to Karen Hadra._x000D_
_x000D_
Alastair Brown _x000D_
Barclays Capital Leveraged Finance Origination _x000D_
5 The North Colonnade, Canary Wharf, London E14 4BB _x000D_
Direct: +44 207 773 2138 _x000D_
Mob: +44 7740 173 358 _x000D_
Fax: +44 207 773 1819_x000D_
_x000D_
</t>
  </si>
  <si>
    <t>Campbell Lutyens &amp; Co. Ltd</t>
  </si>
  <si>
    <t>John  Campbell</t>
  </si>
  <si>
    <t>campbell@campbell-lutyens.com</t>
  </si>
  <si>
    <t xml:space="preserve">03 January 2024 16:52:_x000D_
AMPBELL^ LUTYENS_x000D_
_x000D_
_x000D_
CAMPBELL2!_x000D_
LUTYENS_x000D_
_x000D_
------------------------------------------------------------------_x000D_
AMPBELL^ LUTYENS_x000D_
_x000D_
_x000D_
CAMPBELL2!_x000D_
LUTYENS_x000D_
_x000D_
</t>
  </si>
  <si>
    <t>Mikhaylov  Maksim</t>
  </si>
  <si>
    <t>Chairman of the Board of Directors</t>
  </si>
  <si>
    <t>info@crescofinance.ru</t>
  </si>
  <si>
    <t>+7 (495) 230-00-41</t>
  </si>
  <si>
    <t>Project Atlas</t>
  </si>
  <si>
    <t xml:space="preserve">Left Actis 2014._x000D_
_x000D_
Now he is in The Global Steering Group for Impact Investment (GSG) as Chief Strategy Officer_x000D_
+44 7887 521 963_x000D_
_x000D_
</t>
  </si>
  <si>
    <t xml:space="preserve">Introduced by Ramweshway Mahay_x000D_
_x000D_
_x000D_
</t>
  </si>
  <si>
    <t>Arun Prakash S Korati</t>
  </si>
  <si>
    <t>CIO - South Asia</t>
  </si>
  <si>
    <t>akorati@cdcgroup.com</t>
  </si>
  <si>
    <t>‪+91 99 30 080211‬</t>
  </si>
  <si>
    <t xml:space="preserve">Was earlier with IL&amp;FS and with Actis. Now with CDC_x000D_
_x000D_
</t>
  </si>
  <si>
    <t xml:space="preserve">Sunita Lukkhoo  </t>
  </si>
  <si>
    <t>Country Manager - India</t>
  </si>
  <si>
    <t>lukkhoo@eib.org</t>
  </si>
  <si>
    <t>98-100, boulevard Konrad Adenauer_x000D_
L-2950 Luxemburg</t>
  </si>
  <si>
    <t>Mateja  Maher</t>
  </si>
  <si>
    <t>Deputy General Counsel</t>
  </si>
  <si>
    <t>Maher@campbell-lutyens.com</t>
  </si>
  <si>
    <t>+44 (7718) 699825</t>
  </si>
  <si>
    <t xml:space="preserve">_x000D_
_x000D_
 _x000D_
Global Private Equity &amp; Infrastructure Advisers_x000D_
Fund Placement | Secondary and Advisory Transactions_x000D_
_x000D_
_x000D_
_x000D_
3 Burlington Gardens_x000D_
London W1S 3EP_x000D_
Tel: +44 (0)20 7439 7191_x000D_
Dir: +44 (0)20 7432 6094_x000D_
UK Mob: _x000D_
Fax: +44 (0)20 7432 3749_x000D_
_x000D_
e-mail: _x000D_
website: www.campbell-lutyens.com_x000D_
_x000D_
</t>
  </si>
  <si>
    <t>Bhagwat S  Rana</t>
  </si>
  <si>
    <t>Deputy General Manager - Overseas Branch</t>
  </si>
  <si>
    <t>b.rana@sbi.co.in</t>
  </si>
  <si>
    <t>+91 97566 03113</t>
  </si>
  <si>
    <t xml:space="preserve">Goa Transaction - Pushpak_x000D_
</t>
  </si>
  <si>
    <t>Shankar Iyer  PNB - Large Corporate branch</t>
  </si>
  <si>
    <t>DGM</t>
  </si>
  <si>
    <t>bm0902@obc.co.in</t>
  </si>
  <si>
    <t>+91 70423 33667</t>
  </si>
  <si>
    <t xml:space="preserve">Prasshant Sowmithry contact_x000D_
</t>
  </si>
  <si>
    <t>Vinay  Parekh</t>
  </si>
  <si>
    <t>Noor Financial Investment Co, Al-Kharafi Tower,11th Floor, PO Box -3311 Safat Kuwait 13034</t>
  </si>
  <si>
    <t>Yosuke  Watanbe</t>
  </si>
  <si>
    <t>Director General</t>
  </si>
  <si>
    <t>y-watanabe@jbic.go.jp</t>
  </si>
  <si>
    <t xml:space="preserve">JBIC_x000D_
_x000D_
He heads the Infra financing group within JBIC and is also incharge of India at the HQ_x000D_
Job: Director General - Social Infrastructure Finance Department &amp; Infrastructure and Environment Finance Group_x000D_
Business Phone1: 81-3-5218-3429_x000D_
Business Fax1: +81-3-5218-3965_x000D_
E-mail1: y-watanabe@jbic.go.jp&lt;mailto:y-watanabe@jbic.go.jp&gt;_x000D_
Address: 4-1, OHTEMACHI1-CHOME  CHIYODA-KU,  TOKYO 100-8144,  JAPAN_x000D_
_x000D_
</t>
  </si>
  <si>
    <t>Deutsche Bank AG, Singapore Branch</t>
  </si>
  <si>
    <t>Chandra R. Sinnathuray</t>
  </si>
  <si>
    <t>Director, Strategic Equity Transactions Group</t>
  </si>
  <si>
    <t>chandra.sinnathuray@db.com</t>
  </si>
  <si>
    <t>#18-00 One Raffles Quay South Tower</t>
  </si>
  <si>
    <t>+65 (8189) 9870</t>
  </si>
  <si>
    <t xml:space="preserve">Knows Bharat Rao of Singapore office_x000D_
_x000D_
Chandra R. Sinnathuray_x000D_
Director_x000D_
Strategic Equity Transactions Group_x000D_
Deutsche Bank AG, Singapore Branch_x000D_
#18-00 One Raffles Quay_x000D_
South Tower_x000D_
Singapore_x000D_
Tel: +65 6423 6857_x000D_
Mobile: +65 8189 9870_x000D_
_x000D_
</t>
  </si>
  <si>
    <t>Basker  M.K</t>
  </si>
  <si>
    <t>Divisional Manager</t>
  </si>
  <si>
    <t>baskermk@canarabank.com</t>
  </si>
  <si>
    <t>+91 98337 99201</t>
  </si>
  <si>
    <t xml:space="preserve">Srei IDF . Canara Bank Treasury division_x000D_
_x000D_
</t>
  </si>
  <si>
    <t>Subash  Bosh T</t>
  </si>
  <si>
    <t>ED</t>
  </si>
  <si>
    <t>Donald  Peck</t>
  </si>
  <si>
    <t>Former Head - India</t>
  </si>
  <si>
    <t>donaldmpeck@gmail.com</t>
  </si>
  <si>
    <t>Shom  Hinduja</t>
  </si>
  <si>
    <t>Founder</t>
  </si>
  <si>
    <t>sah@hindujagroup.com</t>
  </si>
  <si>
    <t xml:space="preserve">Ref Tony when we were running the Empati transaction_x000D_
</t>
  </si>
  <si>
    <t xml:space="preserve">Marek Herchel  </t>
  </si>
  <si>
    <t>Fund Investments - New York, Armsterdom, Hong Kong</t>
  </si>
  <si>
    <t>marek.herchel@alpinvest.com</t>
  </si>
  <si>
    <t>Canada</t>
  </si>
  <si>
    <t>Alp Invest</t>
  </si>
  <si>
    <t xml:space="preserve">Maarten Vervoort  </t>
  </si>
  <si>
    <t>Fund Investments (Armsterdam)</t>
  </si>
  <si>
    <t>maarten.vervoort@alpinvest.com</t>
  </si>
  <si>
    <t>+1 (212) 3326248</t>
  </si>
  <si>
    <t xml:space="preserve">Wendy Zhu  </t>
  </si>
  <si>
    <t>Fund Investments (Hongkong)</t>
  </si>
  <si>
    <t>wendy.zhu@alpinvest.com</t>
  </si>
  <si>
    <t>Ajay  Saxena</t>
  </si>
  <si>
    <t>General Administration Department
Government of Maharashtra</t>
  </si>
  <si>
    <t>asaxena.consultant@adb.org</t>
  </si>
  <si>
    <t>+91 9969686697</t>
  </si>
  <si>
    <t xml:space="preserve">May be useful to get some insight on PPP projects_x000D_
_x000D_
ADB_x000D_
</t>
  </si>
  <si>
    <t>Bank of India</t>
  </si>
  <si>
    <t xml:space="preserve">Hari Kishan P  </t>
  </si>
  <si>
    <t>hari.pinapala@bankofindia.co.in</t>
  </si>
  <si>
    <t xml:space="preserve">Intro by Prasshant_x000D_
_x000D_
BoI - Corporate Credit Department_x000D_
_x000D_
</t>
  </si>
  <si>
    <t xml:space="preserve">VTB Capital </t>
  </si>
  <si>
    <t>Vasily  Chernoplekov</t>
  </si>
  <si>
    <t>Global Banking</t>
  </si>
  <si>
    <t>Vasily.Chernoplekov@vtbcapital.com</t>
  </si>
  <si>
    <t>+7 (977) 910 7768</t>
  </si>
  <si>
    <t xml:space="preserve">03 January 2024 16:52:_x000D_
_x000D_
 _x000D_
_x000D_
_x000D_
* +7 (495) 589 2102_x000D_
M. _x000D_
* _x000D_
_x000D_
_x000D_
_x000D_
     *  M.  * _x000D_
------------------------------------------------------------------_x000D_
_x000D_
 _x000D_
_x000D_
_x000D_
* +7 (495) 589 2102_x000D_
M. _x000D_
* _x000D_
_x000D_
_x000D_
_x000D_
     *  M.  * _x000D_
</t>
  </si>
  <si>
    <t>Atul  Sodhi</t>
  </si>
  <si>
    <t>Global Head - DCM</t>
  </si>
  <si>
    <t>+852 (9203) 9321</t>
  </si>
  <si>
    <t xml:space="preserve">Friend of Mickey Mehta_x000D_
_x000D_
Connected to Mickey Mehta well. Currently based out of Paris_x000D_
</t>
  </si>
  <si>
    <t>Peter  Stonor</t>
  </si>
  <si>
    <t>Global Head of Transport, Infrastructure, Industrials &amp; Utilities</t>
  </si>
  <si>
    <t>peter.stonor@vtbcapital.com</t>
  </si>
  <si>
    <t>+44 (7711) 385 435</t>
  </si>
  <si>
    <t xml:space="preserve">_x000D_
_x000D_
Investment Banking _x000D_
_x000D_
* +44 (20) 3334 8993_x000D_
M: _x000D_
* _x000D_
_x000D_
_x000D_
</t>
  </si>
  <si>
    <t>Vigen  Sogomonyan</t>
  </si>
  <si>
    <t xml:space="preserve">Head of Corporate Business </t>
  </si>
  <si>
    <t>VKSogomonyan.IND@sberbank.ru</t>
  </si>
  <si>
    <t xml:space="preserve">Mujeeb Qazi  </t>
  </si>
  <si>
    <t>Head of Energy, Real Estate &amp; Infrastructure Department</t>
  </si>
  <si>
    <t>mujeeb.qazi@adia.ae</t>
  </si>
  <si>
    <t xml:space="preserve">From LinkedIn : I am a seasoned investment professional specializing in the Infrastructure space. I currently lead Energy Infrastructure investment efforts globally for the Abu Dhabi Investment Authority. Previously, I led transaction efforts for Spectra Energy Corporation, a Fortune 500 natural gas infrastructure company. Prior to joining Spectra, I had over ten years of bulge-bracket investment banking M&amp;A experience at Credit Suisse and Deutsche Bank, where I executed numerous transactions. I also have a strong background in accounting as I worked for three years at KPMG and passed my CPA examination._x000D_
_x000D_
I am currently a Sector Head in the Infrastructure Division at ADIA, heading up our Energy business globally and primarily responsible for:_x000D_
·Sourcing and executing new investments in the Energy sector_x000D_
</t>
  </si>
  <si>
    <t>Edwin  Whiteley</t>
  </si>
  <si>
    <t>Head of Global Bank Relations and Distribution, TSF</t>
  </si>
  <si>
    <t>+65 (8128) 6016</t>
  </si>
  <si>
    <t>Jérôme  Briens</t>
  </si>
  <si>
    <t>Investment Associate</t>
  </si>
  <si>
    <t xml:space="preserve">03 January 2024 16:52:_x000D_
Tony Singh_x000D_
_x000D_
Mr. Briens is an Associate and member of the investment team. Prior to joining EIG in 2019, Mr. Briens was an associate with Societe Generale CIB in London and New York where he focused on upstream oil and gas structured financings in EMEA and the US Gulf of Mexico. Jerome holds a master degree in management from ESCP Europe and studied petroleum economics and management at the French Petroleum Institute._x000D_
------------------------------------------------------------------_x000D_
Tony Singh_x000D_
_x000D_
Mr. Briens is an Associate and member of the investment team. Prior to joining EIG in 2019, Mr. Briens was an associate with Societe Generale CIB in London and New York where he focused on upstream oil and gas structured financings in EMEA and the US Gulf of Mexico. Jerome holds a master degree in management from ESCP Europe and studied petroleum economics and management at the French Petroleum Institute._x000D_
</t>
  </si>
  <si>
    <t>Ivan  Gluskov</t>
  </si>
  <si>
    <t>Ivan.Glushkov@vtbcapital.com</t>
  </si>
  <si>
    <t>+7 (916) 019 4540</t>
  </si>
  <si>
    <t xml:space="preserve">Airport Project - Investments in airport_x000D_
_x000D_
* +7 (495) 660 4231_x000D_
M. _x000D_
* _x000D_
Federation Tower West | 12, Presnenskaya emb. | 123100, Moscow_x000D_
_x000D_
</t>
  </si>
  <si>
    <t xml:space="preserve">Rohit Goyal  </t>
  </si>
  <si>
    <t>rgo@ifu.dk</t>
  </si>
  <si>
    <t>+91 961 982 0357</t>
  </si>
  <si>
    <t xml:space="preserve">_x000D_
_x000D_
Dir:  _x000D_
Mob:_x000D_
</t>
  </si>
  <si>
    <t xml:space="preserve">Sam Fletcher  </t>
  </si>
  <si>
    <t>Investment Partner</t>
  </si>
  <si>
    <t>sfletcher@star-capital.com</t>
  </si>
  <si>
    <t xml:space="preserve">Sam joined the STAR team in 2017. Previously he was a Managing Director in the Capital Resolution division at the Royal Bank of Scotland, leading the management and realisation of a portfolio of private equity interests. Sam has held a number of historic positions at RBS across leveraged finance, project finance and distressed debt restructuring. Sam holds a BA (Hons) degree in Business Management from Newcastle University._x000D_
</t>
  </si>
  <si>
    <t>Enni  Talvitie</t>
  </si>
  <si>
    <t>Junior Legal Counsel</t>
  </si>
  <si>
    <t>Enni.Talvitie@finnfund.fi</t>
  </si>
  <si>
    <t>+358 (40) 663 8608</t>
  </si>
  <si>
    <t xml:space="preserve">_x000D_
_x000D_
 _x000D_
Mobile _x000D_
_x000D_
</t>
  </si>
  <si>
    <t>Dennis  Chan</t>
  </si>
  <si>
    <t>Managing Diretor
Head of ir fi ^i&gt; ^ture</t>
  </si>
  <si>
    <t>dennis.chan@pingan.com.hk</t>
  </si>
  <si>
    <t>+852 (9631) 3579</t>
  </si>
  <si>
    <t>Jonathan  Atkeson</t>
  </si>
  <si>
    <t>jatkeson@fortress.com</t>
  </si>
  <si>
    <t xml:space="preserve">03 January 2024 16:52:_x000D_
Jonathan Atkeson_x000D_
MD, Fortress Infrastructure Fund_x000D_
jatkeson@fortress.com_x000D_
_x000D_
------------------------------------------------------------------_x000D_
Jonathan Atkeson_x000D_
MD, Fortress Infrastructure Fund_x000D_
jatkeson@fortress.com_x000D_
_x000D_
</t>
  </si>
  <si>
    <t>Dennis  Chu</t>
  </si>
  <si>
    <t>+852 (9889) 0468</t>
  </si>
  <si>
    <t xml:space="preserve">03 January 2024 16:52:_x000D_
Mickey Mehta Contact_x000D_
Ex - Head of M&amp;A and Treasury Transactions AMP Australia_x000D_
From Linkedin_x000D_
- Developing and executing the Fosun Group's insurance investment strategy _x000D_
- Managed and negotiated the sale of Ironshore Inc., a leading global specialty Property &amp; Casualty insurance business, to Liberty Mutual Group Inc. for US$3bn. Concurrently, led the effort to potentially IPO Ironshore on the NYSE/NASDAQ, and secured a US$100m pre-IPO private placement from a leading US insurer. Collaborated with Ironshore management to successfully maintain Ironshore's credit ratings from AM Best, Moody's and S&amp;P_x000D_
------------------------------------------------------------------_x000D_
Mickey Mehta Contact_x000D_
Ex - Head of M&amp;A and Treasury Transactions AMP Australia_x000D_
From Linkedin_x000D_
- Developing and executing the Fosun Group's insurance investment strategy _x000D_
- Managed and negotiated the sale of Ironshore Inc., a leading global specialty Property &amp; Casualty insurance business, to Liberty Mutual Group Inc. for US$3bn. Concurrently, led the effort to potentially IPO Ironshore on the NYSE/NASDAQ, and secured a US$100m pre-IPO private placement from a leading US insurer. Collaborated with Ironshore management to successfully maintain Ironshore's credit ratings from AM Best, Moody's and S&amp;P_x000D_
</t>
  </si>
  <si>
    <t xml:space="preserve">Karim Shalak  </t>
  </si>
  <si>
    <t>karim@kcap.net</t>
  </si>
  <si>
    <t>+44 (79) 333 15955</t>
  </si>
  <si>
    <t xml:space="preserve">, CFA_x000D_
_x000D_
_x000D_
_x000D_
London, _x000D_
United Kingdom_x000D_
T: _x000D_
E: _x000D_
</t>
  </si>
  <si>
    <t>Walid  Mouawad</t>
  </si>
  <si>
    <t>Managing Director Investment Team, Power &amp; Renewables</t>
  </si>
  <si>
    <t>wmouawad@eigpartners.com</t>
  </si>
  <si>
    <t xml:space="preserve">WALID MOUAWAD_x000D_
Managing Director_x000D_
Investment Team, Power &amp; Renewables_x000D_
Mr. Mouawad is a Managing Director and member of the investment team focused primarily on power, infrastructure and renewables transactions in Europe.  Prior to joining EIG in 2011, he was a Director in WestLB’s Global Energy team where he spent four years originating and arranging project finance transactions across EMEA. Mr. Mouawad also worked as a Senior Investment Analyst with CC Energy in London, an independent energy-focused investment firm where he was involved in oil and gas asset acquisition and development in emerging markets. Earlier in his career, Mr. Mouawad worked for Merrill Lynch in New York and Deloitte Consulting in Paris. Mr. Mouawad received a B.S.E. in Computer Science and a B.A. from the University of Pennsylvania, an M.B.A. in Finance from the Wharton School and an M.A. in International Studies from the Lauder Institute. Mr. Mouawad is fluent in French and Arabic. _x000D_
</t>
  </si>
  <si>
    <t>Nicole  Musicco</t>
  </si>
  <si>
    <t>Managing Director, Head of Asia Pacific</t>
  </si>
  <si>
    <t>nicole_musicco@otpp.com</t>
  </si>
  <si>
    <t>+852 (9105) 5656</t>
  </si>
  <si>
    <t xml:space="preserve">Nicole_x000D_
_x000D_
</t>
  </si>
  <si>
    <t>Sylvie  Ma</t>
  </si>
  <si>
    <t>+84 (98) 950 38 98</t>
  </si>
  <si>
    <t xml:space="preserve">Law firm in Vietnam_x000D_
</t>
  </si>
  <si>
    <t>Krishnakumar  G.</t>
  </si>
  <si>
    <t>Managing Partner &amp; Fund Manager</t>
  </si>
  <si>
    <t>+91 98202 64745</t>
  </si>
  <si>
    <t>Hamed bin Zayed Al Nahyan</t>
  </si>
  <si>
    <t>hza.md@adia.ae</t>
  </si>
  <si>
    <t>Maurice Maroan  Maizar</t>
  </si>
  <si>
    <t>maurice.maizar@maizar.ch</t>
  </si>
  <si>
    <t>+41 (79) 307 42 31</t>
  </si>
  <si>
    <t xml:space="preserve">Discussing Sonect and few other transactions with him_x000D_
_x000D_
Maroan looks back at a successful investment banking career for over 30 years. Starting his career with Credit Suisse in currency trading, moving on to derivatives structuring and capital markets, working for UBS and Deutsche Bank AG._x000D_
_x000D_
At the turn of the millennium, he worked for Goldman Sachs in London, covering Switzerland for capital markets and risk management, whilst working with the relevant industry M&amp;A teams. 2004 he re-joined Deutsche Bank where he became the country head and General Manager of Deutsche Bank AG Frankfurt am Main, Zurich Branch. He oversaw corporate coverage and remained a key interface to some of the worlds largest industry corporations ranging from consumer nutrition to chemicals._x000D_
_x000D_
He pioneered several innovations in the Swiss capital markets by offering tailored financing solutions including Hybrid capital, Regulatory capital, and special purpose repackaging transactions._x000D_
_x000D_
After 17 years with Deutsche Bank, he left at the end of 2016, helped Keppler Cheuvreux Corporate Finance to build its Swiss franchise for two_x000D_
years._x000D_
_x000D_
In 2019 he founded Maizar Advisory Services, a boutique focusing on financing, start-ups and mid-market companies as well as M&amp;A._x000D_
</t>
  </si>
  <si>
    <t>Chirdeep  Bagga</t>
  </si>
  <si>
    <t>Portfolio Manager, Infrastructure Department</t>
  </si>
  <si>
    <t>Chirdeep.Bagga@adia.ae</t>
  </si>
  <si>
    <t>+91 9987544877</t>
  </si>
  <si>
    <t xml:space="preserve">Was with JP Morgan Infra fund_x000D_
Was with CDPQ based in Delhi_x000D_
Now with ADIA Abu Dhabi_x000D_
</t>
  </si>
  <si>
    <t>Stephen  Bailey</t>
  </si>
  <si>
    <t>Principle Environmental Engineer</t>
  </si>
  <si>
    <t>sbailey@ifc.org</t>
  </si>
  <si>
    <t xml:space="preserve">Stephen Bailey is the Principle Environmental Engineer of the IFC and can be contacted on sbailey@ifc.org_x000D_
_x000D_
and +1202473595. _x000D_
_x000D_
Stephen led the environmental DD when IFC were considering to invest in AI2 and should be a useful contact in the first instance._x000D_
_x000D_
Contact of David Grylls_x000D_
_x000D_
</t>
  </si>
  <si>
    <t>Debobroto  Das</t>
  </si>
  <si>
    <t>Program Manager, India</t>
  </si>
  <si>
    <t>debobroto.das@dell.org</t>
  </si>
  <si>
    <t>+91 9986800604</t>
  </si>
  <si>
    <t>Srinivasan  Nagarajan</t>
  </si>
  <si>
    <t>Regional Director</t>
  </si>
  <si>
    <t>nsrinivasan@cdcgroup.com</t>
  </si>
  <si>
    <t>+91 9900263100</t>
  </si>
  <si>
    <t xml:space="preserve">He is referred as Srini_x000D_
He has since shifted to Bangalore and is Regional Director in CDC_x000D_
_x000D_
UK's development finance institution CDC Group Plc said that Srinivasan Nagarajan will join the firm as regional director for its investments in India. Nagarajan, who is currently director at Actis, will be based out of Bangalore. He is expected to join by middle of 2013 after completing his exit arrangements with Actis. Nagarajan sits on the board of Nilgiri's Diary Farm Ltd and has worked on investments like IDFC and the National Stock Exchange._x000D_
_x000D_
CDC also said private equity veteran Donald Peck will advise firm as chairman of its South Asia investment committee. Peck is one of the founding partners at Actis and headed its South Asia investments till 2008. He is one of the co-founders social venture capital firm Lok Capital, where CDC is also a limited partner._x000D_
_x000D_
</t>
  </si>
  <si>
    <t>Yasukazu  Oono</t>
  </si>
  <si>
    <t>Representative (Head)</t>
  </si>
  <si>
    <t>ya-ono@jbic.go.jp</t>
  </si>
  <si>
    <t xml:space="preserve">JAPAN BANK FOR INTERNATIONAL COOPERATION_x000D_
Job: Representative  (Head)_x000D_
Business Phone1: +91 11 4352 2999_x000D_
Business Fax1: +91 11 43522950_x000D_
E-mail1: ya-ono@jbic.go.jp_x000D_
Web: http://www.Jbic.go.jp/en/_x000D_
Address: 306, 3rd Floor, Worldmark 2,  Asset No. 8, Hospitality District,  Aerocity,  New Delhi 110037,  INDIA_x000D_
, Representative Office in New Delhi (India, Sri Lanka, Nepal, Bhutan &amp; Maldives)_x000D_
_x000D_
</t>
  </si>
  <si>
    <t>Alexander  Gems</t>
  </si>
  <si>
    <t>agems@hollyportcapital.com</t>
  </si>
  <si>
    <t xml:space="preserve">Hollyport is a manager of global private equity assets that it acquires in the secondary market._x000D_
_x000D_
We buy portfolios of mature private equity assets, enabling longstanding investors in the asset class to realise non-core investments._x000D_
_x000D_
Since 2006, Hollyport has raised and invested 7 secondary private equity funds and currently has over $4.7bn assets under management._x000D_
_x000D_
Hollyport has evolved with the growth of the legacy private equity market, with a heritage that stretches back over 30 years. We use this extensive knowledge and experience to structure transactions that meet the specific needs of all relevant stakeholders._x000D_
_x000D_
Our investors comprise institutions, family offices, endowments and sophisticated high net worth individuals._x000D_
</t>
  </si>
  <si>
    <t>Remy  Hassenforder</t>
  </si>
  <si>
    <t>Senior Banker</t>
  </si>
  <si>
    <t>Remhassenforder@yahoo.com</t>
  </si>
  <si>
    <t>+44 (7778) 478 818</t>
  </si>
  <si>
    <t xml:space="preserve">Works in London
Remy 
Remy Hassenforder 
iPhone +44 7778 478 818
Email. Remhassenforder@yahoo.com
Remy Hassenforder 
iPhone +44 7778 478 818
Email. Remhassenforder@yahoo.com
He is interacting with me regarding the Dighi Port project.
+44 7545 867 482
</t>
  </si>
  <si>
    <t>Joon Y.  Park</t>
  </si>
  <si>
    <t>Senior Banker - Financial Institutions</t>
  </si>
  <si>
    <t>ParkJ@ebrd.com</t>
  </si>
  <si>
    <t>+44 (7540) 704247</t>
  </si>
  <si>
    <t xml:space="preserve">_x000D_
_x000D_
 One Exchange Square, London EC2A 2JN_x000D_
Tel: _x000D_
Bby mobile: _x000D_
Fax: +44 20 7338 6105_x000D_
E-mail: _x000D_
_x000D_
</t>
  </si>
  <si>
    <t>GIC Special Investments</t>
  </si>
  <si>
    <t>Matthew  Lim</t>
  </si>
  <si>
    <t>Senior Vice President</t>
  </si>
  <si>
    <t>mathewlim@gic.com.sg</t>
  </si>
  <si>
    <t xml:space="preserve">Matthew leads GIC’s private infrastructure investment programme for the Asia-Pacific region. He has been with GIC since 2006 and was a founding member of GIC’s private infrastructure investment team. Originally based in London focused on the UK, Europe and the USA, Matthew is now based in GIC’s Singapore headquarters. As a senior member of the team, Matthew is responsible for strategy for the region, investment activities, and board directorships for GIC’s private infrastructure investments in the region._x000D_
_x000D_
Prior to GIC, Matthew was with KPMG’s Global and Infrastructure Team and worked in both the London and Singapore offices. He has over 18 years of investment and corporate finance experience across a range of industries and countries. Matthew holds a MA and a MEng in Electronic Materials Engineering from Oxford University._x000D_
</t>
  </si>
  <si>
    <t xml:space="preserve">Abhinav Singh  </t>
  </si>
  <si>
    <t>abhinav_singh@in.smbc.co.jp</t>
  </si>
  <si>
    <t>India-Japanese Corporate Banking</t>
  </si>
  <si>
    <t>+91 8826833995</t>
  </si>
  <si>
    <t xml:space="preserve">Met them in Aerocity office in 2021_x000D_
</t>
  </si>
  <si>
    <t>Koichiro Nishihana  SMBC - Japanese and Korean Corporate Banking</t>
  </si>
  <si>
    <t>Vice President (india)</t>
  </si>
  <si>
    <t>koichiro_nishihana@in.smbc.co.jp</t>
  </si>
  <si>
    <t>+91 9527666882</t>
  </si>
  <si>
    <t xml:space="preserve">Met him in Aerocity office in 2021_x000D_
</t>
  </si>
  <si>
    <t>Guido  Massella</t>
  </si>
  <si>
    <t>guido.massella@arkadian.org.uk</t>
  </si>
  <si>
    <t xml:space="preserve">Referred by Murli Khemka_x000D_
</t>
  </si>
  <si>
    <t>Joseph  Wang</t>
  </si>
  <si>
    <t>joseph.wang@barcap.com</t>
  </si>
  <si>
    <t>1 Raffles Quay
Level 28, South Tower</t>
  </si>
  <si>
    <t>+65 (9739) 2392</t>
  </si>
  <si>
    <t xml:space="preserve">Referred by Remy Hassenforder_x000D_
_x000D_
</t>
  </si>
  <si>
    <t>Shathish  Vasudev</t>
  </si>
  <si>
    <t>spvasudev@cdpq.com</t>
  </si>
  <si>
    <t>+91 95999 31977</t>
  </si>
  <si>
    <t xml:space="preserve">Suresh Narasimha  </t>
  </si>
  <si>
    <t>suresh@cocreate.ventures</t>
  </si>
  <si>
    <t xml:space="preserve">Shubham Agarwal  </t>
  </si>
  <si>
    <t>shubham.agarwal@credencefamilyoffice.com</t>
  </si>
  <si>
    <t>+91 9769712143</t>
  </si>
  <si>
    <t>Sreedhar  KV</t>
  </si>
  <si>
    <t>sreedhar.kv@entrust.co.in</t>
  </si>
  <si>
    <t>+91 9945590066</t>
  </si>
  <si>
    <t xml:space="preserve">Franz Josef Vetter  </t>
  </si>
  <si>
    <t>vetter@eib.org</t>
  </si>
  <si>
    <t xml:space="preserve">04 January 2024 10:47:_x000D_
_x000D_
_x000D_
------------------------------------------------------------------_x000D_
01 November 2023 13:05:_x000D_
_x000D_
_x000D_
------------------------------------------------------------------_x000D_
_x000D_
_x000D_
</t>
  </si>
  <si>
    <t>Marc  Kriegsmann</t>
  </si>
  <si>
    <t>Marc.Kriegsmann@hal-privatbank.com</t>
  </si>
  <si>
    <t xml:space="preserve">BAI Contact_x000D_
_x000D_
HAUCK AUFHÄUSER LAMPE can look back on a 226-year tradition. The bank emerged from the merger of three long-established private banks: Georg Hauck &amp; Sohn Bankiers in Frankfurt am Main, founded in 1796, Bankhaus Lampe, founded in Bielefeld in 1852, and Bankhaus H. Aufhäuser, on the market in Munich since 1870. The two houses Georg Hauck and Bankhaus H. Aufhäuser merged in 1998, Bankhaus Lampe joined in 2021._x000D_
_x000D_
The private bank focuses on the four core business areas of private and corporate banking, asset management, investment banking and asset servicing. In the asset servicing business segment, the bank offers all services related to the administration of investment products for independent asset managers, financial service providers, institutional investors, asset managers and capital management companies with a focus on Germany, Luxembourg, Switzerland, Austria and Ireland. It has around 360 employees in the Financial Assets, Digital Assets and Real Assets divisions._x000D_
_x000D_
_x000D_
</t>
  </si>
  <si>
    <t>Robert  McGregor</t>
  </si>
  <si>
    <t>rmcg888@mac.com</t>
  </si>
  <si>
    <t>Ryosuke  Kohigashi</t>
  </si>
  <si>
    <t xml:space="preserve">JAPAN BANK FOR INTERNATIONAL COOPERATION_x000D_
Job: Deputy Director, Division 2 - Social Infrastructure Finance Department, Infrastructure and Environment Finance Group_x000D_
Business Phone1: +81-3-5218-3398_x000D_
Business Fax1: +81-3-5218-3965_x000D_
E-mail1: r-kohigashi@jbic.go.jp_x000D_
Web: http://www.jDic.go.jp/en/_x000D_
Address: 4-1, OHTEMACHI 1-CHOME  CHIYODA-KU,  TOKYO 100-8144,  JAPAN_x000D_
_x000D_
</t>
  </si>
  <si>
    <t xml:space="preserve">Mahajasmar  </t>
  </si>
  <si>
    <t>mahaj@kia.gov.kw</t>
  </si>
  <si>
    <t>Asian Equity Desk</t>
  </si>
  <si>
    <t xml:space="preserve">Maria  </t>
  </si>
  <si>
    <t>mariad@kia.gov.kw</t>
  </si>
  <si>
    <t>+91 90530 26512</t>
  </si>
  <si>
    <t xml:space="preserve">Deepak Malik  </t>
  </si>
  <si>
    <t>post@norfund.no</t>
  </si>
  <si>
    <t>Nick Barclay  FloD</t>
  </si>
  <si>
    <t>+971 505595288</t>
  </si>
  <si>
    <t xml:space="preserve">About Nick_x000D_
Placement Agent - Private Equity. Hedge Funds. Capital Markets. Global Infrastructure_x000D_
_x000D_
Mickey Mehta Contact_x000D_
_x000D_
About Rudolf Wolff_x000D_
_x000D_
Traditional values for changing times_x000D_
_x000D_
Investors are learning to expect a challenging future: uncertain economic performance, unclear business valuations, pressure on incomes and capital as active populations alter and the state cuts back, whilst taxing and regulating ever more. Markets will remain torn between retracing old assumptions and dealing with the changing world – an increasingly volatile mix. _x000D_
_x000D_
Without above-average investment instincts, timing and vision, many investors may find that returns from buy-and-hold equity and income portfolios are less and less rewarding. The medium-term window for the ‘unadapted’ investor to compound returns will depend to an uncomfortable extent on chance, given the propensity of public markets to ‘see-saw’._x000D_
_x000D_
The challenges of the markets will increase, despite abundant opportunities in the real economy arising from the need to fund successful public and business strategies going forward. At Rudolf Wolff we apply traditional methods in non-traditional ways, using alternative techniques to transform such challenges into opportunities. We try not to time the market but to release regular compound returns through a focus on value-investing and a cautious and innovative approach to risk._x000D_
_x000D_
</t>
  </si>
  <si>
    <t xml:space="preserve">Ahmed Al-Bader  </t>
  </si>
  <si>
    <t>info@tec.com.kw</t>
  </si>
  <si>
    <t xml:space="preserve">The Touristic Enterprises Company (TEC) is a government-owned entity that is responsible for the operations, development, and management of touristic, entertainment and recreational assets and facilities._x000D_
_x000D_
In addition to managing and operating its properties, TEC works with governmental bodies, private sector entities, and international partners to continuously promote the tourism and entertainment industries in Kuwait._x000D_
</t>
  </si>
  <si>
    <t>Fund Raising Advisors</t>
  </si>
  <si>
    <t>Government + Others</t>
  </si>
  <si>
    <t>Main Table</t>
  </si>
  <si>
    <t>Auto generated</t>
  </si>
  <si>
    <t>DD Menu</t>
  </si>
  <si>
    <t>To check for duplicates</t>
  </si>
  <si>
    <t>Activity</t>
  </si>
  <si>
    <t>Tick box</t>
  </si>
  <si>
    <t>Contacts</t>
  </si>
  <si>
    <t>To have ability to import / export from outlook</t>
  </si>
  <si>
    <t xml:space="preserve">Table in Sub-form </t>
  </si>
  <si>
    <t>Start Date</t>
  </si>
  <si>
    <t>To have ability to insert attachment</t>
  </si>
  <si>
    <t>Padma Kumar</t>
  </si>
  <si>
    <t>Head - HR and CSR</t>
  </si>
  <si>
    <t>padmakumar.p@saint-gobain.com</t>
  </si>
  <si>
    <t>O</t>
  </si>
  <si>
    <t>Follow-up with Unnikrishnan</t>
  </si>
  <si>
    <t>Reference /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</si>
</sst>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quot; &quot;mmm&quot; &quot;yyyy"/>
  </numFmts>
  <fonts count="49" x14ac:knownFonts="1">
    <font>
      <sz val="10"/>
      <color rgb="FF000000"/>
      <name val="Arial"/>
      <scheme val="minor"/>
    </font>
    <font>
      <sz val="10"/>
      <color theme="1"/>
      <name val="Arial"/>
      <family val="2"/>
      <scheme val="minor"/>
    </font>
    <font>
      <sz val="11"/>
      <color theme="1"/>
      <name val="Arial"/>
      <family val="2"/>
      <scheme val="minor"/>
    </font>
    <font>
      <u/>
      <sz val="10"/>
      <color theme="10"/>
      <name val="Arial"/>
      <family val="2"/>
      <scheme val="minor"/>
    </font>
    <font>
      <sz val="10"/>
      <color rgb="FF000000"/>
      <name val="Arial"/>
      <family val="2"/>
      <scheme val="minor"/>
    </font>
    <font>
      <b/>
      <sz val="10"/>
      <color rgb="FF000000"/>
      <name val="Arial"/>
      <family val="2"/>
      <scheme val="minor"/>
    </font>
    <font>
      <sz val="10"/>
      <color rgb="FF000000"/>
      <name val="Garamond"/>
      <family val="1"/>
    </font>
    <font>
      <sz val="9"/>
      <color theme="1"/>
      <name val="Garamond"/>
      <family val="1"/>
    </font>
    <font>
      <sz val="9"/>
      <color rgb="FF222222"/>
      <name val="Garamond"/>
      <family val="1"/>
    </font>
    <font>
      <sz val="9"/>
      <color rgb="FF000000"/>
      <name val="Garamond"/>
      <family val="1"/>
    </font>
    <font>
      <b/>
      <sz val="9"/>
      <color theme="1"/>
      <name val="Garamond"/>
      <family val="1"/>
    </font>
    <font>
      <b/>
      <sz val="10"/>
      <color rgb="FF222222"/>
      <name val="Garamond"/>
      <family val="1"/>
    </font>
    <font>
      <b/>
      <sz val="10"/>
      <color rgb="FF000000"/>
      <name val="Garamond"/>
      <family val="1"/>
    </font>
    <font>
      <b/>
      <sz val="9"/>
      <color rgb="FF000000"/>
      <name val="Garamond"/>
      <family val="1"/>
    </font>
    <font>
      <b/>
      <sz val="10"/>
      <color theme="1"/>
      <name val="Corbel"/>
      <family val="2"/>
    </font>
    <font>
      <sz val="10"/>
      <color rgb="FF000000"/>
      <name val="Corbel"/>
      <family val="2"/>
    </font>
    <font>
      <sz val="11"/>
      <color rgb="FF000000"/>
      <name val="Corbel"/>
      <family val="2"/>
    </font>
    <font>
      <b/>
      <sz val="10"/>
      <color rgb="FF000000"/>
      <name val="Corbel"/>
      <family val="2"/>
    </font>
    <font>
      <b/>
      <sz val="11"/>
      <color rgb="FF000000"/>
      <name val="Corbel"/>
      <family val="2"/>
    </font>
    <font>
      <u/>
      <sz val="10"/>
      <color theme="10"/>
      <name val="Corbel"/>
      <family val="2"/>
    </font>
    <font>
      <sz val="10"/>
      <color theme="1"/>
      <name val="Corbel"/>
      <family val="2"/>
    </font>
    <font>
      <sz val="12"/>
      <color rgb="FF000000"/>
      <name val="Corbel"/>
      <family val="2"/>
    </font>
    <font>
      <sz val="12"/>
      <color rgb="FF26282A"/>
      <name val="Corbel"/>
      <family val="2"/>
    </font>
    <font>
      <sz val="12"/>
      <color rgb="FF242424"/>
      <name val="Corbel"/>
      <family val="2"/>
    </font>
    <font>
      <sz val="8"/>
      <color rgb="FF000000"/>
      <name val="Segoe UI"/>
      <family val="2"/>
    </font>
    <font>
      <b/>
      <sz val="10"/>
      <color rgb="FF000000"/>
      <name val="Aptos"/>
      <family val="2"/>
    </font>
    <font>
      <sz val="10"/>
      <color rgb="FF000000"/>
      <name val="Aptos"/>
      <family val="2"/>
    </font>
    <font>
      <u/>
      <sz val="10"/>
      <color theme="10"/>
      <name val="Aptos"/>
      <family val="2"/>
    </font>
    <font>
      <sz val="10"/>
      <color theme="1"/>
      <name val="Aptos"/>
      <family val="2"/>
    </font>
    <font>
      <b/>
      <sz val="9"/>
      <color theme="1"/>
      <name val="Aptos"/>
      <family val="2"/>
    </font>
    <font>
      <sz val="9"/>
      <color rgb="FF000000"/>
      <name val="Aptos"/>
      <family val="2"/>
    </font>
    <font>
      <b/>
      <sz val="9"/>
      <color rgb="FF000000"/>
      <name val="Aptos"/>
      <family val="2"/>
    </font>
    <font>
      <u/>
      <sz val="9"/>
      <color theme="10"/>
      <name val="Aptos"/>
      <family val="2"/>
    </font>
    <font>
      <sz val="9"/>
      <color theme="1"/>
      <name val="Aptos"/>
      <family val="2"/>
    </font>
    <font>
      <b/>
      <sz val="10"/>
      <color theme="0"/>
      <name val="Aptos"/>
      <family val="2"/>
    </font>
    <font>
      <sz val="9"/>
      <color rgb="FF222222"/>
      <name val="Aptos"/>
      <family val="2"/>
    </font>
    <font>
      <sz val="9"/>
      <color rgb="FF444444"/>
      <name val="Aptos Narrow"/>
      <family val="2"/>
    </font>
    <font>
      <b/>
      <sz val="10"/>
      <color theme="0"/>
      <name val="Poppins"/>
    </font>
    <font>
      <sz val="9"/>
      <color rgb="FF222222"/>
      <name val="Poppins"/>
    </font>
    <font>
      <sz val="10"/>
      <color rgb="FF000000"/>
      <name val="Poppins"/>
    </font>
    <font>
      <sz val="9"/>
      <color theme="1"/>
      <name val="Corbel"/>
      <family val="2"/>
    </font>
    <font>
      <b/>
      <sz val="9"/>
      <color rgb="FF000000"/>
      <name val="Corbel"/>
      <family val="2"/>
    </font>
    <font>
      <sz val="9"/>
      <color rgb="FF000000"/>
      <name val="Corbel"/>
      <family val="2"/>
    </font>
    <font>
      <sz val="9"/>
      <color rgb="FF1F497D"/>
      <name val="Corbel"/>
      <family val="2"/>
    </font>
    <font>
      <b/>
      <sz val="9"/>
      <color theme="1"/>
      <name val="Corbel"/>
      <family val="2"/>
    </font>
    <font>
      <sz val="8"/>
      <name val="Arial"/>
      <family val="2"/>
      <scheme val="minor"/>
    </font>
    <font>
      <b/>
      <sz val="9"/>
      <color theme="1"/>
      <name val="Arial"/>
      <family val="2"/>
      <scheme val="minor"/>
    </font>
    <font>
      <sz val="9"/>
      <color theme="1"/>
      <name val="Arial"/>
      <family val="2"/>
      <scheme val="minor"/>
    </font>
    <font>
      <b/>
      <sz val="9"/>
      <color theme="0"/>
      <name val="Aptos"/>
      <family val="2"/>
    </font>
  </fonts>
  <fills count="13">
    <fill>
      <patternFill patternType="none"/>
    </fill>
    <fill>
      <patternFill patternType="gray125"/>
    </fill>
    <fill>
      <patternFill patternType="solid">
        <fgColor rgb="FFD9D9D9"/>
        <bgColor rgb="FFD9D9D9"/>
      </patternFill>
    </fill>
    <fill>
      <patternFill patternType="solid">
        <fgColor rgb="FFFFFFFF"/>
        <bgColor rgb="FFFFFFFF"/>
      </patternFill>
    </fill>
    <fill>
      <patternFill patternType="solid">
        <fgColor rgb="FF8DB4E2"/>
        <bgColor rgb="FF8DB4E2"/>
      </patternFill>
    </fill>
    <fill>
      <patternFill patternType="solid">
        <fgColor rgb="FFD9D9D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rgb="FFFFFFFF"/>
      </patternFill>
    </fill>
    <fill>
      <patternFill patternType="solid">
        <fgColor theme="0"/>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3" fillId="0" borderId="0" applyNumberFormat="0" applyFill="0" applyBorder="0" applyAlignment="0" applyProtection="0"/>
    <xf numFmtId="0" fontId="4" fillId="0" borderId="0"/>
    <xf numFmtId="0" fontId="2" fillId="0" borderId="0"/>
    <xf numFmtId="0" fontId="1" fillId="0" borderId="0"/>
  </cellStyleXfs>
  <cellXfs count="131">
    <xf numFmtId="0" fontId="0" fillId="0" borderId="0" xfId="0"/>
    <xf numFmtId="0" fontId="3" fillId="0" borderId="0" xfId="1"/>
    <xf numFmtId="0" fontId="4" fillId="0" borderId="0" xfId="0" applyFont="1"/>
    <xf numFmtId="0" fontId="5" fillId="0" borderId="0" xfId="0" applyFont="1"/>
    <xf numFmtId="0" fontId="6" fillId="0" borderId="0" xfId="0" applyFont="1"/>
    <xf numFmtId="0" fontId="7" fillId="0" borderId="1" xfId="0" applyFont="1" applyBorder="1"/>
    <xf numFmtId="0" fontId="8" fillId="3" borderId="1" xfId="0" applyFont="1" applyFill="1" applyBorder="1" applyAlignment="1">
      <alignment vertical="top" wrapText="1"/>
    </xf>
    <xf numFmtId="0" fontId="7" fillId="0" borderId="1" xfId="0" applyFont="1" applyBorder="1" applyAlignment="1">
      <alignment wrapText="1"/>
    </xf>
    <xf numFmtId="0" fontId="9" fillId="0" borderId="0" xfId="0" applyFont="1"/>
    <xf numFmtId="0" fontId="9" fillId="0" borderId="0" xfId="0" applyFont="1" applyAlignment="1">
      <alignment wrapText="1"/>
    </xf>
    <xf numFmtId="0" fontId="10" fillId="2" borderId="3" xfId="0" applyFont="1" applyFill="1" applyBorder="1" applyAlignment="1">
      <alignment horizontal="center" wrapText="1"/>
    </xf>
    <xf numFmtId="0" fontId="7" fillId="0" borderId="0" xfId="0" applyFont="1"/>
    <xf numFmtId="0" fontId="9" fillId="0" borderId="1" xfId="0" applyFont="1" applyBorder="1" applyAlignment="1">
      <alignment wrapText="1"/>
    </xf>
    <xf numFmtId="0" fontId="7" fillId="0" borderId="0" xfId="0" applyFont="1" applyAlignment="1">
      <alignment wrapText="1"/>
    </xf>
    <xf numFmtId="0" fontId="7" fillId="0" borderId="1" xfId="0" applyFont="1" applyBorder="1" applyAlignment="1">
      <alignment horizontal="center"/>
    </xf>
    <xf numFmtId="0" fontId="7" fillId="0" borderId="1" xfId="0" applyFont="1" applyBorder="1" applyAlignment="1">
      <alignment horizontal="center" wrapText="1"/>
    </xf>
    <xf numFmtId="0" fontId="11" fillId="3" borderId="1" xfId="0" applyFont="1" applyFill="1" applyBorder="1" applyAlignment="1">
      <alignment horizontal="center" vertical="top" wrapText="1"/>
    </xf>
    <xf numFmtId="0" fontId="6" fillId="7" borderId="1" xfId="0" applyFont="1" applyFill="1" applyBorder="1" applyAlignment="1">
      <alignment wrapText="1"/>
    </xf>
    <xf numFmtId="0" fontId="6" fillId="0" borderId="1" xfId="0" applyFont="1" applyBorder="1" applyAlignment="1">
      <alignment vertical="top" wrapText="1"/>
    </xf>
    <xf numFmtId="0" fontId="9" fillId="6" borderId="1" xfId="0" applyFont="1" applyFill="1" applyBorder="1" applyAlignment="1">
      <alignment wrapText="1"/>
    </xf>
    <xf numFmtId="15" fontId="9" fillId="0" borderId="1" xfId="0" applyNumberFormat="1" applyFont="1" applyBorder="1" applyAlignment="1">
      <alignment wrapText="1"/>
    </xf>
    <xf numFmtId="0" fontId="10" fillId="0" borderId="1" xfId="0" applyFont="1" applyBorder="1"/>
    <xf numFmtId="0" fontId="13" fillId="6" borderId="1" xfId="0" applyFont="1" applyFill="1" applyBorder="1" applyAlignment="1">
      <alignment wrapText="1"/>
    </xf>
    <xf numFmtId="0" fontId="12" fillId="2" borderId="1" xfId="0" applyFont="1" applyFill="1" applyBorder="1" applyAlignment="1">
      <alignment vertical="top" wrapText="1"/>
    </xf>
    <xf numFmtId="0" fontId="6" fillId="7" borderId="1" xfId="0" applyFont="1" applyFill="1" applyBorder="1" applyAlignment="1">
      <alignment vertical="top" wrapText="1"/>
    </xf>
    <xf numFmtId="0" fontId="9" fillId="0" borderId="1" xfId="0" applyFont="1" applyBorder="1" applyAlignment="1">
      <alignment vertical="center" wrapText="1"/>
    </xf>
    <xf numFmtId="15" fontId="9" fillId="0" borderId="1" xfId="0" applyNumberFormat="1" applyFont="1" applyBorder="1" applyAlignment="1">
      <alignment vertical="center" wrapText="1"/>
    </xf>
    <xf numFmtId="0" fontId="6" fillId="0" borderId="0" xfId="0" applyFont="1" applyAlignment="1">
      <alignment vertical="center" wrapText="1"/>
    </xf>
    <xf numFmtId="0" fontId="6" fillId="0" borderId="0" xfId="0" applyFont="1" applyAlignment="1">
      <alignment vertical="center"/>
    </xf>
    <xf numFmtId="0" fontId="9" fillId="0" borderId="0" xfId="0" applyFont="1" applyAlignment="1">
      <alignment vertical="center"/>
    </xf>
    <xf numFmtId="0" fontId="10" fillId="2" borderId="3" xfId="0" applyFont="1" applyFill="1" applyBorder="1" applyAlignment="1">
      <alignment horizontal="left" wrapText="1"/>
    </xf>
    <xf numFmtId="0" fontId="7" fillId="0" borderId="1" xfId="0" applyFont="1" applyBorder="1" applyAlignment="1">
      <alignment horizontal="left"/>
    </xf>
    <xf numFmtId="0" fontId="7" fillId="0" borderId="0" xfId="0" applyFont="1" applyAlignment="1">
      <alignment horizontal="left"/>
    </xf>
    <xf numFmtId="0" fontId="9" fillId="0" borderId="0" xfId="0" applyFont="1" applyAlignment="1">
      <alignment horizontal="left"/>
    </xf>
    <xf numFmtId="0" fontId="14" fillId="0" borderId="0" xfId="0" applyFont="1"/>
    <xf numFmtId="0" fontId="15" fillId="0" borderId="0" xfId="0" applyFont="1"/>
    <xf numFmtId="0" fontId="16" fillId="5" borderId="1"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vertical="center" wrapText="1"/>
    </xf>
    <xf numFmtId="0" fontId="17" fillId="0" borderId="0" xfId="0" applyFont="1"/>
    <xf numFmtId="0" fontId="18" fillId="0" borderId="0" xfId="0" applyFont="1"/>
    <xf numFmtId="0" fontId="16" fillId="0" borderId="0" xfId="0" applyFont="1"/>
    <xf numFmtId="0" fontId="15" fillId="0" borderId="1" xfId="0" applyFont="1" applyBorder="1"/>
    <xf numFmtId="0" fontId="19" fillId="0" borderId="2" xfId="1" applyFont="1" applyBorder="1"/>
    <xf numFmtId="0" fontId="15" fillId="0" borderId="1" xfId="0" applyFont="1" applyBorder="1" applyAlignment="1">
      <alignment horizontal="left" wrapText="1"/>
    </xf>
    <xf numFmtId="0" fontId="20" fillId="0" borderId="0" xfId="0" applyFont="1"/>
    <xf numFmtId="0" fontId="21" fillId="0" borderId="1" xfId="0" applyFont="1" applyBorder="1" applyAlignment="1">
      <alignment horizontal="left"/>
    </xf>
    <xf numFmtId="0" fontId="19" fillId="0" borderId="0" xfId="1" applyFont="1" applyBorder="1" applyAlignment="1">
      <alignment vertical="center" wrapText="1"/>
    </xf>
    <xf numFmtId="0" fontId="19" fillId="0" borderId="0" xfId="1" applyFont="1"/>
    <xf numFmtId="0" fontId="22" fillId="0" borderId="1" xfId="0" applyFont="1" applyBorder="1" applyAlignment="1">
      <alignment horizontal="left"/>
    </xf>
    <xf numFmtId="0" fontId="19" fillId="0" borderId="0" xfId="1" applyFont="1" applyBorder="1"/>
    <xf numFmtId="0" fontId="16" fillId="0" borderId="1" xfId="0" applyFont="1" applyBorder="1" applyAlignment="1">
      <alignment horizontal="left"/>
    </xf>
    <xf numFmtId="0" fontId="15" fillId="0" borderId="1" xfId="0" applyFont="1" applyBorder="1" applyAlignment="1">
      <alignment horizontal="left"/>
    </xf>
    <xf numFmtId="0" fontId="19" fillId="0" borderId="1" xfId="1" applyFont="1" applyBorder="1" applyAlignment="1">
      <alignment vertical="center" wrapText="1"/>
    </xf>
    <xf numFmtId="0" fontId="23" fillId="0" borderId="1" xfId="0" applyFont="1" applyBorder="1" applyAlignment="1">
      <alignment horizontal="left"/>
    </xf>
    <xf numFmtId="0" fontId="19" fillId="0" borderId="1" xfId="1" applyFont="1" applyBorder="1"/>
    <xf numFmtId="0" fontId="24" fillId="0" borderId="1" xfId="0" applyFont="1" applyBorder="1" applyAlignment="1">
      <alignment vertical="top" wrapText="1"/>
    </xf>
    <xf numFmtId="0" fontId="0" fillId="9" borderId="1" xfId="0" applyFill="1" applyBorder="1" applyAlignment="1">
      <alignment vertical="top" wrapText="1"/>
    </xf>
    <xf numFmtId="0" fontId="6" fillId="0" borderId="1" xfId="0" applyFont="1" applyBorder="1" applyAlignment="1">
      <alignment vertical="center" wrapText="1"/>
    </xf>
    <xf numFmtId="0" fontId="4" fillId="9" borderId="1" xfId="0" applyFont="1" applyFill="1" applyBorder="1" applyAlignment="1">
      <alignment vertical="top" wrapText="1"/>
    </xf>
    <xf numFmtId="0" fontId="9" fillId="0" borderId="6" xfId="0" applyFont="1" applyBorder="1" applyAlignment="1">
      <alignment wrapText="1"/>
    </xf>
    <xf numFmtId="0" fontId="9" fillId="8" borderId="6" xfId="0" applyFont="1" applyFill="1" applyBorder="1" applyAlignment="1">
      <alignment wrapText="1"/>
    </xf>
    <xf numFmtId="0" fontId="6" fillId="0" borderId="1" xfId="0" applyFont="1" applyBorder="1"/>
    <xf numFmtId="0" fontId="6" fillId="0" borderId="1" xfId="0" applyFont="1" applyBorder="1" applyAlignment="1">
      <alignment vertical="center"/>
    </xf>
    <xf numFmtId="0" fontId="9" fillId="0" borderId="4" xfId="0" applyFont="1" applyBorder="1" applyAlignment="1">
      <alignment wrapText="1"/>
    </xf>
    <xf numFmtId="0" fontId="9" fillId="0" borderId="4" xfId="0" applyFont="1" applyBorder="1" applyAlignment="1">
      <alignment vertical="center" wrapText="1"/>
    </xf>
    <xf numFmtId="0" fontId="4" fillId="8" borderId="0" xfId="0" applyFont="1" applyFill="1"/>
    <xf numFmtId="0" fontId="0" fillId="0" borderId="0" xfId="0" applyAlignment="1">
      <alignment wrapText="1"/>
    </xf>
    <xf numFmtId="0" fontId="27" fillId="0" borderId="1" xfId="1" applyFont="1" applyFill="1" applyBorder="1" applyAlignment="1">
      <alignment vertical="top" wrapText="1"/>
    </xf>
    <xf numFmtId="0" fontId="26" fillId="0" borderId="0" xfId="2" applyFont="1"/>
    <xf numFmtId="0" fontId="28" fillId="0" borderId="1" xfId="2" applyFont="1" applyBorder="1" applyAlignment="1">
      <alignment vertical="top" wrapText="1"/>
    </xf>
    <xf numFmtId="0" fontId="26" fillId="0" borderId="1" xfId="2" applyFont="1" applyBorder="1" applyAlignment="1">
      <alignment vertical="top" wrapText="1"/>
    </xf>
    <xf numFmtId="0" fontId="26" fillId="0" borderId="1" xfId="2" quotePrefix="1" applyFont="1" applyBorder="1" applyAlignment="1">
      <alignment vertical="top" wrapText="1"/>
    </xf>
    <xf numFmtId="0" fontId="25" fillId="2" borderId="1" xfId="2" applyFont="1" applyFill="1" applyBorder="1" applyAlignment="1">
      <alignment vertical="top" wrapText="1"/>
    </xf>
    <xf numFmtId="0" fontId="34" fillId="6" borderId="1" xfId="2" applyFont="1" applyFill="1" applyBorder="1" applyAlignment="1">
      <alignment horizontal="center" vertical="center" wrapText="1"/>
    </xf>
    <xf numFmtId="0" fontId="30" fillId="9" borderId="1" xfId="2" applyFont="1" applyFill="1" applyBorder="1" applyAlignment="1">
      <alignment wrapText="1"/>
    </xf>
    <xf numFmtId="0" fontId="35" fillId="10" borderId="1" xfId="2" applyFont="1" applyFill="1" applyBorder="1" applyAlignment="1">
      <alignment vertical="top" wrapText="1"/>
    </xf>
    <xf numFmtId="15" fontId="30" fillId="11" borderId="1" xfId="2" applyNumberFormat="1" applyFont="1" applyFill="1" applyBorder="1" applyAlignment="1">
      <alignment wrapText="1"/>
    </xf>
    <xf numFmtId="0" fontId="26" fillId="11" borderId="1" xfId="2" applyFont="1" applyFill="1" applyBorder="1" applyAlignment="1">
      <alignment vertical="top" wrapText="1"/>
    </xf>
    <xf numFmtId="0" fontId="30" fillId="11" borderId="1" xfId="2" applyFont="1" applyFill="1" applyBorder="1" applyAlignment="1">
      <alignment wrapText="1"/>
    </xf>
    <xf numFmtId="0" fontId="30" fillId="0" borderId="1" xfId="2" applyFont="1" applyBorder="1" applyAlignment="1">
      <alignment wrapText="1"/>
    </xf>
    <xf numFmtId="0" fontId="30" fillId="11" borderId="1" xfId="2" applyFont="1" applyFill="1" applyBorder="1" applyAlignment="1">
      <alignment vertical="center" wrapText="1"/>
    </xf>
    <xf numFmtId="0" fontId="26" fillId="0" borderId="0" xfId="2" applyFont="1" applyAlignment="1">
      <alignment vertical="center"/>
    </xf>
    <xf numFmtId="0" fontId="26" fillId="11" borderId="1" xfId="2" applyFont="1" applyFill="1" applyBorder="1"/>
    <xf numFmtId="0" fontId="26" fillId="11" borderId="1" xfId="2" applyFont="1" applyFill="1" applyBorder="1" applyAlignment="1">
      <alignment wrapText="1"/>
    </xf>
    <xf numFmtId="0" fontId="29" fillId="11" borderId="1" xfId="0" applyFont="1" applyFill="1" applyBorder="1" applyAlignment="1">
      <alignment horizontal="left" vertical="top" wrapText="1"/>
    </xf>
    <xf numFmtId="0" fontId="30" fillId="11" borderId="1" xfId="0" applyFont="1" applyFill="1" applyBorder="1" applyAlignment="1">
      <alignment vertical="top" wrapText="1"/>
    </xf>
    <xf numFmtId="0" fontId="30" fillId="11" borderId="0" xfId="0" applyFont="1" applyFill="1" applyAlignment="1">
      <alignment vertical="top" wrapText="1"/>
    </xf>
    <xf numFmtId="0" fontId="30" fillId="11" borderId="1" xfId="0" quotePrefix="1" applyFont="1" applyFill="1" applyBorder="1" applyAlignment="1">
      <alignment vertical="top" wrapText="1"/>
    </xf>
    <xf numFmtId="0" fontId="32" fillId="11" borderId="1" xfId="1" applyFont="1" applyFill="1" applyBorder="1" applyAlignment="1">
      <alignment vertical="top" wrapText="1"/>
    </xf>
    <xf numFmtId="0" fontId="33" fillId="11" borderId="1" xfId="0" applyFont="1" applyFill="1" applyBorder="1" applyAlignment="1">
      <alignment vertical="top" wrapText="1"/>
    </xf>
    <xf numFmtId="0" fontId="33" fillId="11" borderId="1" xfId="0" quotePrefix="1" applyFont="1" applyFill="1" applyBorder="1" applyAlignment="1">
      <alignment vertical="top" wrapText="1"/>
    </xf>
    <xf numFmtId="0" fontId="30" fillId="11" borderId="7" xfId="2" applyFont="1" applyFill="1" applyBorder="1" applyAlignment="1">
      <alignment vertical="top" wrapText="1"/>
    </xf>
    <xf numFmtId="0" fontId="36" fillId="11" borderId="1" xfId="0" applyFont="1" applyFill="1" applyBorder="1" applyAlignment="1">
      <alignment vertical="center"/>
    </xf>
    <xf numFmtId="0" fontId="36" fillId="11" borderId="1" xfId="0" applyFont="1" applyFill="1" applyBorder="1" applyAlignment="1">
      <alignment vertical="center" wrapText="1"/>
    </xf>
    <xf numFmtId="0" fontId="30" fillId="11" borderId="1" xfId="2" applyFont="1" applyFill="1" applyBorder="1" applyAlignment="1">
      <alignment vertical="top" wrapText="1"/>
    </xf>
    <xf numFmtId="0" fontId="31" fillId="11" borderId="1" xfId="0" applyFont="1" applyFill="1" applyBorder="1" applyAlignment="1">
      <alignment wrapText="1"/>
    </xf>
    <xf numFmtId="0" fontId="30" fillId="11" borderId="0" xfId="0" applyFont="1" applyFill="1" applyAlignment="1">
      <alignment wrapText="1"/>
    </xf>
    <xf numFmtId="0" fontId="3" fillId="11" borderId="1" xfId="1" applyFill="1" applyBorder="1" applyAlignment="1">
      <alignment vertical="top" wrapText="1"/>
    </xf>
    <xf numFmtId="0" fontId="26" fillId="0" borderId="1" xfId="2" applyFont="1" applyBorder="1"/>
    <xf numFmtId="0" fontId="0" fillId="0" borderId="1" xfId="0" applyBorder="1"/>
    <xf numFmtId="0" fontId="0" fillId="0" borderId="1" xfId="0" applyBorder="1" applyAlignment="1">
      <alignment wrapText="1"/>
    </xf>
    <xf numFmtId="0" fontId="30" fillId="0" borderId="0" xfId="2" applyFont="1" applyAlignment="1">
      <alignment wrapText="1"/>
    </xf>
    <xf numFmtId="0" fontId="37" fillId="6" borderId="1" xfId="2" applyFont="1" applyFill="1" applyBorder="1" applyAlignment="1">
      <alignment horizontal="center" vertical="center" wrapText="1"/>
    </xf>
    <xf numFmtId="0" fontId="38" fillId="10" borderId="1" xfId="2" applyFont="1" applyFill="1" applyBorder="1" applyAlignment="1">
      <alignment vertical="top" wrapText="1"/>
    </xf>
    <xf numFmtId="0" fontId="39" fillId="0" borderId="1" xfId="0" applyFont="1" applyBorder="1" applyAlignment="1">
      <alignment wrapText="1"/>
    </xf>
    <xf numFmtId="0" fontId="40" fillId="0" borderId="1" xfId="0" applyFont="1" applyBorder="1" applyAlignment="1">
      <alignment vertical="top" wrapText="1"/>
    </xf>
    <xf numFmtId="0" fontId="41" fillId="4" borderId="0" xfId="0" applyFont="1" applyFill="1" applyAlignment="1">
      <alignment horizontal="center" vertical="top" wrapText="1"/>
    </xf>
    <xf numFmtId="0" fontId="41" fillId="4" borderId="3" xfId="0" applyFont="1" applyFill="1" applyBorder="1" applyAlignment="1">
      <alignment horizontal="center" vertical="top" wrapText="1"/>
    </xf>
    <xf numFmtId="15" fontId="42" fillId="0" borderId="1" xfId="0" applyNumberFormat="1" applyFont="1" applyBorder="1" applyAlignment="1">
      <alignment vertical="top" wrapText="1"/>
    </xf>
    <xf numFmtId="164" fontId="40" fillId="0" borderId="1" xfId="0" applyNumberFormat="1" applyFont="1" applyBorder="1" applyAlignment="1">
      <alignment vertical="top" wrapText="1"/>
    </xf>
    <xf numFmtId="0" fontId="43" fillId="3" borderId="1" xfId="0" applyFont="1" applyFill="1" applyBorder="1" applyAlignment="1">
      <alignment vertical="top" wrapText="1"/>
    </xf>
    <xf numFmtId="0" fontId="42" fillId="0" borderId="1" xfId="0" applyFont="1" applyBorder="1" applyAlignment="1">
      <alignment vertical="top" wrapText="1"/>
    </xf>
    <xf numFmtId="0" fontId="42" fillId="0" borderId="0" xfId="0" applyFont="1" applyAlignment="1">
      <alignment vertical="top" wrapText="1"/>
    </xf>
    <xf numFmtId="0" fontId="40" fillId="0" borderId="5" xfId="0" applyFont="1" applyBorder="1" applyAlignment="1">
      <alignment vertical="top" wrapText="1"/>
    </xf>
    <xf numFmtId="0" fontId="40" fillId="0" borderId="0" xfId="0" applyFont="1" applyAlignment="1">
      <alignment vertical="top" wrapText="1"/>
    </xf>
    <xf numFmtId="0" fontId="44" fillId="0" borderId="1" xfId="0" applyFont="1" applyBorder="1" applyAlignment="1">
      <alignment vertical="top" wrapText="1"/>
    </xf>
    <xf numFmtId="0" fontId="41" fillId="0" borderId="1" xfId="0" applyFont="1" applyBorder="1" applyAlignment="1">
      <alignment vertical="top" wrapText="1"/>
    </xf>
    <xf numFmtId="0" fontId="40" fillId="0" borderId="1" xfId="0" quotePrefix="1" applyFont="1" applyBorder="1" applyAlignment="1">
      <alignment vertical="top" wrapText="1"/>
    </xf>
    <xf numFmtId="15" fontId="26" fillId="0" borderId="0" xfId="2" applyNumberFormat="1" applyFont="1"/>
    <xf numFmtId="0" fontId="4" fillId="0" borderId="1" xfId="0" applyFont="1" applyBorder="1"/>
    <xf numFmtId="15" fontId="30" fillId="11" borderId="0" xfId="2" applyNumberFormat="1" applyFont="1" applyFill="1" applyAlignment="1">
      <alignment wrapText="1"/>
    </xf>
    <xf numFmtId="0" fontId="26" fillId="11" borderId="0" xfId="2" applyFont="1" applyFill="1" applyAlignment="1">
      <alignment vertical="top" wrapText="1"/>
    </xf>
    <xf numFmtId="0" fontId="1" fillId="0" borderId="0" xfId="0" applyFont="1"/>
    <xf numFmtId="0" fontId="46" fillId="0" borderId="0" xfId="4" applyFont="1"/>
    <xf numFmtId="0" fontId="47" fillId="0" borderId="0" xfId="4" applyFont="1"/>
    <xf numFmtId="0" fontId="48" fillId="6" borderId="1" xfId="2" applyFont="1" applyFill="1" applyBorder="1" applyAlignment="1">
      <alignment horizontal="center" vertical="center" wrapText="1"/>
    </xf>
    <xf numFmtId="0" fontId="47" fillId="12" borderId="0" xfId="4" applyFont="1" applyFill="1"/>
    <xf numFmtId="0" fontId="47" fillId="0" borderId="0" xfId="4" applyFont="1" applyAlignment="1">
      <alignment horizontal="center"/>
    </xf>
    <xf numFmtId="0" fontId="48" fillId="6" borderId="1" xfId="2" applyFont="1" applyFill="1" applyBorder="1" applyAlignment="1">
      <alignment horizontal="left" vertical="center" wrapText="1"/>
    </xf>
    <xf numFmtId="0" fontId="47" fillId="0" borderId="1" xfId="4" applyFont="1" applyBorder="1"/>
  </cellXfs>
  <cellStyles count="5">
    <cellStyle name="Hyperlink" xfId="1" builtinId="8"/>
    <cellStyle name="Normal" xfId="0" builtinId="0"/>
    <cellStyle name="Normal 2" xfId="2" xr:uid="{8B4C9997-1B64-4080-A198-C758E8E5ED28}"/>
    <cellStyle name="Normal 3" xfId="3" xr:uid="{CEE5A130-C014-4AAD-9776-C6D5006C4EC3}"/>
    <cellStyle name="Normal 4" xfId="4" xr:uid="{A2DF4A5A-73FB-4CCD-984F-25F4CF5331DF}"/>
  </cellStyles>
  <dxfs count="52">
    <dxf>
      <fill>
        <patternFill patternType="gray0625">
          <bgColor theme="4"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79998168889431442"/>
        </patternFill>
      </fill>
    </dxf>
    <dxf>
      <fill>
        <patternFill>
          <bgColor theme="5"/>
        </patternFill>
      </fill>
    </dxf>
    <dxf>
      <font>
        <strike/>
      </font>
    </dxf>
    <dxf>
      <fill>
        <patternFill>
          <bgColor theme="6" tint="0.39994506668294322"/>
        </patternFill>
      </fill>
    </dxf>
    <dxf>
      <fill>
        <patternFill patternType="solid">
          <fgColor rgb="FFB6D7A8"/>
          <bgColor rgb="FFB6D7A8"/>
        </patternFill>
      </fill>
    </dxf>
    <dxf>
      <font>
        <strike/>
      </font>
    </dxf>
    <dxf>
      <fill>
        <patternFill>
          <bgColor theme="6" tint="0.39994506668294322"/>
        </patternFill>
      </fill>
    </dxf>
    <dxf>
      <fill>
        <patternFill patternType="solid">
          <fgColor rgb="FFB6D7A8"/>
          <bgColor rgb="FFB6D7A8"/>
        </patternFill>
      </fill>
    </dxf>
    <dxf>
      <font>
        <strike/>
      </font>
    </dxf>
    <dxf>
      <fill>
        <patternFill>
          <bgColor theme="6" tint="0.39994506668294322"/>
        </patternFill>
      </fill>
    </dxf>
    <dxf>
      <fill>
        <patternFill patternType="solid">
          <fgColor rgb="FFB6D7A8"/>
          <bgColor rgb="FFB6D7A8"/>
        </patternFill>
      </fill>
    </dxf>
    <dxf>
      <font>
        <strike/>
      </font>
    </dxf>
    <dxf>
      <fill>
        <patternFill>
          <bgColor theme="6" tint="0.39994506668294322"/>
        </patternFill>
      </fill>
    </dxf>
    <dxf>
      <fill>
        <patternFill patternType="solid">
          <fgColor rgb="FFB6D7A8"/>
          <bgColor theme="5" tint="0.7999816888943144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patternType="gray0625">
          <bgColor theme="4"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ill>
        <patternFill>
          <bgColor theme="7" tint="0.59996337778862885"/>
        </patternFill>
      </fill>
    </dxf>
    <dxf>
      <fill>
        <patternFill>
          <bgColor theme="5" tint="0.39994506668294322"/>
        </patternFill>
      </fill>
    </dxf>
    <dxf>
      <font>
        <color theme="0"/>
      </font>
      <fill>
        <patternFill>
          <fgColor theme="0"/>
        </patternFill>
      </fill>
    </dxf>
    <dxf>
      <fill>
        <patternFill patternType="gray0625">
          <bgColor theme="4"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79998168889431442"/>
        </patternFill>
      </fill>
    </dxf>
    <dxf>
      <fill>
        <patternFill>
          <bgColor theme="7" tint="0.59996337778862885"/>
        </patternFill>
      </fill>
    </dxf>
    <dxf>
      <fill>
        <patternFill>
          <bgColor theme="5" tint="0.39994506668294322"/>
        </patternFill>
      </fill>
    </dxf>
    <dxf>
      <fill>
        <patternFill>
          <bgColor theme="7" tint="0.39994506668294322"/>
        </patternFill>
      </fill>
    </dxf>
    <dxf>
      <fill>
        <patternFill>
          <bgColor theme="5" tint="0.39994506668294322"/>
        </patternFill>
      </fill>
    </dxf>
    <dxf>
      <fill>
        <patternFill>
          <bgColor theme="7" tint="0.59996337778862885"/>
        </patternFill>
      </fill>
    </dxf>
    <dxf>
      <fill>
        <patternFill>
          <bgColor theme="5" tint="0.39994506668294322"/>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68-490A-B8BC-D09A747F38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4411-49F8-9E78-707E94211BD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4411-49F8-9E78-707E94211BD2}"/>
              </c:ext>
            </c:extLst>
          </c:dPt>
          <c:dLbls>
            <c:dLbl>
              <c:idx val="1"/>
              <c:layout>
                <c:manualLayout>
                  <c:x val="0.23068263342082246"/>
                  <c:y val="-0.17661162146398368"/>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11-49F8-9E78-707E94211BD2}"/>
                </c:ext>
              </c:extLst>
            </c:dLbl>
            <c:dLbl>
              <c:idx val="2"/>
              <c:layout>
                <c:manualLayout>
                  <c:x val="0.12015354330708657"/>
                  <c:y val="0.1693040974044910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11-49F8-9E78-707E94211BD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Poppins" panose="00000500000000000000" pitchFamily="2" charset="0"/>
                    <a:ea typeface="+mn-ea"/>
                    <a:cs typeface="Poppins" panose="00000500000000000000" pitchFamily="2"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Ref>
              <c:f>Sheet1!$D$55:$D$57</c:f>
              <c:strCache>
                <c:ptCount val="3"/>
                <c:pt idx="0">
                  <c:v>Fund Raising Advisors</c:v>
                </c:pt>
                <c:pt idx="1">
                  <c:v>Propreitory</c:v>
                </c:pt>
                <c:pt idx="2">
                  <c:v>Government + Others</c:v>
                </c:pt>
              </c:strCache>
            </c:strRef>
          </c:cat>
          <c:val>
            <c:numRef>
              <c:f>Sheet1!$E$55:$E$57</c:f>
              <c:numCache>
                <c:formatCode>General</c:formatCode>
                <c:ptCount val="3"/>
                <c:pt idx="0">
                  <c:v>15</c:v>
                </c:pt>
                <c:pt idx="1">
                  <c:v>36</c:v>
                </c:pt>
                <c:pt idx="2">
                  <c:v>7</c:v>
                </c:pt>
              </c:numCache>
            </c:numRef>
          </c:val>
          <c:extLst>
            <c:ext xmlns:c16="http://schemas.microsoft.com/office/drawing/2014/chart" uri="{C3380CC4-5D6E-409C-BE32-E72D297353CC}">
              <c16:uniqueId val="{00000000-4411-49F8-9E78-707E94211BD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01-49F4-8ED9-150D248F21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01-49F4-8ED9-150D248F21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01-49F4-8ED9-150D248F21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C2C-4438-8600-D497D1F69D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C2C-4438-8600-D497D1F69D9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Poppins" panose="00000500000000000000" pitchFamily="2" charset="0"/>
                    <a:ea typeface="+mn-ea"/>
                    <a:cs typeface="Poppins" panose="00000500000000000000" pitchFamily="2" charset="0"/>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Sheet1!$B$72:$B$76</c:f>
              <c:strCache>
                <c:ptCount val="5"/>
                <c:pt idx="0">
                  <c:v>Open</c:v>
                </c:pt>
                <c:pt idx="1">
                  <c:v>Closed / Deferred</c:v>
                </c:pt>
                <c:pt idx="2">
                  <c:v>Inv / Credit Committee</c:v>
                </c:pt>
                <c:pt idx="3">
                  <c:v>Declined</c:v>
                </c:pt>
                <c:pt idx="4">
                  <c:v>Invested</c:v>
                </c:pt>
              </c:strCache>
            </c:strRef>
          </c:cat>
          <c:val>
            <c:numRef>
              <c:f>Sheet1!$C$72:$C$76</c:f>
              <c:numCache>
                <c:formatCode>General</c:formatCode>
                <c:ptCount val="5"/>
                <c:pt idx="0">
                  <c:v>34</c:v>
                </c:pt>
                <c:pt idx="1">
                  <c:v>7</c:v>
                </c:pt>
                <c:pt idx="2">
                  <c:v>10</c:v>
                </c:pt>
                <c:pt idx="3">
                  <c:v>4</c:v>
                </c:pt>
                <c:pt idx="4">
                  <c:v>3</c:v>
                </c:pt>
              </c:numCache>
            </c:numRef>
          </c:val>
          <c:extLst>
            <c:ext xmlns:c16="http://schemas.microsoft.com/office/drawing/2014/chart" uri="{C3380CC4-5D6E-409C-BE32-E72D297353CC}">
              <c16:uniqueId val="{00000006-C101-49F4-8ED9-150D248F21C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413658</xdr:colOff>
      <xdr:row>50</xdr:row>
      <xdr:rowOff>54428</xdr:rowOff>
    </xdr:from>
    <xdr:to>
      <xdr:col>13</xdr:col>
      <xdr:colOff>108858</xdr:colOff>
      <xdr:row>66</xdr:row>
      <xdr:rowOff>97971</xdr:rowOff>
    </xdr:to>
    <xdr:graphicFrame macro="">
      <xdr:nvGraphicFramePr>
        <xdr:cNvPr id="2" name="Chart 1">
          <a:extLst>
            <a:ext uri="{FF2B5EF4-FFF2-40B4-BE49-F238E27FC236}">
              <a16:creationId xmlns:a16="http://schemas.microsoft.com/office/drawing/2014/main" id="{AAB82E14-0026-4FCE-7FE7-8EDB3FDB26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544286</xdr:colOff>
      <xdr:row>68</xdr:row>
      <xdr:rowOff>152400</xdr:rowOff>
    </xdr:from>
    <xdr:to>
      <xdr:col>13</xdr:col>
      <xdr:colOff>239486</xdr:colOff>
      <xdr:row>85</xdr:row>
      <xdr:rowOff>65314</xdr:rowOff>
    </xdr:to>
    <xdr:graphicFrame macro="">
      <xdr:nvGraphicFramePr>
        <xdr:cNvPr id="3" name="Chart 2">
          <a:extLst>
            <a:ext uri="{FF2B5EF4-FFF2-40B4-BE49-F238E27FC236}">
              <a16:creationId xmlns:a16="http://schemas.microsoft.com/office/drawing/2014/main" id="{FA338B59-AC53-4F81-A718-1FC31637C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nifm-my.sharepoint.com/personal/krishna_chaitanya_tnifmc_com/Documents/a.Work/3.%20Fundraising/Contact%20List/Fundraising_Feeder%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_FR"/>
      <sheetName val="Meetings_Interactions"/>
      <sheetName val="BBuffersheet"/>
      <sheetName val="Contacts-toclean"/>
      <sheetName val="Macros"/>
      <sheetName val="Tables"/>
      <sheetName val="Sheet1"/>
    </sheetNames>
    <sheetDataSet>
      <sheetData sheetId="0"/>
      <sheetData sheetId="1"/>
      <sheetData sheetId="2"/>
      <sheetData sheetId="3"/>
      <sheetData sheetId="4"/>
      <sheetData sheetId="5">
        <row r="3">
          <cell r="T3" t="str">
            <v>100 - India</v>
          </cell>
          <cell r="V3" t="str">
            <v>110 - Mumbai</v>
          </cell>
          <cell r="X3" t="str">
            <v>111 - Andheri</v>
          </cell>
        </row>
        <row r="4">
          <cell r="T4" t="str">
            <v>200 - APAC</v>
          </cell>
          <cell r="V4" t="str">
            <v>120 - NCR</v>
          </cell>
          <cell r="X4" t="str">
            <v>112 - BKC</v>
          </cell>
        </row>
        <row r="5">
          <cell r="T5" t="str">
            <v>300 - MENA</v>
          </cell>
          <cell r="V5" t="str">
            <v>130- Chennai</v>
          </cell>
          <cell r="X5" t="str">
            <v>113 -Central Suburbs</v>
          </cell>
        </row>
        <row r="6">
          <cell r="T6" t="str">
            <v>400 - EUR</v>
          </cell>
          <cell r="V6" t="str">
            <v>140 - Bangalore</v>
          </cell>
          <cell r="X6" t="str">
            <v>114 - Lower Parel</v>
          </cell>
        </row>
        <row r="7">
          <cell r="T7" t="str">
            <v>500 - North America</v>
          </cell>
          <cell r="V7" t="str">
            <v>150 - Ahd / GIFT</v>
          </cell>
          <cell r="X7" t="str">
            <v>115 - Nariman Point</v>
          </cell>
        </row>
        <row r="8">
          <cell r="T8" t="str">
            <v>600 - Africa</v>
          </cell>
          <cell r="V8" t="str">
            <v>190 - Other India</v>
          </cell>
          <cell r="X8" t="str">
            <v>121 - Aerocity</v>
          </cell>
        </row>
        <row r="9">
          <cell r="T9" t="str">
            <v>800 - Others</v>
          </cell>
          <cell r="V9" t="str">
            <v>210 - Singapore</v>
          </cell>
          <cell r="X9" t="str">
            <v>122- CP</v>
          </cell>
        </row>
        <row r="10">
          <cell r="V10" t="str">
            <v>290 - Other APAC</v>
          </cell>
          <cell r="X10" t="str">
            <v>123  - Gurgaon</v>
          </cell>
        </row>
        <row r="11">
          <cell r="V11" t="str">
            <v>310 - Dubai</v>
          </cell>
          <cell r="X11" t="str">
            <v>124 - Noida</v>
          </cell>
        </row>
        <row r="12">
          <cell r="V12" t="str">
            <v>320 - AbuDhabi</v>
          </cell>
          <cell r="X12" t="str">
            <v>141 - MG Road</v>
          </cell>
        </row>
        <row r="13">
          <cell r="V13" t="str">
            <v>330 - Saudi Arabia</v>
          </cell>
          <cell r="X13" t="str">
            <v>999 - TBD</v>
          </cell>
        </row>
        <row r="14">
          <cell r="V14" t="str">
            <v>390 - Other MENA</v>
          </cell>
          <cell r="X14"/>
        </row>
        <row r="15">
          <cell r="V15" t="str">
            <v>402 - London</v>
          </cell>
          <cell r="X15"/>
        </row>
        <row r="16">
          <cell r="V16" t="str">
            <v>402 - Paris</v>
          </cell>
          <cell r="X16"/>
        </row>
        <row r="17">
          <cell r="V17" t="str">
            <v>403 - Berlin</v>
          </cell>
          <cell r="X17"/>
        </row>
        <row r="18">
          <cell r="V18" t="str">
            <v>409 - Other EUR</v>
          </cell>
          <cell r="X18"/>
        </row>
        <row r="19">
          <cell r="V19" t="str">
            <v>501 - New York</v>
          </cell>
          <cell r="X19"/>
        </row>
        <row r="20">
          <cell r="V20" t="str">
            <v>502 - SFO</v>
          </cell>
          <cell r="X20"/>
        </row>
        <row r="21">
          <cell r="V21" t="str">
            <v>503 - Toranto</v>
          </cell>
          <cell r="X21"/>
        </row>
        <row r="22">
          <cell r="V22" t="str">
            <v>509 - Other US</v>
          </cell>
          <cell r="X22"/>
        </row>
        <row r="23">
          <cell r="V23" t="str">
            <v>809 - Others</v>
          </cell>
          <cell r="X23"/>
        </row>
        <row r="24">
          <cell r="V24" t="str">
            <v>211 - Beijing</v>
          </cell>
        </row>
      </sheetData>
      <sheetData sheetId="6"/>
    </sheetDataSet>
  </externalBook>
</externalLink>
</file>

<file path=xl/persons/person.xml><?xml version="1.0" encoding="utf-8"?>
<personList xmlns="http://schemas.microsoft.com/office/spreadsheetml/2018/threadedcomments" xmlns:x="http://schemas.openxmlformats.org/spreadsheetml/2006/main">
  <person displayName="Krishna Chaitanya" id="{BDF852E6-B01D-4A5A-9384-FDF0D0D77B2B}" userId="S::krishna.chaitanya@tnifmc.com::47fa4262-0f86-4c3b-bef3-35a70c4f3d9f" providerId="AD"/>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 dT="2023-05-24T10:05:45.87" personId="{BDF852E6-B01D-4A5A-9384-FDF0D0D77B2B}" id="{66D9D9A8-C622-4A52-8876-C04B18A75D2F}">
    <text>First Physical meeting with the TNIFMC Team</text>
  </threadedComment>
</ThreadedComments>
</file>

<file path=xl/threadedComments/threadedComment2.xml><?xml version="1.0" encoding="utf-8"?>
<ThreadedComments xmlns="http://schemas.microsoft.com/office/spreadsheetml/2018/threadedcomments" xmlns:x="http://schemas.openxmlformats.org/spreadsheetml/2006/main">
  <threadedComment ref="C3" dT="2023-05-24T10:05:45.87" personId="{BDF852E6-B01D-4A5A-9384-FDF0D0D77B2B}" id="{F366859C-B015-4955-B61E-1E49B5B9498F}">
    <text>First Physical meeting or communication with the TNIFMC Team</text>
  </threadedComment>
</ThreadedComments>
</file>

<file path=xl/threadedComments/threadedComment3.xml><?xml version="1.0" encoding="utf-8"?>
<ThreadedComments xmlns="http://schemas.microsoft.com/office/spreadsheetml/2018/threadedcomments" xmlns:x="http://schemas.openxmlformats.org/spreadsheetml/2006/main">
  <threadedComment ref="E3" dT="2023-06-08T06:43:15.53" personId="{BDF852E6-B01D-4A5A-9384-FDF0D0D77B2B}" id="{C6ADFB93-686A-4A23-B77D-457928186FDB}">
    <text xml:space="preserve">Automated this column, No need to fill this </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3" Type="http://schemas.openxmlformats.org/officeDocument/2006/relationships/hyperlink" Target="mailto:Naha.khosla@fcdo.gov.uk" TargetMode="External"/><Relationship Id="rId18" Type="http://schemas.openxmlformats.org/officeDocument/2006/relationships/hyperlink" Target="mailto:mdsec@ktkbank.com" TargetMode="External"/><Relationship Id="rId26" Type="http://schemas.openxmlformats.org/officeDocument/2006/relationships/hyperlink" Target="mailto:kvbceo@kvbmail.com" TargetMode="External"/><Relationship Id="rId3" Type="http://schemas.openxmlformats.org/officeDocument/2006/relationships/hyperlink" Target="mailto:barry.krinsky@citi.com" TargetMode="External"/><Relationship Id="rId21" Type="http://schemas.openxmlformats.org/officeDocument/2006/relationships/hyperlink" Target="mailto:md@sib.co.in" TargetMode="External"/><Relationship Id="rId34" Type="http://schemas.openxmlformats.org/officeDocument/2006/relationships/printerSettings" Target="../printerSettings/printerSettings4.bin"/><Relationship Id="rId7" Type="http://schemas.openxmlformats.org/officeDocument/2006/relationships/hyperlink" Target="mailto:chii.akporji@alphacitiesafrica.org" TargetMode="External"/><Relationship Id="rId12" Type="http://schemas.openxmlformats.org/officeDocument/2006/relationships/hyperlink" Target="mailto:nch@ifu.dk" TargetMode="External"/><Relationship Id="rId17" Type="http://schemas.openxmlformats.org/officeDocument/2006/relationships/hyperlink" Target="mailto:mdoffice@tmbank.in" TargetMode="External"/><Relationship Id="rId25" Type="http://schemas.openxmlformats.org/officeDocument/2006/relationships/hyperlink" Target="mailto:chairmansectt@nabard.org" TargetMode="External"/><Relationship Id="rId33" Type="http://schemas.openxmlformats.org/officeDocument/2006/relationships/hyperlink" Target="mailto:padmakumar.p@saint-gobain.com" TargetMode="External"/><Relationship Id="rId2" Type="http://schemas.openxmlformats.org/officeDocument/2006/relationships/hyperlink" Target="mailto:gespana@iskalicapital.com" TargetMode="External"/><Relationship Id="rId16" Type="http://schemas.openxmlformats.org/officeDocument/2006/relationships/hyperlink" Target="mailto:md.ceo@idbi.co.in" TargetMode="External"/><Relationship Id="rId20" Type="http://schemas.openxmlformats.org/officeDocument/2006/relationships/hyperlink" Target="mailto:nkamakoti@cityunionbank.com" TargetMode="External"/><Relationship Id="rId29" Type="http://schemas.openxmlformats.org/officeDocument/2006/relationships/hyperlink" Target="mailto:manishmakharia@hotmail.com" TargetMode="External"/><Relationship Id="rId1" Type="http://schemas.openxmlformats.org/officeDocument/2006/relationships/hyperlink" Target="mailto:kamalesh.kumar@nabard.org" TargetMode="External"/><Relationship Id="rId6" Type="http://schemas.openxmlformats.org/officeDocument/2006/relationships/hyperlink" Target="mailto:olu.olanrewaju@altairltd.co.uk" TargetMode="External"/><Relationship Id="rId11" Type="http://schemas.openxmlformats.org/officeDocument/2006/relationships/hyperlink" Target="mailto:marsmith@bii.co.uk" TargetMode="External"/><Relationship Id="rId24" Type="http://schemas.openxmlformats.org/officeDocument/2006/relationships/hyperlink" Target="mailto:mdceo@csb.in" TargetMode="External"/><Relationship Id="rId32" Type="http://schemas.openxmlformats.org/officeDocument/2006/relationships/hyperlink" Target="mailto:md@tidco.com" TargetMode="External"/><Relationship Id="rId5" Type="http://schemas.openxmlformats.org/officeDocument/2006/relationships/hyperlink" Target="mailto:daniel.font@sivafrica.com" TargetMode="External"/><Relationship Id="rId15" Type="http://schemas.openxmlformats.org/officeDocument/2006/relationships/hyperlink" Target="mailto:md.ceo@bankofbaroda.com" TargetMode="External"/><Relationship Id="rId23" Type="http://schemas.openxmlformats.org/officeDocument/2006/relationships/hyperlink" Target="mailto:ceodbsindia@dbs.com" TargetMode="External"/><Relationship Id="rId28" Type="http://schemas.openxmlformats.org/officeDocument/2006/relationships/hyperlink" Target="mailto:cmd@bankofindia.co.in" TargetMode="External"/><Relationship Id="rId10" Type="http://schemas.openxmlformats.org/officeDocument/2006/relationships/hyperlink" Target="mailto:maheshwarin@afd.fr" TargetMode="External"/><Relationship Id="rId19" Type="http://schemas.openxmlformats.org/officeDocument/2006/relationships/hyperlink" Target="mailto:muralim.natrajan@dcbbank.com" TargetMode="External"/><Relationship Id="rId31" Type="http://schemas.openxmlformats.org/officeDocument/2006/relationships/hyperlink" Target="mailto:sth@novo.dk" TargetMode="External"/><Relationship Id="rId4" Type="http://schemas.openxmlformats.org/officeDocument/2006/relationships/hyperlink" Target="mailto:anna.vilarrubi@sivafrica.com" TargetMode="External"/><Relationship Id="rId9" Type="http://schemas.openxmlformats.org/officeDocument/2006/relationships/hyperlink" Target="mailto:mgambo@shelterafrique.org" TargetMode="External"/><Relationship Id="rId14" Type="http://schemas.openxmlformats.org/officeDocument/2006/relationships/hyperlink" Target="mailto:standon@ifc.org" TargetMode="External"/><Relationship Id="rId22" Type="http://schemas.openxmlformats.org/officeDocument/2006/relationships/hyperlink" Target="mailto:mdoffice@dhanbank.co.in" TargetMode="External"/><Relationship Id="rId27" Type="http://schemas.openxmlformats.org/officeDocument/2006/relationships/hyperlink" Target="mailto:mdceo@canarabank.com" TargetMode="External"/><Relationship Id="rId30" Type="http://schemas.openxmlformats.org/officeDocument/2006/relationships/hyperlink" Target="mailto:carole.maman@bio-invest.be" TargetMode="External"/><Relationship Id="rId8" Type="http://schemas.openxmlformats.org/officeDocument/2006/relationships/hyperlink" Target="mailto:thann@shelterafrique.org"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hyperlink" Target="mailto:janardhan.k@tnifmc.com" TargetMode="External"/><Relationship Id="rId13" Type="http://schemas.openxmlformats.org/officeDocument/2006/relationships/hyperlink" Target="mailto:karthic.r@tnifmc.com" TargetMode="External"/><Relationship Id="rId3" Type="http://schemas.openxmlformats.org/officeDocument/2006/relationships/hyperlink" Target="mailto:SSatish@tnifmc.com" TargetMode="External"/><Relationship Id="rId7" Type="http://schemas.openxmlformats.org/officeDocument/2006/relationships/hyperlink" Target="mailto:kpmani.hfa@gmail.com" TargetMode="External"/><Relationship Id="rId12" Type="http://schemas.openxmlformats.org/officeDocument/2006/relationships/hyperlink" Target="mailto:praveen.ss@tnifmc.com" TargetMode="External"/><Relationship Id="rId17" Type="http://schemas.openxmlformats.org/officeDocument/2006/relationships/printerSettings" Target="../printerSettings/printerSettings6.bin"/><Relationship Id="rId2" Type="http://schemas.openxmlformats.org/officeDocument/2006/relationships/hyperlink" Target="mailto:krishna.chaitanya@tnifmc.com" TargetMode="External"/><Relationship Id="rId16" Type="http://schemas.openxmlformats.org/officeDocument/2006/relationships/hyperlink" Target="mailto:pruthvi.s@tnifmc.com" TargetMode="External"/><Relationship Id="rId1" Type="http://schemas.openxmlformats.org/officeDocument/2006/relationships/hyperlink" Target="mailto:monishaS@tnifmc.com" TargetMode="External"/><Relationship Id="rId6" Type="http://schemas.openxmlformats.org/officeDocument/2006/relationships/hyperlink" Target="mailto:balamuruganv1967@gmail.com" TargetMode="External"/><Relationship Id="rId11" Type="http://schemas.openxmlformats.org/officeDocument/2006/relationships/hyperlink" Target="mailto:sathanbabu.m@tnifmc.com" TargetMode="External"/><Relationship Id="rId5" Type="http://schemas.openxmlformats.org/officeDocument/2006/relationships/hyperlink" Target="mailto:prashanthi.j@tnifmc.com" TargetMode="External"/><Relationship Id="rId15" Type="http://schemas.openxmlformats.org/officeDocument/2006/relationships/hyperlink" Target="mailto:vijayarajendran@tnifmc.com" TargetMode="External"/><Relationship Id="rId10" Type="http://schemas.openxmlformats.org/officeDocument/2006/relationships/hyperlink" Target="mailto:rohit.s@tnifmc.com" TargetMode="External"/><Relationship Id="rId4" Type="http://schemas.openxmlformats.org/officeDocument/2006/relationships/hyperlink" Target="mailto:gana.sk@tnifmc.com" TargetMode="External"/><Relationship Id="rId9" Type="http://schemas.openxmlformats.org/officeDocument/2006/relationships/hyperlink" Target="mailto:malathihelen.s@tnifmc.com" TargetMode="External"/><Relationship Id="rId14" Type="http://schemas.openxmlformats.org/officeDocument/2006/relationships/hyperlink" Target="mailto:maheswaran.k@tnifmc.co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linkedin.com/company/prosperity7-ventures/" TargetMode="External"/><Relationship Id="rId13" Type="http://schemas.openxmlformats.org/officeDocument/2006/relationships/hyperlink" Target="https://www.linkedin.com/company/seedra/" TargetMode="External"/><Relationship Id="rId18" Type="http://schemas.openxmlformats.org/officeDocument/2006/relationships/hyperlink" Target="https://www.linkedin.com/company/vision-ventures-vv/" TargetMode="External"/><Relationship Id="rId26" Type="http://schemas.openxmlformats.org/officeDocument/2006/relationships/hyperlink" Target="https://www.linkedin.com/company/sabic/" TargetMode="External"/><Relationship Id="rId3" Type="http://schemas.openxmlformats.org/officeDocument/2006/relationships/hyperlink" Target="https://www.linkedin.com/company/aramcoventures/" TargetMode="External"/><Relationship Id="rId21" Type="http://schemas.openxmlformats.org/officeDocument/2006/relationships/hyperlink" Target="https://www.linkedin.com/company/impact-46/" TargetMode="External"/><Relationship Id="rId7" Type="http://schemas.openxmlformats.org/officeDocument/2006/relationships/hyperlink" Target="https://www.linkedin.com/company/stvcapital/" TargetMode="External"/><Relationship Id="rId12" Type="http://schemas.openxmlformats.org/officeDocument/2006/relationships/hyperlink" Target="https://www.linkedin.com/company/khwarizmivc/" TargetMode="External"/><Relationship Id="rId17" Type="http://schemas.openxmlformats.org/officeDocument/2006/relationships/hyperlink" Target="https://www.linkedin.com/company/aramcoventures/" TargetMode="External"/><Relationship Id="rId25" Type="http://schemas.openxmlformats.org/officeDocument/2006/relationships/hyperlink" Target="https://www.linkedin.com/company/derayah/" TargetMode="External"/><Relationship Id="rId2" Type="http://schemas.openxmlformats.org/officeDocument/2006/relationships/hyperlink" Target="https://www.linkedin.com/company/kaust-innovation/" TargetMode="External"/><Relationship Id="rId16" Type="http://schemas.openxmlformats.org/officeDocument/2006/relationships/hyperlink" Target="https://www.linkedin.com/company/kingdom-holding-company_985798/" TargetMode="External"/><Relationship Id="rId20" Type="http://schemas.openxmlformats.org/officeDocument/2006/relationships/hyperlink" Target="https://www.linkedin.com/company/raedvc/" TargetMode="External"/><Relationship Id="rId1" Type="http://schemas.openxmlformats.org/officeDocument/2006/relationships/hyperlink" Target="https://www.linkedin.com/company/vision-ventures-vv/" TargetMode="External"/><Relationship Id="rId6" Type="http://schemas.openxmlformats.org/officeDocument/2006/relationships/hyperlink" Target="https://www.linkedin.com/company/oqalangels/" TargetMode="External"/><Relationship Id="rId11" Type="http://schemas.openxmlformats.org/officeDocument/2006/relationships/hyperlink" Target="https://www.linkedin.com/company/sanabil-investments/" TargetMode="External"/><Relationship Id="rId24" Type="http://schemas.openxmlformats.org/officeDocument/2006/relationships/hyperlink" Target="https://www.linkedin.com/in/riyad-taqnia-fund-rtf-a83710229/" TargetMode="External"/><Relationship Id="rId5" Type="http://schemas.openxmlformats.org/officeDocument/2006/relationships/hyperlink" Target="https://www.linkedin.com/company/impact-46/" TargetMode="External"/><Relationship Id="rId15" Type="http://schemas.openxmlformats.org/officeDocument/2006/relationships/hyperlink" Target="https://www.linkedin.com/company/pifsaudi/" TargetMode="External"/><Relationship Id="rId23" Type="http://schemas.openxmlformats.org/officeDocument/2006/relationships/hyperlink" Target="https://www.linkedin.com/company/salic/" TargetMode="External"/><Relationship Id="rId10" Type="http://schemas.openxmlformats.org/officeDocument/2006/relationships/hyperlink" Target="https://www.linkedin.com/company/namaventures/" TargetMode="External"/><Relationship Id="rId19" Type="http://schemas.openxmlformats.org/officeDocument/2006/relationships/hyperlink" Target="https://www.linkedin.com/company/halavc/" TargetMode="External"/><Relationship Id="rId4" Type="http://schemas.openxmlformats.org/officeDocument/2006/relationships/hyperlink" Target="https://www.linkedin.com/company/raedvc/" TargetMode="External"/><Relationship Id="rId9" Type="http://schemas.openxmlformats.org/officeDocument/2006/relationships/hyperlink" Target="https://www.linkedin.com/company/pifsaudi/" TargetMode="External"/><Relationship Id="rId14" Type="http://schemas.openxmlformats.org/officeDocument/2006/relationships/hyperlink" Target="https://www.linkedin.com/company/pifsaudi/" TargetMode="External"/><Relationship Id="rId22" Type="http://schemas.openxmlformats.org/officeDocument/2006/relationships/hyperlink" Target="https://www.linkedin.com/company/daalcapital/" TargetMode="External"/><Relationship Id="rId27" Type="http://schemas.openxmlformats.org/officeDocument/2006/relationships/hyperlink" Target="https://www.linkedin.com/company/swicor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O12"/>
  <sheetViews>
    <sheetView topLeftCell="B1" workbookViewId="0">
      <selection activeCell="O2" sqref="O2"/>
    </sheetView>
  </sheetViews>
  <sheetFormatPr baseColWidth="10" defaultColWidth="12.6640625" defaultRowHeight="15.75" customHeight="1" x14ac:dyDescent="0.15"/>
  <cols>
    <col min="1" max="1" width="6.5" customWidth="1"/>
  </cols>
  <sheetData>
    <row r="1" spans="1:15" ht="13" x14ac:dyDescent="0.15">
      <c r="A1" s="123">
        <v>1</v>
      </c>
      <c r="B1" s="123" t="s">
        <v>0</v>
      </c>
    </row>
    <row r="2" spans="1:15" ht="14" x14ac:dyDescent="0.2">
      <c r="A2" s="123">
        <v>2</v>
      </c>
      <c r="B2" t="s">
        <v>1</v>
      </c>
      <c r="N2" s="79" t="s">
        <v>2</v>
      </c>
      <c r="O2">
        <f ca="1">SUMIF(Summary_FR!$G$4:$H$157,$N2,Summary_FR!$G$4:$G$157)</f>
        <v>0</v>
      </c>
    </row>
    <row r="3" spans="1:15" ht="14" x14ac:dyDescent="0.2">
      <c r="A3" s="123">
        <v>3</v>
      </c>
      <c r="B3" s="2" t="s">
        <v>3</v>
      </c>
      <c r="N3" s="79" t="s">
        <v>4</v>
      </c>
      <c r="O3">
        <f ca="1">SUMIF(Summary_FR!$G$4:$H$157,$N3,Summary_FR!$G$4:$G$157)</f>
        <v>0</v>
      </c>
    </row>
    <row r="4" spans="1:15" ht="42" x14ac:dyDescent="0.2">
      <c r="A4" s="123">
        <v>4</v>
      </c>
      <c r="B4" t="s">
        <v>5</v>
      </c>
      <c r="N4" s="79" t="s">
        <v>6</v>
      </c>
      <c r="O4">
        <f ca="1">SUMIF(Summary_FR!$G$4:$H$157,$N4,Summary_FR!$G$4:$G$157)</f>
        <v>0</v>
      </c>
    </row>
    <row r="5" spans="1:15" ht="56" x14ac:dyDescent="0.2">
      <c r="A5" s="123">
        <v>5</v>
      </c>
      <c r="B5" s="123" t="s">
        <v>7</v>
      </c>
      <c r="N5" s="79" t="s">
        <v>8</v>
      </c>
      <c r="O5">
        <f ca="1">SUMIF(Summary_FR!$G$4:$H$157,$N5,Summary_FR!$G$4:$G$157)</f>
        <v>0</v>
      </c>
    </row>
    <row r="6" spans="1:15" ht="14" x14ac:dyDescent="0.2">
      <c r="A6" s="123">
        <v>6</v>
      </c>
      <c r="B6" t="s">
        <v>9</v>
      </c>
      <c r="N6" s="79" t="s">
        <v>10</v>
      </c>
      <c r="O6">
        <f ca="1">SUMIF(Summary_FR!$G$4:$H$157,$N6,Summary_FR!$G$4:$G$157)</f>
        <v>0</v>
      </c>
    </row>
    <row r="7" spans="1:15" ht="15.75" customHeight="1" x14ac:dyDescent="0.2">
      <c r="N7" s="79" t="s">
        <v>11</v>
      </c>
      <c r="O7">
        <f ca="1">SUMIF(Summary_FR!$G$4:$H$157,$N7,Summary_FR!$G$4:$G$157)</f>
        <v>0</v>
      </c>
    </row>
    <row r="8" spans="1:15" ht="15.75" customHeight="1" x14ac:dyDescent="0.2">
      <c r="N8" s="79" t="s">
        <v>12</v>
      </c>
      <c r="O8">
        <f ca="1">SUMIF(Summary_FR!$G$4:$H$157,$N8,Summary_FR!$G$4:$G$157)</f>
        <v>0</v>
      </c>
    </row>
    <row r="9" spans="1:15" ht="15.75" customHeight="1" x14ac:dyDescent="0.2">
      <c r="N9" s="79" t="s">
        <v>13</v>
      </c>
      <c r="O9">
        <f ca="1">SUMIF(Summary_FR!$G$4:$H$157,$N9,Summary_FR!$G$4:$G$157)</f>
        <v>0</v>
      </c>
    </row>
    <row r="10" spans="1:15" ht="15.75" customHeight="1" x14ac:dyDescent="0.2">
      <c r="N10" s="79"/>
      <c r="O10">
        <f ca="1">SUMIF(Summary_FR!$G$4:$H$157,$N10,Summary_FR!$G$4:$G$157)</f>
        <v>0</v>
      </c>
    </row>
    <row r="11" spans="1:15" ht="15.75" customHeight="1" x14ac:dyDescent="0.2">
      <c r="N11" s="79"/>
      <c r="O11">
        <f ca="1">SUMIF(Summary_FR!$G$4:$H$157,$N11,Summary_FR!$G$4:$G$157)</f>
        <v>0</v>
      </c>
    </row>
    <row r="12" spans="1:15" ht="15.75" customHeight="1" x14ac:dyDescent="0.2">
      <c r="N12" s="79"/>
      <c r="O12">
        <f ca="1">SUMIF(Summary_FR!$G$4:$H$157,$N12,Summary_FR!$G$4:$G$157)</f>
        <v>0</v>
      </c>
    </row>
  </sheetData>
  <dataValidations count="1">
    <dataValidation type="list" allowBlank="1" showInputMessage="1" showErrorMessage="1" sqref="N2:N12" xr:uid="{859D206C-6FF2-422E-A93E-2C8C29E4F30F}">
      <formula1>Investor_Classification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outlinePr summaryBelow="0" summaryRight="0"/>
  </sheetPr>
  <dimension ref="A2:AF1000"/>
  <sheetViews>
    <sheetView view="pageBreakPreview" zoomScale="96" zoomScaleNormal="100" zoomScaleSheetLayoutView="155" workbookViewId="0">
      <pane ySplit="2" topLeftCell="A41" activePane="bottomLeft" state="frozen"/>
      <selection activeCell="C13" sqref="C13"/>
      <selection pane="bottomLeft" activeCell="C8" sqref="C7:C8"/>
    </sheetView>
  </sheetViews>
  <sheetFormatPr baseColWidth="10" defaultColWidth="12.6640625" defaultRowHeight="12" x14ac:dyDescent="0.15"/>
  <cols>
    <col min="1" max="1" width="17.5" style="8" bestFit="1" customWidth="1"/>
    <col min="2" max="2" width="11.5" style="33" customWidth="1"/>
    <col min="3" max="3" width="11.6640625" style="8" customWidth="1"/>
    <col min="4" max="4" width="15.33203125" style="9" customWidth="1"/>
    <col min="5" max="5" width="11.6640625" style="9" customWidth="1"/>
    <col min="6" max="6" width="12" style="8" customWidth="1"/>
    <col min="7" max="7" width="12.6640625" style="8"/>
    <col min="8" max="8" width="14.6640625" style="8" customWidth="1"/>
    <col min="9" max="9" width="14.5" style="8" customWidth="1"/>
    <col min="10" max="10" width="12.6640625" style="8"/>
    <col min="11" max="11" width="15.33203125" style="8" customWidth="1"/>
    <col min="12" max="12" width="15" style="8" customWidth="1"/>
    <col min="13" max="14" width="12.6640625" style="8" customWidth="1"/>
    <col min="15" max="15" width="36.5" style="8" customWidth="1"/>
    <col min="16" max="16384" width="12.6640625" style="8"/>
  </cols>
  <sheetData>
    <row r="2" spans="1:32" ht="39" x14ac:dyDescent="0.15">
      <c r="A2" s="10" t="str">
        <f>'RelMap+Summary'!C3</f>
        <v>Organisation</v>
      </c>
      <c r="B2" s="30" t="s">
        <v>14</v>
      </c>
      <c r="C2" s="10" t="str">
        <f>'RelMap+Summary'!D3</f>
        <v>Reference</v>
      </c>
      <c r="D2" s="10" t="str">
        <f>'RelMap+Summary'!F3</f>
        <v>Responsibility (TNIFMC)</v>
      </c>
      <c r="E2" s="10"/>
      <c r="F2" s="10" t="s">
        <v>15</v>
      </c>
      <c r="G2" s="10" t="s">
        <v>16</v>
      </c>
      <c r="H2" s="10" t="s">
        <v>17</v>
      </c>
      <c r="I2" s="10" t="s">
        <v>18</v>
      </c>
      <c r="J2" s="10" t="s">
        <v>19</v>
      </c>
      <c r="K2" s="10" t="s">
        <v>20</v>
      </c>
      <c r="L2" s="10" t="s">
        <v>21</v>
      </c>
      <c r="M2" s="10" t="s">
        <v>22</v>
      </c>
      <c r="N2" s="10" t="s">
        <v>23</v>
      </c>
      <c r="O2" s="10" t="s">
        <v>24</v>
      </c>
      <c r="P2" s="11"/>
      <c r="Q2" s="10" t="s">
        <v>25</v>
      </c>
      <c r="R2" s="11"/>
      <c r="S2" s="11"/>
      <c r="T2" s="11"/>
      <c r="U2" s="11"/>
      <c r="V2" s="11"/>
      <c r="W2" s="11"/>
      <c r="X2" s="11"/>
      <c r="Y2" s="11"/>
      <c r="Z2" s="11"/>
      <c r="AA2" s="11"/>
      <c r="AB2" s="11"/>
      <c r="AC2" s="11"/>
      <c r="AD2" s="11"/>
      <c r="AE2" s="11"/>
      <c r="AF2" s="11"/>
    </row>
    <row r="3" spans="1:32" ht="26" x14ac:dyDescent="0.15">
      <c r="A3" s="5" t="s">
        <v>26</v>
      </c>
      <c r="B3" s="31" t="s">
        <v>27</v>
      </c>
      <c r="C3" s="15" t="str">
        <f>IF(A3="","",INDEX('RelMap+Summary'!$C$4:$P$142,MATCH($A3,'RelMap+Summary'!$C$4:$C$142,0),MATCH(C$2,'RelMap+Summary'!$C$3:$P$3,0)))</f>
        <v>CFM</v>
      </c>
      <c r="D3" s="7" t="str">
        <f>IF(A3="","",INDEX('RelMap+Summary'!$C$4:$P$142,MATCH($A3,'RelMap+Summary'!$C$4:$C$142,0),MATCH(D$2,'RelMap+Summary'!$C$3:$P$3,0)))</f>
        <v>K. Ganapathy Subramanian</v>
      </c>
      <c r="E3" s="7"/>
      <c r="F3" s="14">
        <v>25</v>
      </c>
      <c r="G3" s="5" t="s">
        <v>28</v>
      </c>
      <c r="H3" s="5" t="s">
        <v>28</v>
      </c>
      <c r="I3" s="5" t="s">
        <v>28</v>
      </c>
      <c r="J3" s="5" t="s">
        <v>28</v>
      </c>
      <c r="K3" s="5" t="s">
        <v>28</v>
      </c>
      <c r="L3" s="5" t="s">
        <v>28</v>
      </c>
      <c r="M3" s="6"/>
      <c r="N3" s="16">
        <v>5</v>
      </c>
      <c r="O3" s="6" t="s">
        <v>29</v>
      </c>
      <c r="P3" s="11"/>
      <c r="Q3" s="11">
        <f>COUNTIF(G3:L3,"yes")</f>
        <v>6</v>
      </c>
      <c r="R3" s="11"/>
      <c r="S3" s="11"/>
      <c r="T3" s="11"/>
      <c r="U3" s="11"/>
      <c r="V3" s="11"/>
      <c r="W3" s="11"/>
      <c r="X3" s="11"/>
      <c r="Y3" s="11"/>
      <c r="Z3" s="11"/>
      <c r="AA3" s="11"/>
      <c r="AB3" s="11"/>
      <c r="AC3" s="11"/>
      <c r="AD3" s="11"/>
      <c r="AE3" s="11"/>
      <c r="AF3" s="11"/>
    </row>
    <row r="4" spans="1:32" ht="13" x14ac:dyDescent="0.15">
      <c r="A4" s="5" t="s">
        <v>30</v>
      </c>
      <c r="B4" s="31" t="s">
        <v>27</v>
      </c>
      <c r="C4" s="15" t="str">
        <f>IF(A4="","",INDEX('RelMap+Summary'!$C$4:$P$142,MATCH($A4,'RelMap+Summary'!$C$4:$C$142,0),MATCH(C$2,'RelMap+Summary'!$C$3:$P$3,0)))</f>
        <v>Propreitory</v>
      </c>
      <c r="D4" s="7" t="str">
        <f>IF(A4="","",INDEX('RelMap+Summary'!$C$4:$P$142,MATCH($A4,'RelMap+Summary'!$C$4:$C$142,0),MATCH(D$2,'RelMap+Summary'!$C$3:$P$3,0)))</f>
        <v>Krishna Chaitanya K</v>
      </c>
      <c r="E4" s="7"/>
      <c r="F4" s="14">
        <v>30</v>
      </c>
      <c r="G4" s="5" t="s">
        <v>28</v>
      </c>
      <c r="H4" s="5" t="s">
        <v>28</v>
      </c>
      <c r="I4" s="5" t="s">
        <v>28</v>
      </c>
      <c r="J4" s="5" t="s">
        <v>28</v>
      </c>
      <c r="K4" s="5" t="s">
        <v>31</v>
      </c>
      <c r="L4" s="5" t="s">
        <v>28</v>
      </c>
      <c r="M4" s="5" t="s">
        <v>32</v>
      </c>
      <c r="N4" s="5"/>
      <c r="O4" s="5" t="s">
        <v>33</v>
      </c>
      <c r="P4" s="11"/>
      <c r="Q4" s="11">
        <f t="shared" ref="Q4:Q34" si="0">COUNTIF(G4:L4,"yes")</f>
        <v>5</v>
      </c>
      <c r="R4" s="11"/>
      <c r="S4" s="11"/>
      <c r="T4" s="11"/>
      <c r="U4" s="11"/>
      <c r="V4" s="11"/>
      <c r="W4" s="11"/>
      <c r="X4" s="11"/>
      <c r="Y4" s="11"/>
      <c r="Z4" s="11"/>
      <c r="AA4" s="11"/>
      <c r="AB4" s="11"/>
      <c r="AC4" s="11"/>
      <c r="AD4" s="11"/>
      <c r="AE4" s="11"/>
      <c r="AF4" s="11"/>
    </row>
    <row r="5" spans="1:32" ht="26" x14ac:dyDescent="0.15">
      <c r="A5" s="12" t="s">
        <v>34</v>
      </c>
      <c r="B5" s="31" t="s">
        <v>27</v>
      </c>
      <c r="C5" s="15" t="str">
        <f>IF(A5="","",INDEX('RelMap+Summary'!$C$4:$P$142,MATCH($A5,'RelMap+Summary'!$C$4:$C$142,0),MATCH(C$2,'RelMap+Summary'!$C$3:$P$3,0)))</f>
        <v>CFM</v>
      </c>
      <c r="D5" s="7" t="str">
        <f>IF(A5="","",INDEX('RelMap+Summary'!$C$4:$P$142,MATCH($A5,'RelMap+Summary'!$C$4:$C$142,0),MATCH(D$2,'RelMap+Summary'!$C$3:$P$3,0)))</f>
        <v>K. Ganapathy Subramanian</v>
      </c>
      <c r="E5" s="7"/>
      <c r="F5" s="14">
        <v>25</v>
      </c>
      <c r="G5" s="5" t="s">
        <v>28</v>
      </c>
      <c r="H5" s="5" t="s">
        <v>28</v>
      </c>
      <c r="I5" s="5" t="s">
        <v>28</v>
      </c>
      <c r="J5" s="5"/>
      <c r="K5" s="5"/>
      <c r="L5" s="5"/>
      <c r="M5" s="6" t="s">
        <v>32</v>
      </c>
      <c r="N5" s="6"/>
      <c r="O5" s="6" t="s">
        <v>35</v>
      </c>
      <c r="P5" s="11"/>
      <c r="Q5" s="11">
        <f t="shared" si="0"/>
        <v>3</v>
      </c>
      <c r="R5" s="11"/>
      <c r="S5" s="11"/>
      <c r="T5" s="11"/>
      <c r="U5" s="11"/>
      <c r="V5" s="11"/>
      <c r="W5" s="11"/>
      <c r="X5" s="11"/>
      <c r="Y5" s="11"/>
      <c r="Z5" s="11"/>
      <c r="AA5" s="11"/>
      <c r="AB5" s="11"/>
      <c r="AC5" s="11"/>
      <c r="AD5" s="11"/>
      <c r="AE5" s="11"/>
      <c r="AF5" s="11"/>
    </row>
    <row r="6" spans="1:32" ht="26" x14ac:dyDescent="0.15">
      <c r="A6" s="5" t="s">
        <v>36</v>
      </c>
      <c r="B6" s="31" t="s">
        <v>27</v>
      </c>
      <c r="C6" s="15" t="str">
        <f>IF(A6="","",INDEX('RelMap+Summary'!$C$4:$P$142,MATCH($A6,'RelMap+Summary'!$C$4:$C$142,0),MATCH(C$2,'RelMap+Summary'!$C$3:$P$3,0)))</f>
        <v>Propreitory</v>
      </c>
      <c r="D6" s="7" t="str">
        <f>IF(A6="","",INDEX('RelMap+Summary'!$C$4:$P$142,MATCH($A6,'RelMap+Summary'!$C$4:$C$142,0),MATCH(D$2,'RelMap+Summary'!$C$3:$P$3,0)))</f>
        <v>K. Ganapathy Subramanian</v>
      </c>
      <c r="E6" s="7"/>
      <c r="F6" s="14">
        <v>115</v>
      </c>
      <c r="G6" s="5" t="s">
        <v>28</v>
      </c>
      <c r="H6" s="5" t="s">
        <v>28</v>
      </c>
      <c r="I6" s="5" t="s">
        <v>28</v>
      </c>
      <c r="J6" s="5"/>
      <c r="K6" s="5"/>
      <c r="L6" s="5"/>
      <c r="M6" s="6" t="s">
        <v>32</v>
      </c>
      <c r="N6" s="5"/>
      <c r="O6" s="5"/>
      <c r="P6" s="11"/>
      <c r="Q6" s="11">
        <f t="shared" si="0"/>
        <v>3</v>
      </c>
      <c r="R6" s="11"/>
      <c r="S6" s="11"/>
      <c r="T6" s="11"/>
      <c r="U6" s="11"/>
      <c r="V6" s="11"/>
      <c r="W6" s="11"/>
      <c r="X6" s="11"/>
      <c r="Y6" s="11"/>
      <c r="Z6" s="11"/>
      <c r="AA6" s="11"/>
      <c r="AB6" s="11"/>
      <c r="AC6" s="11"/>
      <c r="AD6" s="11"/>
      <c r="AE6" s="11"/>
      <c r="AF6" s="11"/>
    </row>
    <row r="7" spans="1:32" ht="26" x14ac:dyDescent="0.15">
      <c r="A7" s="5" t="s">
        <v>37</v>
      </c>
      <c r="B7" s="31" t="s">
        <v>27</v>
      </c>
      <c r="C7" s="15" t="str">
        <f>IF(A7="","",INDEX('RelMap+Summary'!$C$4:$P$142,MATCH($A7,'RelMap+Summary'!$C$4:$C$142,0),MATCH(C$2,'RelMap+Summary'!$C$3:$P$3,0)))</f>
        <v>Propreitory</v>
      </c>
      <c r="D7" s="7" t="str">
        <f>IF(A7="","",INDEX('RelMap+Summary'!$C$4:$P$142,MATCH($A7,'RelMap+Summary'!$C$4:$C$142,0),MATCH(D$2,'RelMap+Summary'!$C$3:$P$3,0)))</f>
        <v>K. Ganapathy Subramanian</v>
      </c>
      <c r="E7" s="7"/>
      <c r="F7" s="14">
        <v>100</v>
      </c>
      <c r="G7" s="5" t="s">
        <v>28</v>
      </c>
      <c r="H7" s="5" t="s">
        <v>28</v>
      </c>
      <c r="I7" s="5" t="s">
        <v>28</v>
      </c>
      <c r="J7" s="5"/>
      <c r="K7" s="5"/>
      <c r="L7" s="5"/>
      <c r="M7" s="6" t="s">
        <v>32</v>
      </c>
      <c r="N7" s="5"/>
      <c r="O7" s="5"/>
      <c r="P7" s="11"/>
      <c r="Q7" s="11">
        <f t="shared" si="0"/>
        <v>3</v>
      </c>
      <c r="R7" s="11"/>
      <c r="S7" s="11"/>
      <c r="T7" s="11"/>
      <c r="U7" s="11"/>
      <c r="V7" s="11"/>
      <c r="W7" s="11"/>
      <c r="X7" s="11"/>
      <c r="Y7" s="11"/>
      <c r="Z7" s="11"/>
      <c r="AA7" s="11"/>
      <c r="AB7" s="11"/>
      <c r="AC7" s="11"/>
      <c r="AD7" s="11"/>
      <c r="AE7" s="11"/>
      <c r="AF7" s="11"/>
    </row>
    <row r="8" spans="1:32" ht="26" x14ac:dyDescent="0.15">
      <c r="A8" s="5" t="s">
        <v>38</v>
      </c>
      <c r="B8" s="31" t="s">
        <v>27</v>
      </c>
      <c r="C8" s="15" t="str">
        <f>IF(A8="","",INDEX('RelMap+Summary'!$C$4:$P$142,MATCH($A8,'RelMap+Summary'!$C$4:$C$142,0),MATCH(C$2,'RelMap+Summary'!$C$3:$P$3,0)))</f>
        <v>CFM</v>
      </c>
      <c r="D8" s="7" t="str">
        <f>IF(A8="","",INDEX('RelMap+Summary'!$C$4:$P$142,MATCH($A8,'RelMap+Summary'!$C$4:$C$142,0),MATCH(D$2,'RelMap+Summary'!$C$3:$P$3,0)))</f>
        <v>K. Ganapathy Subramanian</v>
      </c>
      <c r="E8" s="7"/>
      <c r="F8" s="14">
        <v>25</v>
      </c>
      <c r="G8" s="5" t="s">
        <v>28</v>
      </c>
      <c r="H8" s="5" t="s">
        <v>28</v>
      </c>
      <c r="I8" s="5"/>
      <c r="J8" s="5"/>
      <c r="K8" s="5"/>
      <c r="L8" s="5"/>
      <c r="M8" s="5" t="s">
        <v>39</v>
      </c>
      <c r="N8" s="5"/>
      <c r="O8" s="21" t="s">
        <v>40</v>
      </c>
      <c r="P8" s="11"/>
      <c r="Q8" s="11">
        <f t="shared" si="0"/>
        <v>2</v>
      </c>
      <c r="R8" s="11"/>
      <c r="S8" s="11"/>
      <c r="T8" s="11"/>
      <c r="U8" s="11"/>
      <c r="V8" s="11"/>
      <c r="W8" s="11"/>
      <c r="X8" s="11"/>
      <c r="Y8" s="11"/>
      <c r="Z8" s="11"/>
      <c r="AA8" s="11"/>
      <c r="AB8" s="11"/>
      <c r="AC8" s="11"/>
      <c r="AD8" s="11"/>
      <c r="AE8" s="11"/>
      <c r="AF8" s="11"/>
    </row>
    <row r="9" spans="1:32" ht="26" x14ac:dyDescent="0.15">
      <c r="A9" s="5" t="s">
        <v>41</v>
      </c>
      <c r="B9" s="31" t="s">
        <v>27</v>
      </c>
      <c r="C9" s="15" t="str">
        <f>IF(A9="","",INDEX('RelMap+Summary'!$C$4:$P$142,MATCH($A9,'RelMap+Summary'!$C$4:$C$142,0),MATCH(C$2,'RelMap+Summary'!$C$3:$P$3,0)))</f>
        <v>CFM</v>
      </c>
      <c r="D9" s="7" t="str">
        <f>IF(A9="","",INDEX('RelMap+Summary'!$C$4:$P$142,MATCH($A9,'RelMap+Summary'!$C$4:$C$142,0),MATCH(D$2,'RelMap+Summary'!$C$3:$P$3,0)))</f>
        <v>K. Ganapathy Subramanian</v>
      </c>
      <c r="E9" s="7"/>
      <c r="F9" s="14">
        <v>25</v>
      </c>
      <c r="G9" s="5" t="s">
        <v>28</v>
      </c>
      <c r="H9" s="5" t="s">
        <v>28</v>
      </c>
      <c r="I9" s="5"/>
      <c r="J9" s="5"/>
      <c r="K9" s="5"/>
      <c r="L9" s="5"/>
      <c r="M9" s="5" t="s">
        <v>32</v>
      </c>
      <c r="N9" s="5"/>
      <c r="O9" s="5"/>
      <c r="P9" s="11"/>
      <c r="Q9" s="11">
        <f t="shared" si="0"/>
        <v>2</v>
      </c>
      <c r="R9" s="11"/>
      <c r="S9" s="11"/>
      <c r="T9" s="11"/>
      <c r="U9" s="11"/>
      <c r="V9" s="11"/>
      <c r="W9" s="11"/>
      <c r="X9" s="11"/>
      <c r="Y9" s="11"/>
      <c r="Z9" s="11"/>
      <c r="AA9" s="11"/>
      <c r="AB9" s="11"/>
      <c r="AC9" s="11"/>
      <c r="AD9" s="11"/>
      <c r="AE9" s="11"/>
      <c r="AF9" s="11"/>
    </row>
    <row r="10" spans="1:32" ht="26" x14ac:dyDescent="0.15">
      <c r="A10" s="5" t="s">
        <v>42</v>
      </c>
      <c r="B10" s="31" t="s">
        <v>27</v>
      </c>
      <c r="C10" s="15" t="str">
        <f>IF(A10="","",INDEX('RelMap+Summary'!$C$4:$P$142,MATCH($A10,'RelMap+Summary'!$C$4:$C$142,0),MATCH(C$2,'RelMap+Summary'!$C$3:$P$3,0)))</f>
        <v>CFM</v>
      </c>
      <c r="D10" s="7" t="str">
        <f>IF(A10="","",INDEX('RelMap+Summary'!$C$4:$P$142,MATCH($A10,'RelMap+Summary'!$C$4:$C$142,0),MATCH(D$2,'RelMap+Summary'!$C$3:$P$3,0)))</f>
        <v>K. Ganapathy Subramanian</v>
      </c>
      <c r="E10" s="7"/>
      <c r="F10" s="14">
        <v>50</v>
      </c>
      <c r="G10" s="5" t="s">
        <v>28</v>
      </c>
      <c r="H10" s="5" t="s">
        <v>28</v>
      </c>
      <c r="I10" s="5"/>
      <c r="J10" s="5"/>
      <c r="K10" s="5"/>
      <c r="L10" s="5"/>
      <c r="M10" s="5" t="s">
        <v>32</v>
      </c>
      <c r="N10" s="5"/>
      <c r="O10" s="5"/>
      <c r="P10" s="11"/>
      <c r="Q10" s="11">
        <f t="shared" si="0"/>
        <v>2</v>
      </c>
      <c r="R10" s="11"/>
      <c r="S10" s="11"/>
      <c r="T10" s="11"/>
      <c r="U10" s="11"/>
      <c r="V10" s="11"/>
      <c r="W10" s="11"/>
      <c r="X10" s="11"/>
      <c r="Y10" s="11"/>
      <c r="Z10" s="11"/>
      <c r="AA10" s="11"/>
      <c r="AB10" s="11"/>
      <c r="AC10" s="11"/>
      <c r="AD10" s="11"/>
      <c r="AE10" s="11"/>
      <c r="AF10" s="11"/>
    </row>
    <row r="11" spans="1:32" ht="26" x14ac:dyDescent="0.15">
      <c r="A11" s="12" t="s">
        <v>43</v>
      </c>
      <c r="B11" s="31" t="s">
        <v>27</v>
      </c>
      <c r="C11" s="15" t="str">
        <f>IF(A11="","",INDEX('RelMap+Summary'!$C$4:$P$142,MATCH($A11,'RelMap+Summary'!$C$4:$C$142,0),MATCH(C$2,'RelMap+Summary'!$C$3:$P$3,0)))</f>
        <v>CFM</v>
      </c>
      <c r="D11" s="7" t="str">
        <f>IF(A11="","",INDEX('RelMap+Summary'!$C$4:$P$142,MATCH($A11,'RelMap+Summary'!$C$4:$C$142,0),MATCH(D$2,'RelMap+Summary'!$C$3:$P$3,0)))</f>
        <v>K. Ganapathy Subramanian</v>
      </c>
      <c r="E11" s="7"/>
      <c r="F11" s="14">
        <v>10</v>
      </c>
      <c r="G11" s="5" t="s">
        <v>28</v>
      </c>
      <c r="H11" s="5" t="s">
        <v>28</v>
      </c>
      <c r="I11" s="5"/>
      <c r="J11" s="5"/>
      <c r="K11" s="5"/>
      <c r="L11" s="5"/>
      <c r="M11" s="6" t="s">
        <v>32</v>
      </c>
      <c r="N11" s="6"/>
      <c r="O11" s="6"/>
      <c r="P11" s="11"/>
      <c r="Q11" s="11">
        <f t="shared" si="0"/>
        <v>2</v>
      </c>
      <c r="R11" s="11"/>
      <c r="S11" s="11"/>
      <c r="T11" s="11"/>
      <c r="U11" s="11"/>
      <c r="V11" s="11"/>
      <c r="W11" s="11"/>
      <c r="X11" s="11"/>
      <c r="Y11" s="11"/>
      <c r="Z11" s="11"/>
      <c r="AA11" s="11"/>
      <c r="AB11" s="11"/>
      <c r="AC11" s="11"/>
      <c r="AD11" s="11"/>
      <c r="AE11" s="11"/>
      <c r="AF11" s="11"/>
    </row>
    <row r="12" spans="1:32" ht="26" x14ac:dyDescent="0.15">
      <c r="A12" s="12" t="s">
        <v>44</v>
      </c>
      <c r="B12" s="31" t="s">
        <v>27</v>
      </c>
      <c r="C12" s="15" t="str">
        <f>IF(A12="","",INDEX('RelMap+Summary'!$C$4:$P$142,MATCH($A12,'RelMap+Summary'!$C$4:$C$142,0),MATCH(C$2,'RelMap+Summary'!$C$3:$P$3,0)))</f>
        <v>CFM</v>
      </c>
      <c r="D12" s="7" t="str">
        <f>IF(A12="","",INDEX('RelMap+Summary'!$C$4:$P$142,MATCH($A12,'RelMap+Summary'!$C$4:$C$142,0),MATCH(D$2,'RelMap+Summary'!$C$3:$P$3,0)))</f>
        <v>K. Ganapathy Subramanian</v>
      </c>
      <c r="E12" s="7"/>
      <c r="F12" s="14">
        <v>25</v>
      </c>
      <c r="G12" s="5" t="s">
        <v>28</v>
      </c>
      <c r="H12" s="5" t="s">
        <v>28</v>
      </c>
      <c r="I12" s="5"/>
      <c r="J12" s="5"/>
      <c r="K12" s="5"/>
      <c r="L12" s="5"/>
      <c r="M12" s="6" t="s">
        <v>32</v>
      </c>
      <c r="N12" s="6"/>
      <c r="O12" s="6"/>
      <c r="P12" s="11"/>
      <c r="Q12" s="11">
        <f t="shared" si="0"/>
        <v>2</v>
      </c>
      <c r="R12" s="11"/>
      <c r="S12" s="11"/>
      <c r="T12" s="11"/>
      <c r="U12" s="11"/>
      <c r="V12" s="11"/>
      <c r="W12" s="11"/>
      <c r="X12" s="11"/>
      <c r="Y12" s="11"/>
      <c r="Z12" s="11"/>
      <c r="AA12" s="11"/>
      <c r="AB12" s="11"/>
      <c r="AC12" s="11"/>
      <c r="AD12" s="11"/>
      <c r="AE12" s="11"/>
      <c r="AF12" s="11"/>
    </row>
    <row r="13" spans="1:32" ht="26" x14ac:dyDescent="0.15">
      <c r="A13" s="12" t="s">
        <v>45</v>
      </c>
      <c r="B13" s="31" t="s">
        <v>27</v>
      </c>
      <c r="C13" s="15" t="str">
        <f>IF(A13="","",INDEX('RelMap+Summary'!$C$4:$P$142,MATCH($A13,'RelMap+Summary'!$C$4:$C$142,0),MATCH(C$2,'RelMap+Summary'!$C$3:$P$3,0)))</f>
        <v>CFM</v>
      </c>
      <c r="D13" s="7" t="str">
        <f>IF(A13="","",INDEX('RelMap+Summary'!$C$4:$P$142,MATCH($A13,'RelMap+Summary'!$C$4:$C$142,0),MATCH(D$2,'RelMap+Summary'!$C$3:$P$3,0)))</f>
        <v>K. Ganapathy Subramanian</v>
      </c>
      <c r="E13" s="7"/>
      <c r="F13" s="14">
        <v>25</v>
      </c>
      <c r="G13" s="5" t="s">
        <v>28</v>
      </c>
      <c r="H13" s="5" t="s">
        <v>28</v>
      </c>
      <c r="I13" s="5"/>
      <c r="J13" s="5"/>
      <c r="K13" s="5"/>
      <c r="L13" s="5"/>
      <c r="M13" s="6" t="s">
        <v>32</v>
      </c>
      <c r="N13" s="6"/>
      <c r="O13" s="6"/>
      <c r="P13" s="11"/>
      <c r="Q13" s="11">
        <f t="shared" si="0"/>
        <v>2</v>
      </c>
      <c r="R13" s="11"/>
      <c r="S13" s="11"/>
      <c r="T13" s="11"/>
      <c r="U13" s="11"/>
      <c r="V13" s="11"/>
      <c r="W13" s="11"/>
      <c r="X13" s="11"/>
      <c r="Y13" s="11"/>
      <c r="Z13" s="11"/>
      <c r="AA13" s="11"/>
      <c r="AB13" s="11"/>
      <c r="AC13" s="11"/>
      <c r="AD13" s="11"/>
      <c r="AE13" s="11"/>
      <c r="AF13" s="11"/>
    </row>
    <row r="14" spans="1:32" ht="13" x14ac:dyDescent="0.15">
      <c r="A14" s="12" t="s">
        <v>46</v>
      </c>
      <c r="B14" s="31" t="s">
        <v>27</v>
      </c>
      <c r="C14" s="15" t="str">
        <f>IF(A14="","",INDEX('RelMap+Summary'!$C$4:$P$142,MATCH($A14,'RelMap+Summary'!$C$4:$C$142,0),MATCH(C$2,'RelMap+Summary'!$C$3:$P$3,0)))</f>
        <v>CFM</v>
      </c>
      <c r="D14" s="7" t="str">
        <f>IF(A14="","",INDEX('RelMap+Summary'!$C$4:$P$142,MATCH($A14,'RelMap+Summary'!$C$4:$C$142,0),MATCH(D$2,'RelMap+Summary'!$C$3:$P$3,0)))</f>
        <v>Krishna Chaitanya K</v>
      </c>
      <c r="E14" s="7"/>
      <c r="F14" s="14">
        <v>50</v>
      </c>
      <c r="G14" s="5" t="s">
        <v>28</v>
      </c>
      <c r="H14" s="5" t="s">
        <v>28</v>
      </c>
      <c r="I14" s="5"/>
      <c r="J14" s="5"/>
      <c r="K14" s="5"/>
      <c r="L14" s="5"/>
      <c r="M14" s="6" t="s">
        <v>32</v>
      </c>
      <c r="N14" s="6"/>
      <c r="O14" s="6" t="s">
        <v>47</v>
      </c>
      <c r="P14" s="11"/>
      <c r="Q14" s="11">
        <f t="shared" si="0"/>
        <v>2</v>
      </c>
      <c r="R14" s="11"/>
      <c r="S14" s="11"/>
      <c r="T14" s="11"/>
      <c r="U14" s="11"/>
      <c r="V14" s="11"/>
      <c r="W14" s="11"/>
      <c r="X14" s="11"/>
      <c r="Y14" s="11"/>
      <c r="Z14" s="11"/>
      <c r="AA14" s="11"/>
      <c r="AB14" s="11"/>
      <c r="AC14" s="11"/>
      <c r="AD14" s="11"/>
      <c r="AE14" s="11"/>
      <c r="AF14" s="11"/>
    </row>
    <row r="15" spans="1:32" ht="26" x14ac:dyDescent="0.15">
      <c r="A15" s="5" t="s">
        <v>48</v>
      </c>
      <c r="B15" s="31" t="s">
        <v>27</v>
      </c>
      <c r="C15" s="15" t="str">
        <f>IF(A15="","",INDEX('RelMap+Summary'!$C$4:$P$142,MATCH($A15,'RelMap+Summary'!$C$4:$C$142,0),MATCH(C$2,'RelMap+Summary'!$C$3:$P$3,0)))</f>
        <v>CFM</v>
      </c>
      <c r="D15" s="7" t="str">
        <f>IF(A15="","",INDEX('RelMap+Summary'!$C$4:$P$142,MATCH($A15,'RelMap+Summary'!$C$4:$C$142,0),MATCH(D$2,'RelMap+Summary'!$C$3:$P$3,0)))</f>
        <v>K. Ganapathy Subramanian</v>
      </c>
      <c r="E15" s="7"/>
      <c r="F15" s="14">
        <v>25</v>
      </c>
      <c r="G15" s="5" t="s">
        <v>28</v>
      </c>
      <c r="H15" s="5" t="s">
        <v>28</v>
      </c>
      <c r="I15" s="5"/>
      <c r="J15" s="5"/>
      <c r="K15" s="5"/>
      <c r="L15" s="5"/>
      <c r="M15" s="5" t="s">
        <v>32</v>
      </c>
      <c r="N15" s="5"/>
      <c r="O15" s="5"/>
      <c r="P15" s="11"/>
      <c r="Q15" s="11">
        <f t="shared" si="0"/>
        <v>2</v>
      </c>
      <c r="R15" s="11"/>
      <c r="S15" s="11"/>
      <c r="T15" s="11"/>
      <c r="U15" s="11"/>
      <c r="V15" s="11"/>
      <c r="W15" s="11"/>
      <c r="X15" s="11"/>
      <c r="Y15" s="11"/>
      <c r="Z15" s="11"/>
      <c r="AA15" s="11"/>
      <c r="AB15" s="11"/>
      <c r="AC15" s="11"/>
      <c r="AD15" s="11"/>
      <c r="AE15" s="11"/>
      <c r="AF15" s="11"/>
    </row>
    <row r="16" spans="1:32" ht="26" x14ac:dyDescent="0.15">
      <c r="A16" s="12" t="s">
        <v>49</v>
      </c>
      <c r="B16" s="31" t="s">
        <v>27</v>
      </c>
      <c r="C16" s="15" t="str">
        <f>IF(A16="","",INDEX('RelMap+Summary'!$C$4:$P$142,MATCH($A16,'RelMap+Summary'!$C$4:$C$142,0),MATCH(C$2,'RelMap+Summary'!$C$3:$P$3,0)))</f>
        <v>CFM</v>
      </c>
      <c r="D16" s="7" t="str">
        <f>IF(A16="","",INDEX('RelMap+Summary'!$C$4:$P$142,MATCH($A16,'RelMap+Summary'!$C$4:$C$142,0),MATCH(D$2,'RelMap+Summary'!$C$3:$P$3,0)))</f>
        <v>K. Ganapathy Subramanian</v>
      </c>
      <c r="E16" s="7"/>
      <c r="F16" s="14">
        <v>10</v>
      </c>
      <c r="G16" s="5" t="s">
        <v>28</v>
      </c>
      <c r="H16" s="5"/>
      <c r="I16" s="5"/>
      <c r="J16" s="5"/>
      <c r="K16" s="5"/>
      <c r="L16" s="5"/>
      <c r="M16" s="6" t="s">
        <v>32</v>
      </c>
      <c r="N16" s="6"/>
      <c r="O16" s="6" t="s">
        <v>50</v>
      </c>
      <c r="P16" s="11"/>
      <c r="Q16" s="11">
        <f t="shared" si="0"/>
        <v>1</v>
      </c>
      <c r="R16" s="11"/>
      <c r="S16" s="11"/>
      <c r="T16" s="11"/>
      <c r="U16" s="11"/>
      <c r="V16" s="11"/>
      <c r="W16" s="11"/>
      <c r="X16" s="11"/>
      <c r="Y16" s="11"/>
      <c r="Z16" s="11"/>
      <c r="AA16" s="11"/>
      <c r="AB16" s="11"/>
      <c r="AC16" s="11"/>
      <c r="AD16" s="11"/>
      <c r="AE16" s="11"/>
      <c r="AF16" s="11"/>
    </row>
    <row r="17" spans="1:32" ht="26" x14ac:dyDescent="0.15">
      <c r="A17" s="12" t="s">
        <v>51</v>
      </c>
      <c r="B17" s="31" t="s">
        <v>27</v>
      </c>
      <c r="C17" s="15" t="str">
        <f>IF(A17="","",INDEX('RelMap+Summary'!$C$4:$P$142,MATCH($A17,'RelMap+Summary'!$C$4:$C$142,0),MATCH(C$2,'RelMap+Summary'!$C$3:$P$3,0)))</f>
        <v>CFM</v>
      </c>
      <c r="D17" s="7" t="str">
        <f>IF(A17="","",INDEX('RelMap+Summary'!$C$4:$P$142,MATCH($A17,'RelMap+Summary'!$C$4:$C$142,0),MATCH(D$2,'RelMap+Summary'!$C$3:$P$3,0)))</f>
        <v>K. Ganapathy Subramanian</v>
      </c>
      <c r="E17" s="7"/>
      <c r="F17" s="14">
        <v>25</v>
      </c>
      <c r="G17" s="5" t="s">
        <v>28</v>
      </c>
      <c r="H17" s="5"/>
      <c r="I17" s="5"/>
      <c r="J17" s="5"/>
      <c r="K17" s="5"/>
      <c r="L17" s="5"/>
      <c r="M17" s="6" t="s">
        <v>32</v>
      </c>
      <c r="N17" s="6"/>
      <c r="O17" s="6"/>
      <c r="P17" s="11"/>
      <c r="Q17" s="11">
        <f t="shared" si="0"/>
        <v>1</v>
      </c>
      <c r="R17" s="11"/>
      <c r="S17" s="11"/>
      <c r="T17" s="11"/>
      <c r="U17" s="11"/>
      <c r="V17" s="11"/>
      <c r="W17" s="11"/>
      <c r="X17" s="11"/>
      <c r="Y17" s="11"/>
      <c r="Z17" s="11"/>
      <c r="AA17" s="11"/>
      <c r="AB17" s="11"/>
      <c r="AC17" s="11"/>
      <c r="AD17" s="11"/>
      <c r="AE17" s="11"/>
      <c r="AF17" s="11"/>
    </row>
    <row r="18" spans="1:32" ht="26" x14ac:dyDescent="0.15">
      <c r="A18" s="12" t="s">
        <v>52</v>
      </c>
      <c r="B18" s="31" t="s">
        <v>27</v>
      </c>
      <c r="C18" s="15" t="str">
        <f>IF(A18="","",INDEX('RelMap+Summary'!$C$4:$P$142,MATCH($A18,'RelMap+Summary'!$C$4:$C$142,0),MATCH(C$2,'RelMap+Summary'!$C$3:$P$3,0)))</f>
        <v>CFM</v>
      </c>
      <c r="D18" s="7" t="str">
        <f>IF(A18="","",INDEX('RelMap+Summary'!$C$4:$P$142,MATCH($A18,'RelMap+Summary'!$C$4:$C$142,0),MATCH(D$2,'RelMap+Summary'!$C$3:$P$3,0)))</f>
        <v>K. Ganapathy Subramanian</v>
      </c>
      <c r="E18" s="7"/>
      <c r="F18" s="14">
        <v>50</v>
      </c>
      <c r="G18" s="5" t="s">
        <v>28</v>
      </c>
      <c r="H18" s="5"/>
      <c r="I18" s="5"/>
      <c r="J18" s="5"/>
      <c r="K18" s="5"/>
      <c r="L18" s="5"/>
      <c r="M18" s="6" t="s">
        <v>32</v>
      </c>
      <c r="N18" s="6"/>
      <c r="O18" s="6"/>
      <c r="P18" s="11"/>
      <c r="Q18" s="11">
        <f t="shared" si="0"/>
        <v>1</v>
      </c>
      <c r="R18" s="11"/>
      <c r="S18" s="11"/>
      <c r="T18" s="11"/>
      <c r="U18" s="11"/>
      <c r="V18" s="11"/>
      <c r="W18" s="11"/>
      <c r="X18" s="11"/>
      <c r="Y18" s="11"/>
      <c r="Z18" s="11"/>
      <c r="AA18" s="11"/>
      <c r="AB18" s="11"/>
      <c r="AC18" s="11"/>
      <c r="AD18" s="11"/>
      <c r="AE18" s="11"/>
      <c r="AF18" s="11"/>
    </row>
    <row r="19" spans="1:32" ht="26" x14ac:dyDescent="0.15">
      <c r="A19" s="12" t="s">
        <v>53</v>
      </c>
      <c r="B19" s="31" t="s">
        <v>27</v>
      </c>
      <c r="C19" s="15" t="str">
        <f>IF(A19="","",INDEX('RelMap+Summary'!$C$4:$P$142,MATCH($A19,'RelMap+Summary'!$C$4:$C$142,0),MATCH(C$2,'RelMap+Summary'!$C$3:$P$3,0)))</f>
        <v>CFM</v>
      </c>
      <c r="D19" s="7" t="str">
        <f>IF(A19="","",INDEX('RelMap+Summary'!$C$4:$P$142,MATCH($A19,'RelMap+Summary'!$C$4:$C$142,0),MATCH(D$2,'RelMap+Summary'!$C$3:$P$3,0)))</f>
        <v>K. Ganapathy Subramanian</v>
      </c>
      <c r="E19" s="7"/>
      <c r="F19" s="14">
        <v>10</v>
      </c>
      <c r="G19" s="5" t="s">
        <v>28</v>
      </c>
      <c r="H19" s="5"/>
      <c r="I19" s="5"/>
      <c r="J19" s="5"/>
      <c r="K19" s="5"/>
      <c r="L19" s="5"/>
      <c r="M19" s="6" t="s">
        <v>32</v>
      </c>
      <c r="N19" s="6"/>
      <c r="O19" s="6"/>
      <c r="P19" s="11"/>
      <c r="Q19" s="11">
        <f t="shared" si="0"/>
        <v>1</v>
      </c>
      <c r="R19" s="11"/>
      <c r="S19" s="11"/>
      <c r="T19" s="11"/>
      <c r="U19" s="11"/>
      <c r="V19" s="11"/>
      <c r="W19" s="11"/>
      <c r="X19" s="11"/>
      <c r="Y19" s="11"/>
      <c r="Z19" s="11"/>
      <c r="AA19" s="11"/>
      <c r="AB19" s="11"/>
      <c r="AC19" s="11"/>
      <c r="AD19" s="11"/>
      <c r="AE19" s="11"/>
      <c r="AF19" s="11"/>
    </row>
    <row r="20" spans="1:32" ht="13" x14ac:dyDescent="0.15">
      <c r="A20" s="12" t="s">
        <v>54</v>
      </c>
      <c r="B20" s="31" t="s">
        <v>27</v>
      </c>
      <c r="C20" s="15" t="str">
        <f>IF(A20="","",INDEX('RelMap+Summary'!$C$4:$P$142,MATCH($A20,'RelMap+Summary'!$C$4:$C$142,0),MATCH(C$2,'RelMap+Summary'!$C$3:$P$3,0)))</f>
        <v>Propreitory</v>
      </c>
      <c r="D20" s="7" t="str">
        <f>IF(A20="","",INDEX('RelMap+Summary'!$C$4:$P$142,MATCH($A20,'RelMap+Summary'!$C$4:$C$142,0),MATCH(D$2,'RelMap+Summary'!$C$3:$P$3,0)))</f>
        <v>Krishna Chaitanya K</v>
      </c>
      <c r="E20" s="7"/>
      <c r="F20" s="14">
        <v>100</v>
      </c>
      <c r="G20" s="5" t="s">
        <v>28</v>
      </c>
      <c r="H20" s="5"/>
      <c r="I20" s="5"/>
      <c r="J20" s="5"/>
      <c r="K20" s="5"/>
      <c r="L20" s="5"/>
      <c r="M20" s="6" t="s">
        <v>32</v>
      </c>
      <c r="N20" s="6"/>
      <c r="O20" s="6"/>
      <c r="P20" s="11"/>
      <c r="Q20" s="11">
        <f t="shared" si="0"/>
        <v>1</v>
      </c>
      <c r="R20" s="11"/>
      <c r="S20" s="11"/>
      <c r="T20" s="11"/>
      <c r="U20" s="11"/>
      <c r="V20" s="11"/>
      <c r="W20" s="11"/>
      <c r="X20" s="11"/>
      <c r="Y20" s="11"/>
      <c r="Z20" s="11"/>
      <c r="AA20" s="11"/>
      <c r="AB20" s="11"/>
      <c r="AC20" s="11"/>
      <c r="AD20" s="11"/>
      <c r="AE20" s="11"/>
      <c r="AF20" s="11"/>
    </row>
    <row r="21" spans="1:32" ht="13" x14ac:dyDescent="0.15">
      <c r="A21" s="12" t="s">
        <v>55</v>
      </c>
      <c r="B21" s="31" t="s">
        <v>27</v>
      </c>
      <c r="C21" s="15" t="str">
        <f>IF(A21="","",INDEX('RelMap+Summary'!$C$4:$P$142,MATCH($A21,'RelMap+Summary'!$C$4:$C$142,0),MATCH(C$2,'RelMap+Summary'!$C$3:$P$3,0)))</f>
        <v>Propreitory</v>
      </c>
      <c r="D21" s="7" t="str">
        <f>IF(A21="","",INDEX('RelMap+Summary'!$C$4:$P$142,MATCH($A21,'RelMap+Summary'!$C$4:$C$142,0),MATCH(D$2,'RelMap+Summary'!$C$3:$P$3,0)))</f>
        <v>Krishna Chaitanya K</v>
      </c>
      <c r="E21" s="7"/>
      <c r="F21" s="14">
        <v>100</v>
      </c>
      <c r="G21" s="5" t="s">
        <v>28</v>
      </c>
      <c r="H21" s="5"/>
      <c r="I21" s="5"/>
      <c r="J21" s="5"/>
      <c r="K21" s="5"/>
      <c r="L21" s="5"/>
      <c r="M21" s="6" t="s">
        <v>32</v>
      </c>
      <c r="N21" s="6"/>
      <c r="O21" s="6"/>
      <c r="P21" s="11"/>
      <c r="Q21" s="11">
        <f t="shared" si="0"/>
        <v>1</v>
      </c>
      <c r="R21" s="11"/>
      <c r="S21" s="11"/>
      <c r="T21" s="11"/>
      <c r="U21" s="11"/>
      <c r="V21" s="11"/>
      <c r="W21" s="11"/>
      <c r="X21" s="11"/>
      <c r="Y21" s="11"/>
      <c r="Z21" s="11"/>
      <c r="AA21" s="11"/>
      <c r="AB21" s="11"/>
      <c r="AC21" s="11"/>
      <c r="AD21" s="11"/>
      <c r="AE21" s="11"/>
      <c r="AF21" s="11"/>
    </row>
    <row r="22" spans="1:32" ht="13" x14ac:dyDescent="0.15">
      <c r="A22" s="12" t="s">
        <v>56</v>
      </c>
      <c r="B22" s="31" t="s">
        <v>27</v>
      </c>
      <c r="C22" s="15" t="str">
        <f>IF(A22="","",INDEX('RelMap+Summary'!$C$4:$P$142,MATCH($A22,'RelMap+Summary'!$C$4:$C$142,0),MATCH(C$2,'RelMap+Summary'!$C$3:$P$3,0)))</f>
        <v>CFM</v>
      </c>
      <c r="D22" s="7" t="str">
        <f>IF(A22="","",INDEX('RelMap+Summary'!$C$4:$P$142,MATCH($A22,'RelMap+Summary'!$C$4:$C$142,0),MATCH(D$2,'RelMap+Summary'!$C$3:$P$3,0)))</f>
        <v>Krishna Chaitanya K</v>
      </c>
      <c r="E22" s="7"/>
      <c r="F22" s="14">
        <v>50</v>
      </c>
      <c r="G22" s="5" t="s">
        <v>28</v>
      </c>
      <c r="H22" s="5"/>
      <c r="I22" s="5"/>
      <c r="J22" s="5"/>
      <c r="K22" s="5"/>
      <c r="L22" s="5"/>
      <c r="M22" s="6" t="s">
        <v>32</v>
      </c>
      <c r="N22" s="6"/>
      <c r="O22" s="6"/>
      <c r="P22" s="11"/>
      <c r="Q22" s="11">
        <f t="shared" si="0"/>
        <v>1</v>
      </c>
      <c r="R22" s="11"/>
      <c r="S22" s="11"/>
      <c r="T22" s="11"/>
      <c r="U22" s="11"/>
      <c r="V22" s="11"/>
      <c r="W22" s="11"/>
      <c r="X22" s="11"/>
      <c r="Y22" s="11"/>
      <c r="Z22" s="11"/>
      <c r="AA22" s="11"/>
      <c r="AB22" s="11"/>
      <c r="AC22" s="11"/>
      <c r="AD22" s="11"/>
      <c r="AE22" s="11"/>
      <c r="AF22" s="11"/>
    </row>
    <row r="23" spans="1:32" ht="26" x14ac:dyDescent="0.15">
      <c r="A23" s="5" t="s">
        <v>57</v>
      </c>
      <c r="B23" s="31" t="s">
        <v>58</v>
      </c>
      <c r="C23" s="15" t="str">
        <f>IF(A23="","",INDEX('RelMap+Summary'!$C$4:$P$142,MATCH($A23,'RelMap+Summary'!$C$4:$C$142,0),MATCH(C$2,'RelMap+Summary'!$C$3:$P$3,0)))</f>
        <v>Propreitory</v>
      </c>
      <c r="D23" s="7" t="str">
        <f>IF(A23="","",INDEX('RelMap+Summary'!$C$4:$P$142,MATCH($A23,'RelMap+Summary'!$C$4:$C$142,0),MATCH(D$2,'RelMap+Summary'!$C$3:$P$3,0)))</f>
        <v>K. Ganapathy Subramanian</v>
      </c>
      <c r="E23" s="7"/>
      <c r="F23" s="14">
        <v>500</v>
      </c>
      <c r="G23" s="5" t="s">
        <v>28</v>
      </c>
      <c r="H23" s="5"/>
      <c r="I23" s="5"/>
      <c r="J23" s="5"/>
      <c r="K23" s="5"/>
      <c r="L23" s="5"/>
      <c r="M23" s="5" t="s">
        <v>32</v>
      </c>
      <c r="N23" s="5"/>
      <c r="O23" s="5"/>
      <c r="P23" s="11"/>
      <c r="Q23" s="11">
        <f t="shared" si="0"/>
        <v>1</v>
      </c>
      <c r="R23" s="11"/>
      <c r="S23" s="11"/>
      <c r="T23" s="11"/>
      <c r="U23" s="11"/>
      <c r="V23" s="11"/>
      <c r="W23" s="11"/>
      <c r="X23" s="11"/>
      <c r="Y23" s="11"/>
      <c r="Z23" s="11"/>
      <c r="AA23" s="11"/>
      <c r="AB23" s="11"/>
      <c r="AC23" s="11"/>
      <c r="AD23" s="11"/>
      <c r="AE23" s="11"/>
      <c r="AF23" s="11"/>
    </row>
    <row r="24" spans="1:32" ht="26" x14ac:dyDescent="0.15">
      <c r="A24" s="12" t="s">
        <v>59</v>
      </c>
      <c r="B24" s="31" t="s">
        <v>27</v>
      </c>
      <c r="C24" s="15" t="str">
        <f>IF(A24="","",INDEX('RelMap+Summary'!$C$4:$P$142,MATCH($A24,'RelMap+Summary'!$C$4:$C$142,0),MATCH(C$2,'RelMap+Summary'!$C$3:$P$3,0)))</f>
        <v>SKC</v>
      </c>
      <c r="D24" s="7" t="str">
        <f>IF(A24="","",INDEX('RelMap+Summary'!$C$4:$P$142,MATCH($A24,'RelMap+Summary'!$C$4:$C$142,0),MATCH(D$2,'RelMap+Summary'!$C$3:$P$3,0)))</f>
        <v>K. Ganapathy Subramanian</v>
      </c>
      <c r="E24" s="7"/>
      <c r="F24" s="14">
        <v>50</v>
      </c>
      <c r="G24" s="5" t="s">
        <v>28</v>
      </c>
      <c r="H24" s="5"/>
      <c r="I24" s="5"/>
      <c r="J24" s="5"/>
      <c r="K24" s="5"/>
      <c r="L24" s="5"/>
      <c r="M24" s="6" t="s">
        <v>32</v>
      </c>
      <c r="N24" s="6"/>
      <c r="O24" s="6"/>
      <c r="P24" s="11"/>
      <c r="Q24" s="11">
        <f t="shared" si="0"/>
        <v>1</v>
      </c>
      <c r="R24" s="11"/>
      <c r="S24" s="11"/>
      <c r="T24" s="11"/>
      <c r="U24" s="11"/>
      <c r="V24" s="11"/>
      <c r="W24" s="11"/>
      <c r="X24" s="11"/>
      <c r="Y24" s="11"/>
      <c r="Z24" s="11"/>
      <c r="AA24" s="11"/>
      <c r="AB24" s="11"/>
      <c r="AC24" s="11"/>
      <c r="AD24" s="11"/>
      <c r="AE24" s="11"/>
      <c r="AF24" s="11"/>
    </row>
    <row r="25" spans="1:32" ht="26" x14ac:dyDescent="0.15">
      <c r="A25" s="5" t="s">
        <v>60</v>
      </c>
      <c r="B25" s="31" t="s">
        <v>58</v>
      </c>
      <c r="C25" s="15" t="str">
        <f>IF(A25="","",INDEX('RelMap+Summary'!$C$4:$P$142,MATCH($A25,'RelMap+Summary'!$C$4:$C$142,0),MATCH(C$2,'RelMap+Summary'!$C$3:$P$3,0)))</f>
        <v>Propreitory</v>
      </c>
      <c r="D25" s="7" t="str">
        <f>IF(A25="","",INDEX('RelMap+Summary'!$C$4:$P$142,MATCH($A25,'RelMap+Summary'!$C$4:$C$142,0),MATCH(D$2,'RelMap+Summary'!$C$3:$P$3,0)))</f>
        <v>K. Ganapathy Subramanian</v>
      </c>
      <c r="E25" s="7"/>
      <c r="F25" s="14">
        <v>100</v>
      </c>
      <c r="G25" s="5" t="s">
        <v>28</v>
      </c>
      <c r="H25" s="5"/>
      <c r="I25" s="5"/>
      <c r="J25" s="5"/>
      <c r="K25" s="5"/>
      <c r="L25" s="5"/>
      <c r="M25" s="5" t="s">
        <v>32</v>
      </c>
      <c r="N25" s="5"/>
      <c r="O25" s="5"/>
      <c r="P25" s="11"/>
      <c r="Q25" s="11">
        <f t="shared" si="0"/>
        <v>1</v>
      </c>
      <c r="R25" s="11"/>
      <c r="S25" s="11"/>
      <c r="T25" s="11"/>
      <c r="U25" s="11"/>
      <c r="V25" s="11"/>
      <c r="W25" s="11"/>
      <c r="X25" s="11"/>
      <c r="Y25" s="11"/>
      <c r="Z25" s="11"/>
      <c r="AA25" s="11"/>
      <c r="AB25" s="11"/>
      <c r="AC25" s="11"/>
      <c r="AD25" s="11"/>
      <c r="AE25" s="11"/>
      <c r="AF25" s="11"/>
    </row>
    <row r="26" spans="1:32" ht="26" x14ac:dyDescent="0.15">
      <c r="A26" s="12" t="s">
        <v>61</v>
      </c>
      <c r="B26" s="31" t="s">
        <v>27</v>
      </c>
      <c r="C26" s="15" t="str">
        <f>IF(A26="","",INDEX('RelMap+Summary'!$C$4:$P$142,MATCH($A26,'RelMap+Summary'!$C$4:$C$142,0),MATCH(C$2,'RelMap+Summary'!$C$3:$P$3,0)))</f>
        <v>SKC</v>
      </c>
      <c r="D26" s="7" t="str">
        <f>IF(A26="","",INDEX('RelMap+Summary'!$C$4:$P$142,MATCH($A26,'RelMap+Summary'!$C$4:$C$142,0),MATCH(D$2,'RelMap+Summary'!$C$3:$P$3,0)))</f>
        <v>K. Ganapathy Subramanian</v>
      </c>
      <c r="E26" s="7"/>
      <c r="F26" s="14"/>
      <c r="G26" s="5"/>
      <c r="H26" s="5"/>
      <c r="I26" s="5"/>
      <c r="J26" s="5"/>
      <c r="K26" s="5"/>
      <c r="L26" s="5"/>
      <c r="M26" s="6" t="s">
        <v>32</v>
      </c>
      <c r="N26" s="6"/>
      <c r="O26" s="6"/>
      <c r="P26" s="11"/>
      <c r="Q26" s="11">
        <f t="shared" si="0"/>
        <v>0</v>
      </c>
      <c r="R26" s="11"/>
      <c r="S26" s="11"/>
      <c r="T26" s="11"/>
      <c r="U26" s="11"/>
      <c r="V26" s="11"/>
      <c r="W26" s="11"/>
      <c r="X26" s="11"/>
      <c r="Y26" s="11"/>
      <c r="Z26" s="11"/>
      <c r="AA26" s="11"/>
      <c r="AB26" s="11"/>
      <c r="AC26" s="11"/>
      <c r="AD26" s="11"/>
      <c r="AE26" s="11"/>
      <c r="AF26" s="11"/>
    </row>
    <row r="27" spans="1:32" ht="26" x14ac:dyDescent="0.15">
      <c r="A27" s="12" t="s">
        <v>62</v>
      </c>
      <c r="B27" s="31" t="s">
        <v>27</v>
      </c>
      <c r="C27" s="15" t="str">
        <f>IF(A27="","",INDEX('RelMap+Summary'!$C$4:$P$142,MATCH($A27,'RelMap+Summary'!$C$4:$C$142,0),MATCH(C$2,'RelMap+Summary'!$C$3:$P$3,0)))</f>
        <v>SKC</v>
      </c>
      <c r="D27" s="7" t="str">
        <f>IF(A27="","",INDEX('RelMap+Summary'!$C$4:$P$142,MATCH($A27,'RelMap+Summary'!$C$4:$C$142,0),MATCH(D$2,'RelMap+Summary'!$C$3:$P$3,0)))</f>
        <v>K. Ganapathy Subramanian</v>
      </c>
      <c r="E27" s="7"/>
      <c r="F27" s="14"/>
      <c r="G27" s="5"/>
      <c r="H27" s="5"/>
      <c r="I27" s="5"/>
      <c r="J27" s="5"/>
      <c r="K27" s="5"/>
      <c r="L27" s="5"/>
      <c r="M27" s="6" t="s">
        <v>32</v>
      </c>
      <c r="N27" s="6"/>
      <c r="O27" s="6"/>
      <c r="P27" s="11"/>
      <c r="Q27" s="11">
        <f t="shared" si="0"/>
        <v>0</v>
      </c>
      <c r="R27" s="11"/>
      <c r="S27" s="11"/>
      <c r="T27" s="11"/>
      <c r="U27" s="11"/>
      <c r="V27" s="11"/>
      <c r="W27" s="11"/>
      <c r="X27" s="11"/>
      <c r="Y27" s="11"/>
      <c r="Z27" s="11"/>
      <c r="AA27" s="11"/>
      <c r="AB27" s="11"/>
      <c r="AC27" s="11"/>
      <c r="AD27" s="11"/>
      <c r="AE27" s="11"/>
      <c r="AF27" s="11"/>
    </row>
    <row r="28" spans="1:32" ht="26" x14ac:dyDescent="0.15">
      <c r="A28" s="12" t="s">
        <v>63</v>
      </c>
      <c r="B28" s="31" t="s">
        <v>27</v>
      </c>
      <c r="C28" s="15" t="str">
        <f>IF(A28="","",INDEX('RelMap+Summary'!$C$4:$P$142,MATCH($A28,'RelMap+Summary'!$C$4:$C$142,0),MATCH(C$2,'RelMap+Summary'!$C$3:$P$3,0)))</f>
        <v>CFM</v>
      </c>
      <c r="D28" s="7" t="str">
        <f>IF(A28="","",INDEX('RelMap+Summary'!$C$4:$P$142,MATCH($A28,'RelMap+Summary'!$C$4:$C$142,0),MATCH(D$2,'RelMap+Summary'!$C$3:$P$3,0)))</f>
        <v>K. Ganapathy Subramanian</v>
      </c>
      <c r="E28" s="7"/>
      <c r="F28" s="14">
        <v>50</v>
      </c>
      <c r="G28" s="5"/>
      <c r="H28" s="5"/>
      <c r="I28" s="5"/>
      <c r="J28" s="5"/>
      <c r="K28" s="5"/>
      <c r="L28" s="5"/>
      <c r="M28" s="6" t="s">
        <v>32</v>
      </c>
      <c r="N28" s="6"/>
      <c r="O28" s="6"/>
      <c r="P28" s="11"/>
      <c r="Q28" s="11">
        <f t="shared" si="0"/>
        <v>0</v>
      </c>
      <c r="R28" s="11"/>
      <c r="S28" s="11"/>
      <c r="T28" s="11"/>
      <c r="U28" s="11"/>
      <c r="V28" s="11"/>
      <c r="W28" s="11"/>
      <c r="X28" s="11"/>
      <c r="Y28" s="11"/>
      <c r="Z28" s="11"/>
      <c r="AA28" s="11"/>
      <c r="AB28" s="11"/>
      <c r="AC28" s="11"/>
      <c r="AD28" s="11"/>
      <c r="AE28" s="11"/>
      <c r="AF28" s="11"/>
    </row>
    <row r="29" spans="1:32" ht="26" x14ac:dyDescent="0.15">
      <c r="A29" s="12" t="s">
        <v>64</v>
      </c>
      <c r="B29" s="31" t="s">
        <v>27</v>
      </c>
      <c r="C29" s="15" t="str">
        <f>IF(A29="","",INDEX('RelMap+Summary'!$C$4:$P$142,MATCH($A29,'RelMap+Summary'!$C$4:$C$142,0),MATCH(C$2,'RelMap+Summary'!$C$3:$P$3,0)))</f>
        <v>SKC</v>
      </c>
      <c r="D29" s="7" t="str">
        <f>IF(A29="","",INDEX('RelMap+Summary'!$C$4:$P$142,MATCH($A29,'RelMap+Summary'!$C$4:$C$142,0),MATCH(D$2,'RelMap+Summary'!$C$3:$P$3,0)))</f>
        <v>K. Ganapathy Subramanian</v>
      </c>
      <c r="E29" s="7"/>
      <c r="F29" s="14"/>
      <c r="G29" s="5"/>
      <c r="H29" s="5"/>
      <c r="I29" s="5"/>
      <c r="J29" s="5"/>
      <c r="K29" s="5"/>
      <c r="L29" s="5"/>
      <c r="M29" s="6" t="s">
        <v>32</v>
      </c>
      <c r="N29" s="6"/>
      <c r="O29" s="6"/>
      <c r="P29" s="11"/>
      <c r="Q29" s="11">
        <f t="shared" si="0"/>
        <v>0</v>
      </c>
      <c r="R29" s="11"/>
      <c r="S29" s="11"/>
      <c r="T29" s="11"/>
      <c r="U29" s="11"/>
      <c r="V29" s="11"/>
      <c r="W29" s="11"/>
      <c r="X29" s="11"/>
      <c r="Y29" s="11"/>
      <c r="Z29" s="11"/>
      <c r="AA29" s="11"/>
      <c r="AB29" s="11"/>
      <c r="AC29" s="11"/>
      <c r="AD29" s="11"/>
      <c r="AE29" s="11"/>
      <c r="AF29" s="11"/>
    </row>
    <row r="30" spans="1:32" ht="26" x14ac:dyDescent="0.15">
      <c r="A30" s="12" t="s">
        <v>65</v>
      </c>
      <c r="B30" s="31" t="s">
        <v>27</v>
      </c>
      <c r="C30" s="15" t="str">
        <f>IF(A30="","",INDEX('RelMap+Summary'!$C$4:$P$142,MATCH($A30,'RelMap+Summary'!$C$4:$C$142,0),MATCH(C$2,'RelMap+Summary'!$C$3:$P$3,0)))</f>
        <v>SKC</v>
      </c>
      <c r="D30" s="7" t="str">
        <f>IF(A30="","",INDEX('RelMap+Summary'!$C$4:$P$142,MATCH($A30,'RelMap+Summary'!$C$4:$C$142,0),MATCH(D$2,'RelMap+Summary'!$C$3:$P$3,0)))</f>
        <v>K. Ganapathy Subramanian</v>
      </c>
      <c r="E30" s="7"/>
      <c r="F30" s="14"/>
      <c r="G30" s="5"/>
      <c r="H30" s="5"/>
      <c r="I30" s="5"/>
      <c r="J30" s="5"/>
      <c r="K30" s="5"/>
      <c r="L30" s="5"/>
      <c r="M30" s="6" t="s">
        <v>32</v>
      </c>
      <c r="N30" s="6"/>
      <c r="O30" s="6"/>
      <c r="P30" s="11"/>
      <c r="Q30" s="11">
        <f t="shared" si="0"/>
        <v>0</v>
      </c>
      <c r="R30" s="11"/>
      <c r="S30" s="11"/>
      <c r="T30" s="11"/>
      <c r="U30" s="11"/>
      <c r="V30" s="11"/>
      <c r="W30" s="11"/>
      <c r="X30" s="11"/>
      <c r="Y30" s="11"/>
      <c r="Z30" s="11"/>
      <c r="AA30" s="11"/>
      <c r="AB30" s="11"/>
      <c r="AC30" s="11"/>
      <c r="AD30" s="11"/>
      <c r="AE30" s="11"/>
      <c r="AF30" s="11"/>
    </row>
    <row r="31" spans="1:32" ht="26" x14ac:dyDescent="0.15">
      <c r="A31" s="12" t="s">
        <v>66</v>
      </c>
      <c r="B31" s="31" t="s">
        <v>27</v>
      </c>
      <c r="C31" s="15" t="str">
        <f>IF(A31="","",INDEX('RelMap+Summary'!$C$4:$P$142,MATCH($A31,'RelMap+Summary'!$C$4:$C$142,0),MATCH(C$2,'RelMap+Summary'!$C$3:$P$3,0)))</f>
        <v>SKC</v>
      </c>
      <c r="D31" s="7" t="str">
        <f>IF(A31="","",INDEX('RelMap+Summary'!$C$4:$P$142,MATCH($A31,'RelMap+Summary'!$C$4:$C$142,0),MATCH(D$2,'RelMap+Summary'!$C$3:$P$3,0)))</f>
        <v>K. Ganapathy Subramanian</v>
      </c>
      <c r="E31" s="7"/>
      <c r="F31" s="14"/>
      <c r="G31" s="5"/>
      <c r="H31" s="5"/>
      <c r="I31" s="5"/>
      <c r="J31" s="5"/>
      <c r="K31" s="5"/>
      <c r="L31" s="5"/>
      <c r="M31" s="6" t="s">
        <v>32</v>
      </c>
      <c r="N31" s="6"/>
      <c r="O31" s="6"/>
      <c r="P31" s="11"/>
      <c r="Q31" s="11">
        <f t="shared" si="0"/>
        <v>0</v>
      </c>
      <c r="R31" s="11"/>
      <c r="S31" s="11"/>
      <c r="T31" s="11"/>
      <c r="U31" s="11"/>
      <c r="V31" s="11"/>
      <c r="W31" s="11"/>
      <c r="X31" s="11"/>
      <c r="Y31" s="11"/>
      <c r="Z31" s="11"/>
      <c r="AA31" s="11"/>
      <c r="AB31" s="11"/>
      <c r="AC31" s="11"/>
      <c r="AD31" s="11"/>
      <c r="AE31" s="11"/>
      <c r="AF31" s="11"/>
    </row>
    <row r="32" spans="1:32" ht="26" x14ac:dyDescent="0.15">
      <c r="A32" s="12" t="s">
        <v>67</v>
      </c>
      <c r="B32" s="31" t="s">
        <v>27</v>
      </c>
      <c r="C32" s="15" t="str">
        <f>IF(A32="","",INDEX('RelMap+Summary'!$C$4:$P$142,MATCH($A32,'RelMap+Summary'!$C$4:$C$142,0),MATCH(C$2,'RelMap+Summary'!$C$3:$P$3,0)))</f>
        <v>SKC</v>
      </c>
      <c r="D32" s="7" t="str">
        <f>IF(A32="","",INDEX('RelMap+Summary'!$C$4:$P$142,MATCH($A32,'RelMap+Summary'!$C$4:$C$142,0),MATCH(D$2,'RelMap+Summary'!$C$3:$P$3,0)))</f>
        <v>K. Ganapathy Subramanian</v>
      </c>
      <c r="E32" s="7"/>
      <c r="F32" s="14"/>
      <c r="G32" s="5"/>
      <c r="H32" s="5"/>
      <c r="I32" s="5"/>
      <c r="J32" s="5"/>
      <c r="K32" s="5"/>
      <c r="L32" s="5"/>
      <c r="M32" s="6" t="s">
        <v>32</v>
      </c>
      <c r="N32" s="6"/>
      <c r="O32" s="6"/>
      <c r="P32" s="11"/>
      <c r="Q32" s="11">
        <f t="shared" si="0"/>
        <v>0</v>
      </c>
      <c r="R32" s="11"/>
      <c r="S32" s="11"/>
      <c r="T32" s="11"/>
      <c r="U32" s="11"/>
      <c r="V32" s="11"/>
      <c r="W32" s="11"/>
      <c r="X32" s="11"/>
      <c r="Y32" s="11"/>
      <c r="Z32" s="11"/>
      <c r="AA32" s="11"/>
      <c r="AB32" s="11"/>
      <c r="AC32" s="11"/>
      <c r="AD32" s="11"/>
      <c r="AE32" s="11"/>
      <c r="AF32" s="11"/>
    </row>
    <row r="33" spans="1:32" ht="26" x14ac:dyDescent="0.15">
      <c r="A33" s="12" t="s">
        <v>68</v>
      </c>
      <c r="B33" s="31" t="s">
        <v>69</v>
      </c>
      <c r="C33" s="15" t="str">
        <f>IF(A33="","",INDEX('RelMap+Summary'!$C$4:$P$142,MATCH($A33,'RelMap+Summary'!$C$4:$C$142,0),MATCH(C$2,'RelMap+Summary'!$C$3:$P$3,0)))</f>
        <v>SKC</v>
      </c>
      <c r="D33" s="7" t="str">
        <f>IF(A33="","",INDEX('RelMap+Summary'!$C$4:$P$142,MATCH($A33,'RelMap+Summary'!$C$4:$C$142,0),MATCH(D$2,'RelMap+Summary'!$C$3:$P$3,0)))</f>
        <v>K. Ganapathy Subramanian</v>
      </c>
      <c r="E33" s="7"/>
      <c r="F33" s="14"/>
      <c r="G33" s="5"/>
      <c r="H33" s="5"/>
      <c r="I33" s="5"/>
      <c r="J33" s="5"/>
      <c r="K33" s="5"/>
      <c r="L33" s="5"/>
      <c r="M33" s="6" t="s">
        <v>32</v>
      </c>
      <c r="N33" s="6"/>
      <c r="O33" s="6"/>
      <c r="P33" s="11"/>
      <c r="Q33" s="11">
        <f t="shared" si="0"/>
        <v>0</v>
      </c>
      <c r="R33" s="11"/>
      <c r="S33" s="11"/>
      <c r="T33" s="11"/>
      <c r="U33" s="11"/>
      <c r="V33" s="11"/>
      <c r="W33" s="11"/>
      <c r="X33" s="11"/>
      <c r="Y33" s="11"/>
      <c r="Z33" s="11"/>
      <c r="AA33" s="11"/>
      <c r="AB33" s="11"/>
      <c r="AC33" s="11"/>
      <c r="AD33" s="11"/>
      <c r="AE33" s="11"/>
      <c r="AF33" s="11"/>
    </row>
    <row r="34" spans="1:32" ht="26" x14ac:dyDescent="0.15">
      <c r="A34" s="12" t="s">
        <v>70</v>
      </c>
      <c r="B34" s="31" t="s">
        <v>27</v>
      </c>
      <c r="C34" s="15" t="str">
        <f>IF(A34="","",INDEX('RelMap+Summary'!$C$4:$P$142,MATCH($A34,'RelMap+Summary'!$C$4:$C$142,0),MATCH(C$2,'RelMap+Summary'!$C$3:$P$3,0)))</f>
        <v>SKC</v>
      </c>
      <c r="D34" s="7" t="str">
        <f>IF(A34="","",INDEX('RelMap+Summary'!$C$4:$P$142,MATCH($A34,'RelMap+Summary'!$C$4:$C$142,0),MATCH(D$2,'RelMap+Summary'!$C$3:$P$3,0)))</f>
        <v>K. Ganapathy Subramanian</v>
      </c>
      <c r="E34" s="7"/>
      <c r="F34" s="14"/>
      <c r="G34" s="5"/>
      <c r="H34" s="5"/>
      <c r="I34" s="5"/>
      <c r="J34" s="5"/>
      <c r="K34" s="5"/>
      <c r="L34" s="5"/>
      <c r="M34" s="6" t="s">
        <v>32</v>
      </c>
      <c r="N34" s="6"/>
      <c r="O34" s="6"/>
      <c r="P34" s="11"/>
      <c r="Q34" s="11">
        <f t="shared" si="0"/>
        <v>0</v>
      </c>
      <c r="R34" s="11"/>
      <c r="S34" s="11"/>
      <c r="T34" s="11"/>
      <c r="U34" s="11"/>
      <c r="V34" s="11"/>
      <c r="W34" s="11"/>
      <c r="X34" s="11"/>
      <c r="Y34" s="11"/>
      <c r="Z34" s="11"/>
      <c r="AA34" s="11"/>
      <c r="AB34" s="11"/>
      <c r="AC34" s="11"/>
      <c r="AD34" s="11"/>
      <c r="AE34" s="11"/>
      <c r="AF34" s="11"/>
    </row>
    <row r="35" spans="1:32" ht="26" x14ac:dyDescent="0.15">
      <c r="A35" s="12" t="s">
        <v>71</v>
      </c>
      <c r="B35" s="31" t="s">
        <v>58</v>
      </c>
      <c r="C35" s="15" t="str">
        <f>IF(A35="","",INDEX('RelMap+Summary'!$C$4:$P$142,MATCH($A35,'RelMap+Summary'!$C$4:$C$142,0),MATCH(C$2,'RelMap+Summary'!$C$3:$P$3,0)))</f>
        <v>SKC</v>
      </c>
      <c r="D35" s="7" t="str">
        <f>IF(A35="","",INDEX('RelMap+Summary'!$C$4:$P$142,MATCH($A35,'RelMap+Summary'!$C$4:$C$142,0),MATCH(D$2,'RelMap+Summary'!$C$3:$P$3,0)))</f>
        <v>K. Ganapathy Subramanian</v>
      </c>
      <c r="E35" s="7"/>
      <c r="F35" s="14"/>
      <c r="G35" s="5"/>
      <c r="H35" s="5"/>
      <c r="I35" s="5"/>
      <c r="J35" s="5"/>
      <c r="K35" s="5"/>
      <c r="L35" s="5"/>
      <c r="M35" s="6" t="s">
        <v>32</v>
      </c>
      <c r="N35" s="6"/>
      <c r="O35" s="6"/>
      <c r="P35" s="11"/>
      <c r="Q35" s="11">
        <f t="shared" ref="Q35:Q66" si="1">COUNTIF(G35:L35,"yes")</f>
        <v>0</v>
      </c>
      <c r="R35" s="11"/>
      <c r="S35" s="11"/>
      <c r="T35" s="11"/>
      <c r="U35" s="11"/>
      <c r="V35" s="11"/>
      <c r="W35" s="11"/>
      <c r="X35" s="11"/>
      <c r="Y35" s="11"/>
      <c r="Z35" s="11"/>
      <c r="AA35" s="11"/>
      <c r="AB35" s="11"/>
      <c r="AC35" s="11"/>
      <c r="AD35" s="11"/>
      <c r="AE35" s="11"/>
      <c r="AF35" s="11"/>
    </row>
    <row r="36" spans="1:32" ht="26" x14ac:dyDescent="0.15">
      <c r="A36" s="12" t="s">
        <v>72</v>
      </c>
      <c r="B36" s="31" t="s">
        <v>58</v>
      </c>
      <c r="C36" s="15" t="str">
        <f>IF(A36="","",INDEX('RelMap+Summary'!$C$4:$P$142,MATCH($A36,'RelMap+Summary'!$C$4:$C$142,0),MATCH(C$2,'RelMap+Summary'!$C$3:$P$3,0)))</f>
        <v>SKC</v>
      </c>
      <c r="D36" s="7" t="str">
        <f>IF(A36="","",INDEX('RelMap+Summary'!$C$4:$P$142,MATCH($A36,'RelMap+Summary'!$C$4:$C$142,0),MATCH(D$2,'RelMap+Summary'!$C$3:$P$3,0)))</f>
        <v>K. Ganapathy Subramanian</v>
      </c>
      <c r="E36" s="7"/>
      <c r="F36" s="14"/>
      <c r="G36" s="5"/>
      <c r="H36" s="5"/>
      <c r="I36" s="5"/>
      <c r="J36" s="5"/>
      <c r="K36" s="11"/>
      <c r="L36" s="5"/>
      <c r="M36" s="6" t="s">
        <v>32</v>
      </c>
      <c r="N36" s="6"/>
      <c r="O36" s="6"/>
      <c r="P36" s="11"/>
      <c r="Q36" s="11">
        <f t="shared" si="1"/>
        <v>0</v>
      </c>
      <c r="R36" s="11"/>
      <c r="S36" s="11"/>
      <c r="T36" s="11"/>
      <c r="U36" s="11"/>
      <c r="V36" s="11"/>
      <c r="W36" s="11"/>
      <c r="X36" s="11"/>
      <c r="Y36" s="11"/>
      <c r="Z36" s="11"/>
      <c r="AA36" s="11"/>
      <c r="AB36" s="11"/>
      <c r="AC36" s="11"/>
      <c r="AD36" s="11"/>
      <c r="AE36" s="11"/>
      <c r="AF36" s="11"/>
    </row>
    <row r="37" spans="1:32" ht="26" x14ac:dyDescent="0.15">
      <c r="A37" s="12" t="s">
        <v>73</v>
      </c>
      <c r="B37" s="31" t="s">
        <v>58</v>
      </c>
      <c r="C37" s="15" t="str">
        <f>IF(A37="","",INDEX('RelMap+Summary'!$C$4:$P$142,MATCH($A37,'RelMap+Summary'!$C$4:$C$142,0),MATCH(C$2,'RelMap+Summary'!$C$3:$P$3,0)))</f>
        <v>SKC</v>
      </c>
      <c r="D37" s="7" t="str">
        <f>IF(A37="","",INDEX('RelMap+Summary'!$C$4:$P$142,MATCH($A37,'RelMap+Summary'!$C$4:$C$142,0),MATCH(D$2,'RelMap+Summary'!$C$3:$P$3,0)))</f>
        <v>K. Ganapathy Subramanian</v>
      </c>
      <c r="E37" s="7"/>
      <c r="F37" s="14"/>
      <c r="G37" s="5"/>
      <c r="H37" s="5"/>
      <c r="I37" s="11"/>
      <c r="J37" s="11"/>
      <c r="K37" s="11"/>
      <c r="L37" s="11"/>
      <c r="M37" s="6" t="s">
        <v>32</v>
      </c>
      <c r="N37" s="6"/>
      <c r="O37" s="6"/>
      <c r="P37" s="11"/>
      <c r="Q37" s="11">
        <f t="shared" si="1"/>
        <v>0</v>
      </c>
      <c r="R37" s="11"/>
      <c r="S37" s="11"/>
      <c r="T37" s="11"/>
      <c r="U37" s="11"/>
      <c r="V37" s="11"/>
      <c r="W37" s="11"/>
      <c r="X37" s="11"/>
      <c r="Y37" s="11"/>
      <c r="Z37" s="11"/>
      <c r="AA37" s="11"/>
      <c r="AB37" s="11"/>
      <c r="AC37" s="11"/>
      <c r="AD37" s="11"/>
      <c r="AE37" s="11"/>
      <c r="AF37" s="11"/>
    </row>
    <row r="38" spans="1:32" ht="26" x14ac:dyDescent="0.15">
      <c r="A38" s="12" t="s">
        <v>74</v>
      </c>
      <c r="B38" s="31" t="s">
        <v>58</v>
      </c>
      <c r="C38" s="15" t="str">
        <f>IF(A38="","",INDEX('RelMap+Summary'!$C$4:$P$142,MATCH($A38,'RelMap+Summary'!$C$4:$C$142,0),MATCH(C$2,'RelMap+Summary'!$C$3:$P$3,0)))</f>
        <v>SKC</v>
      </c>
      <c r="D38" s="7" t="str">
        <f>IF(A38="","",INDEX('RelMap+Summary'!$C$4:$P$142,MATCH($A38,'RelMap+Summary'!$C$4:$C$142,0),MATCH(D$2,'RelMap+Summary'!$C$3:$P$3,0)))</f>
        <v>K. Ganapathy Subramanian</v>
      </c>
      <c r="E38" s="7"/>
      <c r="F38" s="14"/>
      <c r="G38" s="5"/>
      <c r="H38" s="5"/>
      <c r="I38" s="5"/>
      <c r="J38" s="5"/>
      <c r="K38" s="5"/>
      <c r="L38" s="5"/>
      <c r="M38" s="6" t="s">
        <v>32</v>
      </c>
      <c r="N38" s="6"/>
      <c r="O38" s="6"/>
      <c r="P38" s="11"/>
      <c r="Q38" s="11">
        <f t="shared" si="1"/>
        <v>0</v>
      </c>
      <c r="R38" s="11"/>
      <c r="S38" s="11"/>
      <c r="T38" s="11"/>
      <c r="U38" s="11"/>
      <c r="V38" s="11"/>
      <c r="W38" s="11"/>
      <c r="X38" s="11"/>
      <c r="Y38" s="11"/>
      <c r="Z38" s="11"/>
      <c r="AA38" s="11"/>
      <c r="AB38" s="11"/>
      <c r="AC38" s="11"/>
      <c r="AD38" s="11"/>
      <c r="AE38" s="11"/>
      <c r="AF38" s="11"/>
    </row>
    <row r="39" spans="1:32" ht="26" x14ac:dyDescent="0.15">
      <c r="A39" s="12" t="s">
        <v>75</v>
      </c>
      <c r="B39" s="31" t="s">
        <v>58</v>
      </c>
      <c r="C39" s="15" t="str">
        <f>IF(A39="","",INDEX('RelMap+Summary'!$C$4:$P$142,MATCH($A39,'RelMap+Summary'!$C$4:$C$142,0),MATCH(C$2,'RelMap+Summary'!$C$3:$P$3,0)))</f>
        <v>SKC</v>
      </c>
      <c r="D39" s="7" t="str">
        <f>IF(A39="","",INDEX('RelMap+Summary'!$C$4:$P$142,MATCH($A39,'RelMap+Summary'!$C$4:$C$142,0),MATCH(D$2,'RelMap+Summary'!$C$3:$P$3,0)))</f>
        <v>K. Ganapathy Subramanian</v>
      </c>
      <c r="E39" s="7"/>
      <c r="F39" s="14"/>
      <c r="G39" s="5"/>
      <c r="H39" s="5"/>
      <c r="I39" s="5"/>
      <c r="J39" s="5"/>
      <c r="K39" s="5"/>
      <c r="L39" s="5"/>
      <c r="M39" s="6" t="s">
        <v>32</v>
      </c>
      <c r="N39" s="6"/>
      <c r="O39" s="6"/>
      <c r="P39" s="11"/>
      <c r="Q39" s="11">
        <f t="shared" si="1"/>
        <v>0</v>
      </c>
      <c r="R39" s="11"/>
      <c r="S39" s="11"/>
      <c r="T39" s="11"/>
      <c r="U39" s="11"/>
      <c r="V39" s="11"/>
      <c r="W39" s="11"/>
      <c r="X39" s="11"/>
      <c r="Y39" s="11"/>
      <c r="Z39" s="11"/>
      <c r="AA39" s="11"/>
      <c r="AB39" s="11"/>
      <c r="AC39" s="11"/>
      <c r="AD39" s="11"/>
      <c r="AE39" s="11"/>
      <c r="AF39" s="11"/>
    </row>
    <row r="40" spans="1:32" ht="26" x14ac:dyDescent="0.15">
      <c r="A40" s="12" t="s">
        <v>76</v>
      </c>
      <c r="B40" s="31" t="s">
        <v>58</v>
      </c>
      <c r="C40" s="15" t="str">
        <f>IF(A40="","",INDEX('RelMap+Summary'!$C$4:$P$142,MATCH($A40,'RelMap+Summary'!$C$4:$C$142,0),MATCH(C$2,'RelMap+Summary'!$C$3:$P$3,0)))</f>
        <v>SKC</v>
      </c>
      <c r="D40" s="7" t="str">
        <f>IF(A40="","",INDEX('RelMap+Summary'!$C$4:$P$142,MATCH($A40,'RelMap+Summary'!$C$4:$C$142,0),MATCH(D$2,'RelMap+Summary'!$C$3:$P$3,0)))</f>
        <v>K. Ganapathy Subramanian</v>
      </c>
      <c r="E40" s="7"/>
      <c r="F40" s="14"/>
      <c r="G40" s="5"/>
      <c r="H40" s="5"/>
      <c r="I40" s="5"/>
      <c r="J40" s="5"/>
      <c r="K40" s="5"/>
      <c r="L40" s="5"/>
      <c r="M40" s="6" t="s">
        <v>32</v>
      </c>
      <c r="N40" s="6"/>
      <c r="O40" s="6"/>
      <c r="P40" s="11"/>
      <c r="Q40" s="11">
        <f t="shared" si="1"/>
        <v>0</v>
      </c>
      <c r="R40" s="11"/>
      <c r="S40" s="11"/>
      <c r="T40" s="11"/>
      <c r="U40" s="11"/>
      <c r="V40" s="11"/>
      <c r="W40" s="11"/>
      <c r="X40" s="11"/>
      <c r="Y40" s="11"/>
      <c r="Z40" s="11"/>
      <c r="AA40" s="11"/>
      <c r="AB40" s="11"/>
      <c r="AC40" s="11"/>
      <c r="AD40" s="11"/>
      <c r="AE40" s="11"/>
      <c r="AF40" s="11"/>
    </row>
    <row r="41" spans="1:32" ht="26" x14ac:dyDescent="0.15">
      <c r="A41" s="12" t="s">
        <v>77</v>
      </c>
      <c r="B41" s="31" t="s">
        <v>58</v>
      </c>
      <c r="C41" s="15" t="str">
        <f>IF(A41="","",INDEX('RelMap+Summary'!$C$4:$P$142,MATCH($A41,'RelMap+Summary'!$C$4:$C$142,0),MATCH(C$2,'RelMap+Summary'!$C$3:$P$3,0)))</f>
        <v>SKC</v>
      </c>
      <c r="D41" s="7" t="str">
        <f>IF(A41="","",INDEX('RelMap+Summary'!$C$4:$P$142,MATCH($A41,'RelMap+Summary'!$C$4:$C$142,0),MATCH(D$2,'RelMap+Summary'!$C$3:$P$3,0)))</f>
        <v>K. Ganapathy Subramanian</v>
      </c>
      <c r="E41" s="7"/>
      <c r="F41" s="14"/>
      <c r="G41" s="5"/>
      <c r="H41" s="5"/>
      <c r="I41" s="5"/>
      <c r="J41" s="5"/>
      <c r="K41" s="5"/>
      <c r="L41" s="5"/>
      <c r="M41" s="6" t="s">
        <v>32</v>
      </c>
      <c r="N41" s="5"/>
      <c r="O41" s="5"/>
      <c r="P41" s="11"/>
      <c r="Q41" s="11">
        <f t="shared" si="1"/>
        <v>0</v>
      </c>
      <c r="R41" s="11"/>
      <c r="S41" s="11"/>
      <c r="T41" s="11"/>
      <c r="U41" s="11"/>
      <c r="V41" s="11"/>
      <c r="W41" s="11"/>
      <c r="X41" s="11"/>
      <c r="Y41" s="11"/>
      <c r="Z41" s="11"/>
      <c r="AA41" s="11"/>
      <c r="AB41" s="11"/>
      <c r="AC41" s="11"/>
      <c r="AD41" s="11"/>
      <c r="AE41" s="11"/>
      <c r="AF41" s="11"/>
    </row>
    <row r="42" spans="1:32" ht="26" x14ac:dyDescent="0.15">
      <c r="A42" s="12" t="s">
        <v>78</v>
      </c>
      <c r="B42" s="31" t="s">
        <v>58</v>
      </c>
      <c r="C42" s="15" t="str">
        <f>IF(A42="","",INDEX('RelMap+Summary'!$C$4:$P$142,MATCH($A42,'RelMap+Summary'!$C$4:$C$142,0),MATCH(C$2,'RelMap+Summary'!$C$3:$P$3,0)))</f>
        <v>SKC</v>
      </c>
      <c r="D42" s="7" t="str">
        <f>IF(A42="","",INDEX('RelMap+Summary'!$C$4:$P$142,MATCH($A42,'RelMap+Summary'!$C$4:$C$142,0),MATCH(D$2,'RelMap+Summary'!$C$3:$P$3,0)))</f>
        <v>K. Ganapathy Subramanian</v>
      </c>
      <c r="E42" s="7"/>
      <c r="F42" s="14"/>
      <c r="G42" s="5"/>
      <c r="H42" s="5"/>
      <c r="I42" s="5"/>
      <c r="J42" s="5"/>
      <c r="K42" s="5"/>
      <c r="L42" s="5"/>
      <c r="M42" s="6" t="s">
        <v>32</v>
      </c>
      <c r="N42" s="5"/>
      <c r="O42" s="5"/>
      <c r="P42" s="11"/>
      <c r="Q42" s="11">
        <f t="shared" si="1"/>
        <v>0</v>
      </c>
      <c r="R42" s="11"/>
      <c r="S42" s="11"/>
      <c r="T42" s="11"/>
      <c r="U42" s="11"/>
      <c r="V42" s="11"/>
      <c r="W42" s="11"/>
      <c r="X42" s="11"/>
      <c r="Y42" s="11"/>
      <c r="Z42" s="11"/>
      <c r="AA42" s="11"/>
      <c r="AB42" s="11"/>
      <c r="AC42" s="11"/>
      <c r="AD42" s="11"/>
      <c r="AE42" s="11"/>
      <c r="AF42" s="11"/>
    </row>
    <row r="43" spans="1:32" ht="26" x14ac:dyDescent="0.15">
      <c r="A43" s="12" t="s">
        <v>79</v>
      </c>
      <c r="B43" s="31" t="s">
        <v>58</v>
      </c>
      <c r="C43" s="15" t="str">
        <f>IF(A43="","",INDEX('RelMap+Summary'!$C$4:$P$142,MATCH($A43,'RelMap+Summary'!$C$4:$C$142,0),MATCH(C$2,'RelMap+Summary'!$C$3:$P$3,0)))</f>
        <v>SKC</v>
      </c>
      <c r="D43" s="7" t="str">
        <f>IF(A43="","",INDEX('RelMap+Summary'!$C$4:$P$142,MATCH($A43,'RelMap+Summary'!$C$4:$C$142,0),MATCH(D$2,'RelMap+Summary'!$C$3:$P$3,0)))</f>
        <v>K. Ganapathy Subramanian</v>
      </c>
      <c r="E43" s="7"/>
      <c r="F43" s="14"/>
      <c r="G43" s="5"/>
      <c r="H43" s="5"/>
      <c r="I43" s="5"/>
      <c r="J43" s="5"/>
      <c r="K43" s="5"/>
      <c r="L43" s="5"/>
      <c r="M43" s="6" t="s">
        <v>32</v>
      </c>
      <c r="N43" s="5"/>
      <c r="O43" s="5"/>
      <c r="P43" s="11"/>
      <c r="Q43" s="11">
        <f t="shared" si="1"/>
        <v>0</v>
      </c>
      <c r="R43" s="11"/>
      <c r="S43" s="11"/>
      <c r="T43" s="11"/>
      <c r="U43" s="11"/>
      <c r="V43" s="11"/>
      <c r="W43" s="11"/>
      <c r="X43" s="11"/>
      <c r="Y43" s="11"/>
      <c r="Z43" s="11"/>
      <c r="AA43" s="11"/>
      <c r="AB43" s="11"/>
      <c r="AC43" s="11"/>
      <c r="AD43" s="11"/>
      <c r="AE43" s="11"/>
      <c r="AF43" s="11"/>
    </row>
    <row r="44" spans="1:32" ht="26" x14ac:dyDescent="0.15">
      <c r="A44" s="12" t="s">
        <v>80</v>
      </c>
      <c r="B44" s="31" t="s">
        <v>58</v>
      </c>
      <c r="C44" s="15" t="str">
        <f>IF(A44="","",INDEX('RelMap+Summary'!$C$4:$P$142,MATCH($A44,'RelMap+Summary'!$C$4:$C$142,0),MATCH(C$2,'RelMap+Summary'!$C$3:$P$3,0)))</f>
        <v>SKC</v>
      </c>
      <c r="D44" s="7" t="str">
        <f>IF(A44="","",INDEX('RelMap+Summary'!$C$4:$P$142,MATCH($A44,'RelMap+Summary'!$C$4:$C$142,0),MATCH(D$2,'RelMap+Summary'!$C$3:$P$3,0)))</f>
        <v>K. Ganapathy Subramanian</v>
      </c>
      <c r="E44" s="7"/>
      <c r="F44" s="14"/>
      <c r="G44" s="5"/>
      <c r="H44" s="5"/>
      <c r="I44" s="5"/>
      <c r="J44" s="5"/>
      <c r="K44" s="5"/>
      <c r="L44" s="5"/>
      <c r="M44" s="6" t="s">
        <v>32</v>
      </c>
      <c r="N44" s="5"/>
      <c r="O44" s="5"/>
      <c r="P44" s="11"/>
      <c r="Q44" s="11">
        <f t="shared" si="1"/>
        <v>0</v>
      </c>
      <c r="R44" s="11"/>
      <c r="S44" s="11"/>
      <c r="T44" s="11"/>
      <c r="U44" s="11"/>
      <c r="V44" s="11"/>
      <c r="W44" s="11"/>
      <c r="X44" s="11"/>
      <c r="Y44" s="11"/>
      <c r="Z44" s="11"/>
      <c r="AA44" s="11"/>
      <c r="AB44" s="11"/>
      <c r="AC44" s="11"/>
      <c r="AD44" s="11"/>
      <c r="AE44" s="11"/>
      <c r="AF44" s="11"/>
    </row>
    <row r="45" spans="1:32" ht="13" x14ac:dyDescent="0.15">
      <c r="A45" s="5" t="s">
        <v>81</v>
      </c>
      <c r="B45" s="31" t="s">
        <v>58</v>
      </c>
      <c r="C45" s="15" t="str">
        <f>IF(A45="","",INDEX('RelMap+Summary'!$C$4:$P$142,MATCH($A45,'RelMap+Summary'!$C$4:$C$142,0),MATCH(C$2,'RelMap+Summary'!$C$3:$P$3,0)))</f>
        <v>SKC</v>
      </c>
      <c r="D45" s="7" t="str">
        <f>IF(A45="","",INDEX('RelMap+Summary'!$C$4:$P$142,MATCH($A45,'RelMap+Summary'!$C$4:$C$142,0),MATCH(D$2,'RelMap+Summary'!$C$3:$P$3,0)))</f>
        <v>Krishna Chaitanya K</v>
      </c>
      <c r="E45" s="7"/>
      <c r="F45" s="14"/>
      <c r="G45" s="5"/>
      <c r="H45" s="5"/>
      <c r="I45" s="5"/>
      <c r="J45" s="5"/>
      <c r="K45" s="5"/>
      <c r="L45" s="5"/>
      <c r="M45" s="6" t="s">
        <v>32</v>
      </c>
      <c r="N45" s="5"/>
      <c r="O45" s="5"/>
      <c r="P45" s="11"/>
      <c r="Q45" s="11">
        <f t="shared" si="1"/>
        <v>0</v>
      </c>
      <c r="R45" s="11"/>
      <c r="S45" s="11"/>
      <c r="T45" s="11"/>
      <c r="U45" s="11"/>
      <c r="V45" s="11"/>
      <c r="W45" s="11"/>
      <c r="X45" s="11"/>
      <c r="Y45" s="11"/>
      <c r="Z45" s="11"/>
      <c r="AA45" s="11"/>
      <c r="AB45" s="11"/>
      <c r="AC45" s="11"/>
      <c r="AD45" s="11"/>
      <c r="AE45" s="11"/>
      <c r="AF45" s="11"/>
    </row>
    <row r="46" spans="1:32" ht="22.25" customHeight="1" x14ac:dyDescent="0.15">
      <c r="A46" s="5" t="s">
        <v>82</v>
      </c>
      <c r="B46" s="31" t="s">
        <v>58</v>
      </c>
      <c r="C46" s="15" t="str">
        <f>IF(A46="","",INDEX('RelMap+Summary'!$C$4:$P$142,MATCH($A46,'RelMap+Summary'!$C$4:$C$142,0),MATCH(C$2,'RelMap+Summary'!$C$3:$P$3,0)))</f>
        <v>SKC</v>
      </c>
      <c r="D46" s="7" t="str">
        <f>IF(A46="","",INDEX('RelMap+Summary'!$C$4:$P$142,MATCH($A46,'RelMap+Summary'!$C$4:$C$142,0),MATCH(D$2,'RelMap+Summary'!$C$3:$P$3,0)))</f>
        <v>Krishna Chaitanya K</v>
      </c>
      <c r="E46" s="7"/>
      <c r="F46" s="14"/>
      <c r="G46" s="5"/>
      <c r="H46" s="5"/>
      <c r="I46" s="5"/>
      <c r="J46" s="5"/>
      <c r="K46" s="5"/>
      <c r="L46" s="5"/>
      <c r="M46" s="5" t="s">
        <v>32</v>
      </c>
      <c r="N46" s="5"/>
      <c r="O46" s="5"/>
      <c r="P46" s="11"/>
      <c r="Q46" s="11">
        <f t="shared" si="1"/>
        <v>0</v>
      </c>
      <c r="R46" s="11"/>
      <c r="S46" s="11"/>
      <c r="T46" s="11"/>
      <c r="U46" s="11"/>
      <c r="V46" s="11"/>
      <c r="W46" s="11"/>
      <c r="X46" s="11"/>
      <c r="Y46" s="11"/>
      <c r="Z46" s="11"/>
      <c r="AA46" s="11"/>
      <c r="AB46" s="11"/>
      <c r="AC46" s="11"/>
      <c r="AD46" s="11"/>
      <c r="AE46" s="11"/>
      <c r="AF46" s="11"/>
    </row>
    <row r="47" spans="1:32" ht="26" x14ac:dyDescent="0.15">
      <c r="A47" s="5" t="s">
        <v>83</v>
      </c>
      <c r="B47" s="31" t="s">
        <v>58</v>
      </c>
      <c r="C47" s="15" t="str">
        <f>IF(A47="","",INDEX('RelMap+Summary'!$C$4:$P$142,MATCH($A47,'RelMap+Summary'!$C$4:$C$142,0),MATCH(C$2,'RelMap+Summary'!$C$3:$P$3,0)))</f>
        <v>Propreitory</v>
      </c>
      <c r="D47" s="7" t="str">
        <f>IF(A47="","",INDEX('RelMap+Summary'!$C$4:$P$142,MATCH($A47,'RelMap+Summary'!$C$4:$C$142,0),MATCH(D$2,'RelMap+Summary'!$C$3:$P$3,0)))</f>
        <v>K. Ganapathy Subramanian</v>
      </c>
      <c r="E47" s="7"/>
      <c r="F47" s="14"/>
      <c r="G47" s="5"/>
      <c r="H47" s="5"/>
      <c r="I47" s="5"/>
      <c r="J47" s="5"/>
      <c r="K47" s="5"/>
      <c r="L47" s="5"/>
      <c r="M47" s="5" t="s">
        <v>32</v>
      </c>
      <c r="N47" s="5"/>
      <c r="O47" s="5"/>
      <c r="P47" s="11"/>
      <c r="Q47" s="11">
        <f t="shared" si="1"/>
        <v>0</v>
      </c>
      <c r="R47" s="11"/>
      <c r="S47" s="11"/>
      <c r="T47" s="11"/>
      <c r="U47" s="11"/>
      <c r="V47" s="11"/>
      <c r="W47" s="11"/>
      <c r="X47" s="11"/>
      <c r="Y47" s="11"/>
      <c r="Z47" s="11"/>
      <c r="AA47" s="11"/>
      <c r="AB47" s="11"/>
      <c r="AC47" s="11"/>
      <c r="AD47" s="11"/>
      <c r="AE47" s="11"/>
      <c r="AF47" s="11"/>
    </row>
    <row r="48" spans="1:32" ht="13" x14ac:dyDescent="0.15">
      <c r="A48" s="5" t="s">
        <v>84</v>
      </c>
      <c r="B48" s="31" t="s">
        <v>58</v>
      </c>
      <c r="C48" s="15" t="str">
        <f>IF(A48="","",INDEX('RelMap+Summary'!$C$4:$P$142,MATCH($A48,'RelMap+Summary'!$C$4:$C$142,0),MATCH(C$2,'RelMap+Summary'!$C$3:$P$3,0)))</f>
        <v>Others</v>
      </c>
      <c r="D48" s="7" t="str">
        <f>IF(A48="","",INDEX('RelMap+Summary'!$C$4:$P$142,MATCH($A48,'RelMap+Summary'!$C$4:$C$142,0),MATCH(D$2,'RelMap+Summary'!$C$3:$P$3,0)))</f>
        <v>Satish S</v>
      </c>
      <c r="E48" s="7"/>
      <c r="F48" s="14"/>
      <c r="G48" s="5"/>
      <c r="H48" s="5"/>
      <c r="I48" s="5"/>
      <c r="J48" s="5"/>
      <c r="K48" s="5"/>
      <c r="L48" s="5"/>
      <c r="M48" s="5"/>
      <c r="N48" s="5"/>
      <c r="O48" s="5"/>
      <c r="P48" s="11"/>
      <c r="Q48" s="11">
        <f t="shared" si="1"/>
        <v>0</v>
      </c>
      <c r="R48" s="11"/>
      <c r="S48" s="11"/>
      <c r="T48" s="11"/>
      <c r="U48" s="11"/>
      <c r="V48" s="11"/>
      <c r="W48" s="11"/>
      <c r="X48" s="11"/>
      <c r="Y48" s="11"/>
      <c r="Z48" s="11"/>
      <c r="AA48" s="11"/>
      <c r="AB48" s="11"/>
      <c r="AC48" s="11"/>
      <c r="AD48" s="11"/>
      <c r="AE48" s="11"/>
      <c r="AF48" s="11"/>
    </row>
    <row r="49" spans="1:32" ht="13" x14ac:dyDescent="0.15">
      <c r="A49" s="5" t="s">
        <v>85</v>
      </c>
      <c r="B49" s="31" t="s">
        <v>58</v>
      </c>
      <c r="C49" s="15" t="str">
        <f>IF(A49="","",INDEX('RelMap+Summary'!$C$4:$P$142,MATCH($A49,'RelMap+Summary'!$C$4:$C$142,0),MATCH(C$2,'RelMap+Summary'!$C$3:$P$3,0)))</f>
        <v>Others</v>
      </c>
      <c r="D49" s="7" t="str">
        <f>IF(A49="","",INDEX('RelMap+Summary'!$C$4:$P$142,MATCH($A49,'RelMap+Summary'!$C$4:$C$142,0),MATCH(D$2,'RelMap+Summary'!$C$3:$P$3,0)))</f>
        <v>Satish S</v>
      </c>
      <c r="E49" s="7"/>
      <c r="F49" s="14"/>
      <c r="G49" s="5"/>
      <c r="H49" s="5"/>
      <c r="I49" s="5"/>
      <c r="J49" s="5"/>
      <c r="K49" s="5"/>
      <c r="L49" s="5"/>
      <c r="M49" s="5"/>
      <c r="N49" s="5"/>
      <c r="O49" s="5"/>
      <c r="P49" s="11"/>
      <c r="Q49" s="11">
        <f t="shared" si="1"/>
        <v>0</v>
      </c>
      <c r="R49" s="11"/>
      <c r="S49" s="11"/>
      <c r="T49" s="11"/>
      <c r="U49" s="11"/>
      <c r="V49" s="11"/>
      <c r="W49" s="11"/>
      <c r="X49" s="11"/>
      <c r="Y49" s="11"/>
      <c r="Z49" s="11"/>
      <c r="AA49" s="11"/>
      <c r="AB49" s="11"/>
      <c r="AC49" s="11"/>
      <c r="AD49" s="11"/>
      <c r="AE49" s="11"/>
      <c r="AF49" s="11"/>
    </row>
    <row r="50" spans="1:32" ht="13" x14ac:dyDescent="0.15">
      <c r="A50" s="5" t="s">
        <v>86</v>
      </c>
      <c r="B50" s="31" t="s">
        <v>58</v>
      </c>
      <c r="C50" s="15" t="str">
        <f>IF(A50="","",INDEX('RelMap+Summary'!$C$4:$P$142,MATCH($A50,'RelMap+Summary'!$C$4:$C$142,0),MATCH(C$2,'RelMap+Summary'!$C$3:$P$3,0)))</f>
        <v>Others</v>
      </c>
      <c r="D50" s="7" t="str">
        <f>IF(A50="","",INDEX('RelMap+Summary'!$C$4:$P$142,MATCH($A50,'RelMap+Summary'!$C$4:$C$142,0),MATCH(D$2,'RelMap+Summary'!$C$3:$P$3,0)))</f>
        <v>Satish S</v>
      </c>
      <c r="E50" s="7"/>
      <c r="F50" s="14"/>
      <c r="G50" s="5"/>
      <c r="H50" s="5"/>
      <c r="I50" s="5"/>
      <c r="J50" s="5"/>
      <c r="K50" s="5"/>
      <c r="L50" s="5"/>
      <c r="M50" s="5"/>
      <c r="N50" s="5"/>
      <c r="O50" s="5"/>
      <c r="P50" s="11"/>
      <c r="Q50" s="11">
        <f t="shared" si="1"/>
        <v>0</v>
      </c>
      <c r="R50" s="11"/>
      <c r="S50" s="11"/>
      <c r="T50" s="11"/>
      <c r="U50" s="11"/>
      <c r="V50" s="11"/>
      <c r="W50" s="11"/>
      <c r="X50" s="11"/>
      <c r="Y50" s="11"/>
      <c r="Z50" s="11"/>
      <c r="AA50" s="11"/>
      <c r="AB50" s="11"/>
      <c r="AC50" s="11"/>
      <c r="AD50" s="11"/>
      <c r="AE50" s="11"/>
      <c r="AF50" s="11"/>
    </row>
    <row r="51" spans="1:32" ht="13" x14ac:dyDescent="0.15">
      <c r="A51" s="5" t="s">
        <v>87</v>
      </c>
      <c r="B51" s="31" t="s">
        <v>58</v>
      </c>
      <c r="C51" s="15" t="str">
        <f>IF(A51="","",INDEX('RelMap+Summary'!$C$4:$P$142,MATCH($A51,'RelMap+Summary'!$C$4:$C$142,0),MATCH(C$2,'RelMap+Summary'!$C$3:$P$3,0)))</f>
        <v>Others</v>
      </c>
      <c r="D51" s="7" t="str">
        <f>IF(A51="","",INDEX('RelMap+Summary'!$C$4:$P$142,MATCH($A51,'RelMap+Summary'!$C$4:$C$142,0),MATCH(D$2,'RelMap+Summary'!$C$3:$P$3,0)))</f>
        <v>Satish S</v>
      </c>
      <c r="E51" s="7"/>
      <c r="F51" s="14"/>
      <c r="G51" s="5"/>
      <c r="H51" s="5"/>
      <c r="I51" s="5"/>
      <c r="J51" s="5"/>
      <c r="K51" s="5"/>
      <c r="L51" s="5"/>
      <c r="M51" s="5"/>
      <c r="N51" s="5"/>
      <c r="O51" s="5"/>
      <c r="P51" s="11"/>
      <c r="Q51" s="11">
        <f t="shared" si="1"/>
        <v>0</v>
      </c>
      <c r="R51" s="11"/>
      <c r="S51" s="11"/>
      <c r="T51" s="11"/>
      <c r="U51" s="11"/>
      <c r="V51" s="11"/>
      <c r="W51" s="11"/>
      <c r="X51" s="11"/>
      <c r="Y51" s="11"/>
      <c r="Z51" s="11"/>
      <c r="AA51" s="11"/>
      <c r="AB51" s="11"/>
      <c r="AC51" s="11"/>
      <c r="AD51" s="11"/>
      <c r="AE51" s="11"/>
      <c r="AF51" s="11"/>
    </row>
    <row r="52" spans="1:32" ht="13" x14ac:dyDescent="0.15">
      <c r="A52" s="5"/>
      <c r="B52" s="31"/>
      <c r="C52" s="15" t="str">
        <f>IF(A52="","",INDEX('RelMap+Summary'!$C$4:$P$142,MATCH($A52,'RelMap+Summary'!$C$4:$C$142,0),MATCH(C$2,'RelMap+Summary'!$C$3:$P$3,0)))</f>
        <v/>
      </c>
      <c r="D52" s="7" t="str">
        <f>IF(A52="","",INDEX('RelMap+Summary'!$C$4:$P$142,MATCH($A52,'RelMap+Summary'!$C$4:$C$142,0),MATCH(D$2,'RelMap+Summary'!$C$3:$P$3,0)))</f>
        <v/>
      </c>
      <c r="E52" s="7"/>
      <c r="F52" s="14"/>
      <c r="G52" s="5"/>
      <c r="H52" s="5"/>
      <c r="I52" s="5"/>
      <c r="J52" s="5"/>
      <c r="K52" s="5"/>
      <c r="L52" s="5"/>
      <c r="M52" s="5"/>
      <c r="N52" s="5"/>
      <c r="O52" s="5"/>
      <c r="P52" s="11"/>
      <c r="Q52" s="11">
        <f t="shared" si="1"/>
        <v>0</v>
      </c>
      <c r="R52" s="11"/>
      <c r="S52" s="11"/>
      <c r="T52" s="11"/>
      <c r="U52" s="11"/>
      <c r="V52" s="11"/>
      <c r="W52" s="11"/>
      <c r="X52" s="11"/>
      <c r="Y52" s="11"/>
      <c r="Z52" s="11"/>
      <c r="AA52" s="11"/>
      <c r="AB52" s="11"/>
      <c r="AC52" s="11"/>
      <c r="AD52" s="11"/>
      <c r="AE52" s="11"/>
      <c r="AF52" s="11"/>
    </row>
    <row r="53" spans="1:32" ht="13" x14ac:dyDescent="0.15">
      <c r="A53" s="5"/>
      <c r="B53" s="31"/>
      <c r="C53" s="15" t="str">
        <f>IF(A53="","",INDEX('RelMap+Summary'!$C$4:$P$142,MATCH($A53,'RelMap+Summary'!$C$4:$C$142,0),MATCH(C$2,'RelMap+Summary'!$C$3:$P$3,0)))</f>
        <v/>
      </c>
      <c r="D53" s="7" t="str">
        <f>IF(A53="","",INDEX('RelMap+Summary'!$C$4:$P$142,MATCH($A53,'RelMap+Summary'!$C$4:$C$142,0),MATCH(D$2,'RelMap+Summary'!$C$3:$P$3,0)))</f>
        <v/>
      </c>
      <c r="E53" s="7"/>
      <c r="F53" s="14"/>
      <c r="G53" s="5"/>
      <c r="H53" s="5"/>
      <c r="I53" s="5"/>
      <c r="J53" s="5"/>
      <c r="K53" s="5"/>
      <c r="L53" s="5"/>
      <c r="M53" s="5"/>
      <c r="N53" s="5"/>
      <c r="O53" s="5"/>
      <c r="P53" s="11"/>
      <c r="Q53" s="11">
        <f t="shared" si="1"/>
        <v>0</v>
      </c>
      <c r="R53" s="11"/>
      <c r="S53" s="11"/>
      <c r="T53" s="11"/>
      <c r="U53" s="11"/>
      <c r="V53" s="11"/>
      <c r="W53" s="11"/>
      <c r="X53" s="11"/>
      <c r="Y53" s="11"/>
      <c r="Z53" s="11"/>
      <c r="AA53" s="11"/>
      <c r="AB53" s="11"/>
      <c r="AC53" s="11"/>
      <c r="AD53" s="11"/>
      <c r="AE53" s="11"/>
      <c r="AF53" s="11"/>
    </row>
    <row r="54" spans="1:32" ht="13" x14ac:dyDescent="0.15">
      <c r="A54" s="5"/>
      <c r="B54" s="31"/>
      <c r="C54" s="15" t="str">
        <f>IF(A54="","",INDEX('RelMap+Summary'!$C$4:$P$142,MATCH($A54,'RelMap+Summary'!$C$4:$C$142,0),MATCH(C$2,'RelMap+Summary'!$C$3:$P$3,0)))</f>
        <v/>
      </c>
      <c r="D54" s="7" t="str">
        <f>IF(A54="","",INDEX('RelMap+Summary'!$C$4:$P$142,MATCH($A54,'RelMap+Summary'!$C$4:$C$142,0),MATCH(D$2,'RelMap+Summary'!$C$3:$P$3,0)))</f>
        <v/>
      </c>
      <c r="E54" s="7"/>
      <c r="F54" s="14"/>
      <c r="G54" s="5"/>
      <c r="H54" s="5"/>
      <c r="I54" s="5"/>
      <c r="J54" s="5"/>
      <c r="K54" s="5"/>
      <c r="L54" s="5"/>
      <c r="M54" s="5"/>
      <c r="N54" s="5"/>
      <c r="O54" s="5"/>
      <c r="P54" s="11"/>
      <c r="Q54" s="11">
        <f t="shared" si="1"/>
        <v>0</v>
      </c>
      <c r="R54" s="11"/>
      <c r="S54" s="11"/>
      <c r="T54" s="11"/>
      <c r="U54" s="11"/>
      <c r="V54" s="11"/>
      <c r="W54" s="11"/>
      <c r="X54" s="11"/>
      <c r="Y54" s="11"/>
      <c r="Z54" s="11"/>
      <c r="AA54" s="11"/>
      <c r="AB54" s="11"/>
      <c r="AC54" s="11"/>
      <c r="AD54" s="11"/>
      <c r="AE54" s="11"/>
      <c r="AF54" s="11"/>
    </row>
    <row r="55" spans="1:32" ht="13" x14ac:dyDescent="0.15">
      <c r="A55" s="5"/>
      <c r="B55" s="31"/>
      <c r="C55" s="15" t="str">
        <f>IF(A55="","",INDEX('RelMap+Summary'!$C$4:$P$142,MATCH($A55,'RelMap+Summary'!$C$4:$C$142,0),MATCH(C$2,'RelMap+Summary'!$C$3:$P$3,0)))</f>
        <v/>
      </c>
      <c r="D55" s="7" t="str">
        <f>IF(A55="","",INDEX('RelMap+Summary'!$C$4:$P$142,MATCH($A55,'RelMap+Summary'!$C$4:$C$142,0),MATCH(D$2,'RelMap+Summary'!$C$3:$P$3,0)))</f>
        <v/>
      </c>
      <c r="E55" s="7"/>
      <c r="F55" s="14"/>
      <c r="G55" s="5"/>
      <c r="H55" s="5"/>
      <c r="I55" s="5"/>
      <c r="J55" s="5"/>
      <c r="K55" s="5"/>
      <c r="L55" s="5"/>
      <c r="M55" s="5"/>
      <c r="N55" s="5"/>
      <c r="O55" s="5"/>
      <c r="P55" s="11"/>
      <c r="Q55" s="11">
        <f t="shared" si="1"/>
        <v>0</v>
      </c>
      <c r="R55" s="11"/>
      <c r="S55" s="11"/>
      <c r="T55" s="11"/>
      <c r="U55" s="11"/>
      <c r="V55" s="11"/>
      <c r="W55" s="11"/>
      <c r="X55" s="11"/>
      <c r="Y55" s="11"/>
      <c r="Z55" s="11"/>
      <c r="AA55" s="11"/>
      <c r="AB55" s="11"/>
      <c r="AC55" s="11"/>
      <c r="AD55" s="11"/>
      <c r="AE55" s="11"/>
      <c r="AF55" s="11"/>
    </row>
    <row r="56" spans="1:32" ht="13" x14ac:dyDescent="0.15">
      <c r="A56" s="5"/>
      <c r="B56" s="31"/>
      <c r="C56" s="15" t="str">
        <f>IF(A56="","",INDEX('RelMap+Summary'!$C$4:$P$142,MATCH($A56,'RelMap+Summary'!$C$4:$C$142,0),MATCH(C$2,'RelMap+Summary'!$C$3:$P$3,0)))</f>
        <v/>
      </c>
      <c r="D56" s="7" t="str">
        <f>IF(A56="","",INDEX('RelMap+Summary'!$C$4:$P$142,MATCH($A56,'RelMap+Summary'!$C$4:$C$142,0),MATCH(D$2,'RelMap+Summary'!$C$3:$P$3,0)))</f>
        <v/>
      </c>
      <c r="E56" s="7"/>
      <c r="F56" s="14"/>
      <c r="G56" s="5"/>
      <c r="H56" s="5"/>
      <c r="I56" s="5"/>
      <c r="J56" s="5"/>
      <c r="K56" s="5"/>
      <c r="L56" s="5"/>
      <c r="M56" s="5"/>
      <c r="N56" s="5"/>
      <c r="O56" s="5"/>
      <c r="P56" s="11"/>
      <c r="Q56" s="11">
        <f t="shared" si="1"/>
        <v>0</v>
      </c>
      <c r="R56" s="11"/>
      <c r="S56" s="11"/>
      <c r="T56" s="11"/>
      <c r="U56" s="11"/>
      <c r="V56" s="11"/>
      <c r="W56" s="11"/>
      <c r="X56" s="11"/>
      <c r="Y56" s="11"/>
      <c r="Z56" s="11"/>
      <c r="AA56" s="11"/>
      <c r="AB56" s="11"/>
      <c r="AC56" s="11"/>
      <c r="AD56" s="11"/>
      <c r="AE56" s="11"/>
      <c r="AF56" s="11"/>
    </row>
    <row r="57" spans="1:32" ht="13" x14ac:dyDescent="0.15">
      <c r="A57" s="5"/>
      <c r="B57" s="31"/>
      <c r="C57" s="15" t="str">
        <f>IF(A57="","",INDEX('RelMap+Summary'!$C$4:$P$142,MATCH($A57,'RelMap+Summary'!$C$4:$C$142,0),MATCH(C$2,'RelMap+Summary'!$C$3:$P$3,0)))</f>
        <v/>
      </c>
      <c r="D57" s="7" t="str">
        <f>IF(A57="","",INDEX('RelMap+Summary'!$C$4:$P$142,MATCH($A57,'RelMap+Summary'!$C$4:$C$142,0),MATCH(D$2,'RelMap+Summary'!$C$3:$P$3,0)))</f>
        <v/>
      </c>
      <c r="E57" s="7"/>
      <c r="F57" s="14"/>
      <c r="G57" s="5"/>
      <c r="H57" s="5"/>
      <c r="I57" s="5"/>
      <c r="J57" s="5"/>
      <c r="K57" s="5"/>
      <c r="L57" s="5"/>
      <c r="M57" s="5"/>
      <c r="N57" s="5"/>
      <c r="O57" s="5"/>
      <c r="P57" s="11"/>
      <c r="Q57" s="11">
        <f t="shared" si="1"/>
        <v>0</v>
      </c>
      <c r="R57" s="11"/>
      <c r="S57" s="11"/>
      <c r="T57" s="11"/>
      <c r="U57" s="11"/>
      <c r="V57" s="11"/>
      <c r="W57" s="11"/>
      <c r="X57" s="11"/>
      <c r="Y57" s="11"/>
      <c r="Z57" s="11"/>
      <c r="AA57" s="11"/>
      <c r="AB57" s="11"/>
      <c r="AC57" s="11"/>
      <c r="AD57" s="11"/>
      <c r="AE57" s="11"/>
      <c r="AF57" s="11"/>
    </row>
    <row r="58" spans="1:32" ht="13" x14ac:dyDescent="0.15">
      <c r="A58" s="5"/>
      <c r="B58" s="31"/>
      <c r="C58" s="15" t="str">
        <f>IF(A58="","",INDEX('RelMap+Summary'!$C$4:$P$142,MATCH($A58,'RelMap+Summary'!$C$4:$C$142,0),MATCH(C$2,'RelMap+Summary'!$C$3:$P$3,0)))</f>
        <v/>
      </c>
      <c r="D58" s="7" t="str">
        <f>IF(A58="","",INDEX('RelMap+Summary'!$C$4:$P$142,MATCH($A58,'RelMap+Summary'!$C$4:$C$142,0),MATCH(D$2,'RelMap+Summary'!$C$3:$P$3,0)))</f>
        <v/>
      </c>
      <c r="E58" s="7"/>
      <c r="F58" s="14"/>
      <c r="G58" s="5"/>
      <c r="H58" s="5"/>
      <c r="I58" s="5"/>
      <c r="J58" s="5"/>
      <c r="K58" s="5"/>
      <c r="L58" s="5"/>
      <c r="M58" s="5"/>
      <c r="N58" s="5"/>
      <c r="O58" s="5"/>
      <c r="P58" s="11"/>
      <c r="Q58" s="11">
        <f t="shared" si="1"/>
        <v>0</v>
      </c>
      <c r="R58" s="11"/>
      <c r="S58" s="11"/>
      <c r="T58" s="11"/>
      <c r="U58" s="11"/>
      <c r="V58" s="11"/>
      <c r="W58" s="11"/>
      <c r="X58" s="11"/>
      <c r="Y58" s="11"/>
      <c r="Z58" s="11"/>
      <c r="AA58" s="11"/>
      <c r="AB58" s="11"/>
      <c r="AC58" s="11"/>
      <c r="AD58" s="11"/>
      <c r="AE58" s="11"/>
      <c r="AF58" s="11"/>
    </row>
    <row r="59" spans="1:32" ht="13" x14ac:dyDescent="0.15">
      <c r="A59" s="5"/>
      <c r="B59" s="31"/>
      <c r="C59" s="15" t="str">
        <f>IF(A59="","",INDEX('RelMap+Summary'!$C$4:$P$142,MATCH($A59,'RelMap+Summary'!$C$4:$C$142,0),MATCH(C$2,'RelMap+Summary'!$C$3:$P$3,0)))</f>
        <v/>
      </c>
      <c r="D59" s="7" t="str">
        <f>IF(A59="","",INDEX('RelMap+Summary'!$C$4:$P$142,MATCH($A59,'RelMap+Summary'!$C$4:$C$142,0),MATCH(D$2,'RelMap+Summary'!$C$3:$P$3,0)))</f>
        <v/>
      </c>
      <c r="E59" s="7"/>
      <c r="F59" s="14"/>
      <c r="G59" s="5"/>
      <c r="H59" s="5"/>
      <c r="I59" s="5"/>
      <c r="J59" s="5"/>
      <c r="K59" s="5"/>
      <c r="L59" s="5"/>
      <c r="M59" s="5"/>
      <c r="N59" s="5"/>
      <c r="O59" s="5"/>
      <c r="P59" s="11"/>
      <c r="Q59" s="11">
        <f t="shared" si="1"/>
        <v>0</v>
      </c>
      <c r="R59" s="11"/>
      <c r="S59" s="11"/>
      <c r="T59" s="11"/>
      <c r="U59" s="11"/>
      <c r="V59" s="11"/>
      <c r="W59" s="11"/>
      <c r="X59" s="11"/>
      <c r="Y59" s="11"/>
      <c r="Z59" s="11"/>
      <c r="AA59" s="11"/>
      <c r="AB59" s="11"/>
      <c r="AC59" s="11"/>
      <c r="AD59" s="11"/>
      <c r="AE59" s="11"/>
      <c r="AF59" s="11"/>
    </row>
    <row r="60" spans="1:32" ht="13" x14ac:dyDescent="0.15">
      <c r="A60" s="5"/>
      <c r="B60" s="31"/>
      <c r="C60" s="15" t="str">
        <f>IF(A60="","",INDEX('RelMap+Summary'!$C$4:$P$142,MATCH($A60,'RelMap+Summary'!$C$4:$C$142,0),MATCH(C$2,'RelMap+Summary'!$C$3:$P$3,0)))</f>
        <v/>
      </c>
      <c r="D60" s="7" t="str">
        <f>IF(A60="","",INDEX('RelMap+Summary'!$C$4:$P$142,MATCH($A60,'RelMap+Summary'!$C$4:$C$142,0),MATCH(D$2,'RelMap+Summary'!$C$3:$P$3,0)))</f>
        <v/>
      </c>
      <c r="E60" s="7"/>
      <c r="F60" s="14"/>
      <c r="G60" s="5"/>
      <c r="H60" s="5"/>
      <c r="I60" s="5"/>
      <c r="J60" s="5"/>
      <c r="K60" s="5"/>
      <c r="L60" s="5"/>
      <c r="M60" s="5"/>
      <c r="N60" s="5"/>
      <c r="O60" s="5"/>
      <c r="P60" s="11"/>
      <c r="Q60" s="11">
        <f t="shared" si="1"/>
        <v>0</v>
      </c>
      <c r="R60" s="11"/>
      <c r="S60" s="11"/>
      <c r="T60" s="11"/>
      <c r="U60" s="11"/>
      <c r="V60" s="11"/>
      <c r="W60" s="11"/>
      <c r="X60" s="11"/>
      <c r="Y60" s="11"/>
      <c r="Z60" s="11"/>
      <c r="AA60" s="11"/>
      <c r="AB60" s="11"/>
      <c r="AC60" s="11"/>
      <c r="AD60" s="11"/>
      <c r="AE60" s="11"/>
      <c r="AF60" s="11"/>
    </row>
    <row r="61" spans="1:32" ht="13" x14ac:dyDescent="0.15">
      <c r="A61" s="5"/>
      <c r="B61" s="31"/>
      <c r="C61" s="15" t="str">
        <f>IF(A61="","",INDEX('RelMap+Summary'!$C$4:$P$142,MATCH($A61,'RelMap+Summary'!$C$4:$C$142,0),MATCH(C$2,'RelMap+Summary'!$C$3:$P$3,0)))</f>
        <v/>
      </c>
      <c r="D61" s="7" t="str">
        <f>IF(A61="","",INDEX('RelMap+Summary'!$C$4:$P$142,MATCH($A61,'RelMap+Summary'!$C$4:$C$142,0),MATCH(D$2,'RelMap+Summary'!$C$3:$P$3,0)))</f>
        <v/>
      </c>
      <c r="E61" s="7"/>
      <c r="F61" s="14"/>
      <c r="G61" s="5"/>
      <c r="H61" s="5"/>
      <c r="I61" s="5"/>
      <c r="J61" s="5"/>
      <c r="K61" s="5"/>
      <c r="L61" s="5"/>
      <c r="M61" s="5"/>
      <c r="N61" s="5"/>
      <c r="O61" s="5"/>
      <c r="P61" s="11"/>
      <c r="Q61" s="11">
        <f t="shared" si="1"/>
        <v>0</v>
      </c>
      <c r="R61" s="11"/>
      <c r="S61" s="11"/>
      <c r="T61" s="11"/>
      <c r="U61" s="11"/>
      <c r="V61" s="11"/>
      <c r="W61" s="11"/>
      <c r="X61" s="11"/>
      <c r="Y61" s="11"/>
      <c r="Z61" s="11"/>
      <c r="AA61" s="11"/>
      <c r="AB61" s="11"/>
      <c r="AC61" s="11"/>
      <c r="AD61" s="11"/>
      <c r="AE61" s="11"/>
      <c r="AF61" s="11"/>
    </row>
    <row r="62" spans="1:32" ht="13" x14ac:dyDescent="0.15">
      <c r="A62" s="5"/>
      <c r="B62" s="31"/>
      <c r="C62" s="15" t="str">
        <f>IF(A62="","",INDEX('RelMap+Summary'!$C$4:$P$142,MATCH($A62,'RelMap+Summary'!$C$4:$C$142,0),MATCH(C$2,'RelMap+Summary'!$C$3:$P$3,0)))</f>
        <v/>
      </c>
      <c r="D62" s="7" t="str">
        <f>IF(A62="","",INDEX('RelMap+Summary'!$C$4:$P$142,MATCH($A62,'RelMap+Summary'!$C$4:$C$142,0),MATCH(D$2,'RelMap+Summary'!$C$3:$P$3,0)))</f>
        <v/>
      </c>
      <c r="E62" s="7"/>
      <c r="F62" s="14"/>
      <c r="G62" s="5"/>
      <c r="H62" s="5"/>
      <c r="I62" s="5"/>
      <c r="J62" s="5"/>
      <c r="K62" s="5"/>
      <c r="L62" s="5"/>
      <c r="M62" s="5"/>
      <c r="N62" s="5"/>
      <c r="O62" s="5"/>
      <c r="P62" s="11"/>
      <c r="Q62" s="11">
        <f t="shared" si="1"/>
        <v>0</v>
      </c>
      <c r="R62" s="11"/>
      <c r="S62" s="11"/>
      <c r="T62" s="11"/>
      <c r="U62" s="11"/>
      <c r="V62" s="11"/>
      <c r="W62" s="11"/>
      <c r="X62" s="11"/>
      <c r="Y62" s="11"/>
      <c r="Z62" s="11"/>
      <c r="AA62" s="11"/>
      <c r="AB62" s="11"/>
      <c r="AC62" s="11"/>
      <c r="AD62" s="11"/>
      <c r="AE62" s="11"/>
      <c r="AF62" s="11"/>
    </row>
    <row r="63" spans="1:32" ht="13" x14ac:dyDescent="0.15">
      <c r="A63" s="5"/>
      <c r="B63" s="31"/>
      <c r="C63" s="15" t="str">
        <f>IF(A63="","",INDEX('RelMap+Summary'!$C$4:$P$142,MATCH($A63,'RelMap+Summary'!$C$4:$C$142,0),MATCH(C$2,'RelMap+Summary'!$C$3:$P$3,0)))</f>
        <v/>
      </c>
      <c r="D63" s="7" t="str">
        <f>IF(A63="","",INDEX('RelMap+Summary'!$C$4:$P$142,MATCH($A63,'RelMap+Summary'!$C$4:$C$142,0),MATCH(D$2,'RelMap+Summary'!$C$3:$P$3,0)))</f>
        <v/>
      </c>
      <c r="E63" s="7"/>
      <c r="F63" s="14"/>
      <c r="G63" s="5"/>
      <c r="H63" s="5"/>
      <c r="I63" s="5"/>
      <c r="J63" s="5"/>
      <c r="K63" s="5"/>
      <c r="L63" s="5"/>
      <c r="M63" s="5"/>
      <c r="N63" s="5"/>
      <c r="O63" s="5"/>
      <c r="P63" s="11"/>
      <c r="Q63" s="11">
        <f t="shared" si="1"/>
        <v>0</v>
      </c>
      <c r="R63" s="11"/>
      <c r="S63" s="11"/>
      <c r="T63" s="11"/>
      <c r="U63" s="11"/>
      <c r="V63" s="11"/>
      <c r="W63" s="11"/>
      <c r="X63" s="11"/>
      <c r="Y63" s="11"/>
      <c r="Z63" s="11"/>
      <c r="AA63" s="11"/>
      <c r="AB63" s="11"/>
      <c r="AC63" s="11"/>
      <c r="AD63" s="11"/>
      <c r="AE63" s="11"/>
      <c r="AF63" s="11"/>
    </row>
    <row r="64" spans="1:32" ht="13" x14ac:dyDescent="0.15">
      <c r="A64" s="5"/>
      <c r="B64" s="31"/>
      <c r="C64" s="15" t="str">
        <f>IF(A64="","",INDEX('RelMap+Summary'!$C$4:$P$142,MATCH($A64,'RelMap+Summary'!$C$4:$C$142,0),MATCH(C$2,'RelMap+Summary'!$C$3:$P$3,0)))</f>
        <v/>
      </c>
      <c r="D64" s="7" t="str">
        <f>IF(A64="","",INDEX('RelMap+Summary'!$C$4:$P$142,MATCH($A64,'RelMap+Summary'!$C$4:$C$142,0),MATCH(D$2,'RelMap+Summary'!$C$3:$P$3,0)))</f>
        <v/>
      </c>
      <c r="E64" s="7"/>
      <c r="F64" s="14"/>
      <c r="G64" s="5"/>
      <c r="H64" s="5"/>
      <c r="I64" s="5"/>
      <c r="J64" s="5"/>
      <c r="K64" s="5"/>
      <c r="L64" s="5"/>
      <c r="M64" s="5"/>
      <c r="N64" s="5"/>
      <c r="O64" s="5"/>
      <c r="P64" s="11"/>
      <c r="Q64" s="11">
        <f t="shared" si="1"/>
        <v>0</v>
      </c>
      <c r="R64" s="11"/>
      <c r="S64" s="11"/>
      <c r="T64" s="11"/>
      <c r="U64" s="11"/>
      <c r="V64" s="11"/>
      <c r="W64" s="11"/>
      <c r="X64" s="11"/>
      <c r="Y64" s="11"/>
      <c r="Z64" s="11"/>
      <c r="AA64" s="11"/>
      <c r="AB64" s="11"/>
      <c r="AC64" s="11"/>
      <c r="AD64" s="11"/>
      <c r="AE64" s="11"/>
      <c r="AF64" s="11"/>
    </row>
    <row r="65" spans="1:32" ht="13" x14ac:dyDescent="0.15">
      <c r="A65" s="5"/>
      <c r="B65" s="31"/>
      <c r="C65" s="15" t="str">
        <f>IF(A65="","",INDEX('RelMap+Summary'!$C$4:$P$142,MATCH($A65,'RelMap+Summary'!$C$4:$C$142,0),MATCH(C$2,'RelMap+Summary'!$C$3:$P$3,0)))</f>
        <v/>
      </c>
      <c r="D65" s="7" t="str">
        <f>IF(A65="","",INDEX('RelMap+Summary'!$C$4:$P$142,MATCH($A65,'RelMap+Summary'!$C$4:$C$142,0),MATCH(D$2,'RelMap+Summary'!$C$3:$P$3,0)))</f>
        <v/>
      </c>
      <c r="E65" s="7"/>
      <c r="F65" s="14"/>
      <c r="G65" s="5"/>
      <c r="H65" s="5"/>
      <c r="I65" s="5"/>
      <c r="J65" s="5"/>
      <c r="K65" s="5"/>
      <c r="L65" s="5"/>
      <c r="M65" s="5"/>
      <c r="N65" s="5"/>
      <c r="O65" s="5"/>
      <c r="P65" s="11"/>
      <c r="Q65" s="11">
        <f t="shared" si="1"/>
        <v>0</v>
      </c>
      <c r="R65" s="11"/>
      <c r="S65" s="11"/>
      <c r="T65" s="11"/>
      <c r="U65" s="11"/>
      <c r="V65" s="11"/>
      <c r="W65" s="11"/>
      <c r="X65" s="11"/>
      <c r="Y65" s="11"/>
      <c r="Z65" s="11"/>
      <c r="AA65" s="11"/>
      <c r="AB65" s="11"/>
      <c r="AC65" s="11"/>
      <c r="AD65" s="11"/>
      <c r="AE65" s="11"/>
      <c r="AF65" s="11"/>
    </row>
    <row r="66" spans="1:32" ht="13" x14ac:dyDescent="0.15">
      <c r="A66" s="5"/>
      <c r="B66" s="31"/>
      <c r="C66" s="15" t="str">
        <f>IF(A66="","",INDEX('RelMap+Summary'!$C$4:$P$142,MATCH($A66,'RelMap+Summary'!$C$4:$C$142,0),MATCH(C$2,'RelMap+Summary'!$C$3:$P$3,0)))</f>
        <v/>
      </c>
      <c r="D66" s="7" t="str">
        <f>IF(A66="","",INDEX('RelMap+Summary'!$C$4:$P$142,MATCH($A66,'RelMap+Summary'!$C$4:$C$142,0),MATCH(D$2,'RelMap+Summary'!$C$3:$P$3,0)))</f>
        <v/>
      </c>
      <c r="E66" s="7"/>
      <c r="F66" s="14"/>
      <c r="G66" s="5"/>
      <c r="H66" s="5"/>
      <c r="I66" s="5"/>
      <c r="J66" s="5"/>
      <c r="K66" s="5"/>
      <c r="L66" s="5"/>
      <c r="M66" s="5"/>
      <c r="N66" s="5"/>
      <c r="O66" s="5"/>
      <c r="P66" s="11"/>
      <c r="Q66" s="11">
        <f t="shared" si="1"/>
        <v>0</v>
      </c>
      <c r="R66" s="11"/>
      <c r="S66" s="11"/>
      <c r="T66" s="11"/>
      <c r="U66" s="11"/>
      <c r="V66" s="11"/>
      <c r="W66" s="11"/>
      <c r="X66" s="11"/>
      <c r="Y66" s="11"/>
      <c r="Z66" s="11"/>
      <c r="AA66" s="11"/>
      <c r="AB66" s="11"/>
      <c r="AC66" s="11"/>
      <c r="AD66" s="11"/>
      <c r="AE66" s="11"/>
      <c r="AF66" s="11"/>
    </row>
    <row r="67" spans="1:32" ht="13" x14ac:dyDescent="0.15">
      <c r="A67" s="5"/>
      <c r="B67" s="31"/>
      <c r="C67" s="15" t="str">
        <f>IF(A67="","",INDEX('RelMap+Summary'!$C$4:$P$142,MATCH($A67,'RelMap+Summary'!$C$4:$C$142,0),MATCH(C$2,'RelMap+Summary'!$C$3:$P$3,0)))</f>
        <v/>
      </c>
      <c r="D67" s="7" t="str">
        <f>IF(A67="","",INDEX('RelMap+Summary'!$C$4:$P$142,MATCH($A67,'RelMap+Summary'!$C$4:$C$142,0),MATCH(D$2,'RelMap+Summary'!$C$3:$P$3,0)))</f>
        <v/>
      </c>
      <c r="E67" s="7"/>
      <c r="F67" s="14"/>
      <c r="G67" s="5"/>
      <c r="H67" s="5"/>
      <c r="I67" s="5"/>
      <c r="J67" s="5"/>
      <c r="K67" s="5"/>
      <c r="L67" s="5"/>
      <c r="M67" s="5"/>
      <c r="N67" s="5"/>
      <c r="O67" s="5"/>
      <c r="P67" s="11"/>
      <c r="Q67" s="11">
        <f t="shared" ref="Q67:Q75" si="2">COUNTIF(G67:L67,"yes")</f>
        <v>0</v>
      </c>
      <c r="R67" s="11"/>
      <c r="S67" s="11"/>
      <c r="T67" s="11"/>
      <c r="U67" s="11"/>
      <c r="V67" s="11"/>
      <c r="W67" s="11"/>
      <c r="X67" s="11"/>
      <c r="Y67" s="11"/>
      <c r="Z67" s="11"/>
      <c r="AA67" s="11"/>
      <c r="AB67" s="11"/>
      <c r="AC67" s="11"/>
      <c r="AD67" s="11"/>
      <c r="AE67" s="11"/>
      <c r="AF67" s="11"/>
    </row>
    <row r="68" spans="1:32" ht="13" x14ac:dyDescent="0.15">
      <c r="A68" s="5"/>
      <c r="B68" s="31"/>
      <c r="C68" s="15" t="str">
        <f>IF(A68="","",INDEX('RelMap+Summary'!$C$4:$P$142,MATCH($A68,'RelMap+Summary'!$C$4:$C$142,0),MATCH(C$2,'RelMap+Summary'!$C$3:$P$3,0)))</f>
        <v/>
      </c>
      <c r="D68" s="7" t="str">
        <f>IF(A68="","",INDEX('RelMap+Summary'!$C$4:$P$142,MATCH($A68,'RelMap+Summary'!$C$4:$C$142,0),MATCH(D$2,'RelMap+Summary'!$C$3:$P$3,0)))</f>
        <v/>
      </c>
      <c r="E68" s="7"/>
      <c r="F68" s="14"/>
      <c r="G68" s="5"/>
      <c r="H68" s="5"/>
      <c r="I68" s="5"/>
      <c r="J68" s="5"/>
      <c r="K68" s="5"/>
      <c r="L68" s="5"/>
      <c r="M68" s="5"/>
      <c r="N68" s="5"/>
      <c r="O68" s="5"/>
      <c r="P68" s="11"/>
      <c r="Q68" s="11">
        <f t="shared" si="2"/>
        <v>0</v>
      </c>
      <c r="R68" s="11"/>
      <c r="S68" s="11"/>
      <c r="T68" s="11"/>
      <c r="U68" s="11"/>
      <c r="V68" s="11"/>
      <c r="W68" s="11"/>
      <c r="X68" s="11"/>
      <c r="Y68" s="11"/>
      <c r="Z68" s="11"/>
      <c r="AA68" s="11"/>
      <c r="AB68" s="11"/>
      <c r="AC68" s="11"/>
      <c r="AD68" s="11"/>
      <c r="AE68" s="11"/>
      <c r="AF68" s="11"/>
    </row>
    <row r="69" spans="1:32" ht="13" x14ac:dyDescent="0.15">
      <c r="A69" s="5"/>
      <c r="B69" s="31"/>
      <c r="C69" s="15" t="str">
        <f>IF(A69="","",INDEX('RelMap+Summary'!$C$4:$P$142,MATCH($A69,'RelMap+Summary'!$C$4:$C$142,0),MATCH(C$2,'RelMap+Summary'!$C$3:$P$3,0)))</f>
        <v/>
      </c>
      <c r="D69" s="7" t="str">
        <f>IF(A69="","",INDEX('RelMap+Summary'!$C$4:$P$142,MATCH($A69,'RelMap+Summary'!$C$4:$C$142,0),MATCH(D$2,'RelMap+Summary'!$C$3:$P$3,0)))</f>
        <v/>
      </c>
      <c r="E69" s="7"/>
      <c r="F69" s="14"/>
      <c r="G69" s="5"/>
      <c r="H69" s="5"/>
      <c r="I69" s="5"/>
      <c r="J69" s="5"/>
      <c r="K69" s="5"/>
      <c r="L69" s="5"/>
      <c r="M69" s="5"/>
      <c r="N69" s="5"/>
      <c r="O69" s="5"/>
      <c r="P69" s="11"/>
      <c r="Q69" s="11">
        <f t="shared" si="2"/>
        <v>0</v>
      </c>
      <c r="R69" s="11"/>
      <c r="S69" s="11"/>
      <c r="T69" s="11"/>
      <c r="U69" s="11"/>
      <c r="V69" s="11"/>
      <c r="W69" s="11"/>
      <c r="X69" s="11"/>
      <c r="Y69" s="11"/>
      <c r="Z69" s="11"/>
      <c r="AA69" s="11"/>
      <c r="AB69" s="11"/>
      <c r="AC69" s="11"/>
      <c r="AD69" s="11"/>
      <c r="AE69" s="11"/>
      <c r="AF69" s="11"/>
    </row>
    <row r="70" spans="1:32" ht="13" x14ac:dyDescent="0.15">
      <c r="A70" s="5"/>
      <c r="B70" s="31"/>
      <c r="C70" s="15" t="str">
        <f>IF(A70="","",INDEX('RelMap+Summary'!$C$4:$P$142,MATCH($A70,'RelMap+Summary'!$C$4:$C$142,0),MATCH(C$2,'RelMap+Summary'!$C$3:$P$3,0)))</f>
        <v/>
      </c>
      <c r="D70" s="7" t="str">
        <f>IF(A70="","",INDEX('RelMap+Summary'!$C$4:$P$142,MATCH($A70,'RelMap+Summary'!$C$4:$C$142,0),MATCH(D$2,'RelMap+Summary'!$C$3:$P$3,0)))</f>
        <v/>
      </c>
      <c r="E70" s="7"/>
      <c r="F70" s="14"/>
      <c r="G70" s="5"/>
      <c r="H70" s="5"/>
      <c r="I70" s="5"/>
      <c r="J70" s="5"/>
      <c r="K70" s="5"/>
      <c r="L70" s="5"/>
      <c r="M70" s="5"/>
      <c r="N70" s="5"/>
      <c r="O70" s="5"/>
      <c r="P70" s="11"/>
      <c r="Q70" s="11">
        <f t="shared" si="2"/>
        <v>0</v>
      </c>
      <c r="R70" s="11"/>
      <c r="S70" s="11"/>
      <c r="T70" s="11"/>
      <c r="U70" s="11"/>
      <c r="V70" s="11"/>
      <c r="W70" s="11"/>
      <c r="X70" s="11"/>
      <c r="Y70" s="11"/>
      <c r="Z70" s="11"/>
      <c r="AA70" s="11"/>
      <c r="AB70" s="11"/>
      <c r="AC70" s="11"/>
      <c r="AD70" s="11"/>
      <c r="AE70" s="11"/>
      <c r="AF70" s="11"/>
    </row>
    <row r="71" spans="1:32" ht="13" x14ac:dyDescent="0.15">
      <c r="A71" s="5"/>
      <c r="B71" s="31"/>
      <c r="C71" s="15" t="str">
        <f>IF(A71="","",INDEX('RelMap+Summary'!$C$4:$P$142,MATCH($A71,'RelMap+Summary'!$C$4:$C$142,0),MATCH(C$2,'RelMap+Summary'!$C$3:$P$3,0)))</f>
        <v/>
      </c>
      <c r="D71" s="7" t="str">
        <f>IF(A71="","",INDEX('RelMap+Summary'!$C$4:$P$142,MATCH($A71,'RelMap+Summary'!$C$4:$C$142,0),MATCH(D$2,'RelMap+Summary'!$C$3:$P$3,0)))</f>
        <v/>
      </c>
      <c r="E71" s="7"/>
      <c r="F71" s="14"/>
      <c r="G71" s="5"/>
      <c r="H71" s="5"/>
      <c r="I71" s="5"/>
      <c r="J71" s="5"/>
      <c r="K71" s="5"/>
      <c r="L71" s="5"/>
      <c r="M71" s="5"/>
      <c r="N71" s="5"/>
      <c r="O71" s="5"/>
      <c r="P71" s="11"/>
      <c r="Q71" s="11">
        <f t="shared" si="2"/>
        <v>0</v>
      </c>
      <c r="R71" s="11"/>
      <c r="S71" s="11"/>
      <c r="T71" s="11"/>
      <c r="U71" s="11"/>
      <c r="V71" s="11"/>
      <c r="W71" s="11"/>
      <c r="X71" s="11"/>
      <c r="Y71" s="11"/>
      <c r="Z71" s="11"/>
      <c r="AA71" s="11"/>
      <c r="AB71" s="11"/>
      <c r="AC71" s="11"/>
      <c r="AD71" s="11"/>
      <c r="AE71" s="11"/>
      <c r="AF71" s="11"/>
    </row>
    <row r="72" spans="1:32" ht="13" x14ac:dyDescent="0.15">
      <c r="A72" s="5"/>
      <c r="B72" s="31"/>
      <c r="C72" s="15" t="str">
        <f>IF(A72="","",INDEX('RelMap+Summary'!$C$4:$P$142,MATCH($A72,'RelMap+Summary'!$C$4:$C$142,0),MATCH(C$2,'RelMap+Summary'!$C$3:$P$3,0)))</f>
        <v/>
      </c>
      <c r="D72" s="7" t="str">
        <f>IF(A72="","",INDEX('RelMap+Summary'!$C$4:$P$142,MATCH($A72,'RelMap+Summary'!$C$4:$C$142,0),MATCH(D$2,'RelMap+Summary'!$C$3:$P$3,0)))</f>
        <v/>
      </c>
      <c r="E72" s="7"/>
      <c r="F72" s="14"/>
      <c r="G72" s="5"/>
      <c r="H72" s="5"/>
      <c r="I72" s="5"/>
      <c r="J72" s="5"/>
      <c r="K72" s="5"/>
      <c r="L72" s="5"/>
      <c r="M72" s="5"/>
      <c r="N72" s="5"/>
      <c r="O72" s="5"/>
      <c r="P72" s="11"/>
      <c r="Q72" s="11">
        <f t="shared" si="2"/>
        <v>0</v>
      </c>
      <c r="R72" s="11"/>
      <c r="S72" s="11"/>
      <c r="T72" s="11"/>
      <c r="U72" s="11"/>
      <c r="V72" s="11"/>
      <c r="W72" s="11"/>
      <c r="X72" s="11"/>
      <c r="Y72" s="11"/>
      <c r="Z72" s="11"/>
      <c r="AA72" s="11"/>
      <c r="AB72" s="11"/>
      <c r="AC72" s="11"/>
      <c r="AD72" s="11"/>
      <c r="AE72" s="11"/>
      <c r="AF72" s="11"/>
    </row>
    <row r="73" spans="1:32" ht="13" x14ac:dyDescent="0.15">
      <c r="A73" s="5"/>
      <c r="B73" s="31"/>
      <c r="C73" s="15" t="str">
        <f>IF(A73="","",INDEX('RelMap+Summary'!$C$4:$P$142,MATCH($A73,'RelMap+Summary'!$C$4:$C$142,0),MATCH(C$2,'RelMap+Summary'!$C$3:$P$3,0)))</f>
        <v/>
      </c>
      <c r="D73" s="7" t="str">
        <f>IF(A73="","",INDEX('RelMap+Summary'!$C$4:$P$142,MATCH($A73,'RelMap+Summary'!$C$4:$C$142,0),MATCH(D$2,'RelMap+Summary'!$C$3:$P$3,0)))</f>
        <v/>
      </c>
      <c r="E73" s="7"/>
      <c r="F73" s="14"/>
      <c r="G73" s="5"/>
      <c r="H73" s="5"/>
      <c r="I73" s="5"/>
      <c r="J73" s="5"/>
      <c r="K73" s="5"/>
      <c r="L73" s="5"/>
      <c r="M73" s="5"/>
      <c r="N73" s="5"/>
      <c r="O73" s="5"/>
      <c r="P73" s="11"/>
      <c r="Q73" s="11">
        <f t="shared" si="2"/>
        <v>0</v>
      </c>
      <c r="R73" s="11"/>
      <c r="S73" s="11"/>
      <c r="T73" s="11"/>
      <c r="U73" s="11"/>
      <c r="V73" s="11"/>
      <c r="W73" s="11"/>
      <c r="X73" s="11"/>
      <c r="Y73" s="11"/>
      <c r="Z73" s="11"/>
      <c r="AA73" s="11"/>
      <c r="AB73" s="11"/>
      <c r="AC73" s="11"/>
      <c r="AD73" s="11"/>
      <c r="AE73" s="11"/>
      <c r="AF73" s="11"/>
    </row>
    <row r="74" spans="1:32" ht="13" x14ac:dyDescent="0.15">
      <c r="A74" s="5"/>
      <c r="B74" s="31"/>
      <c r="C74" s="15" t="str">
        <f>IF(A74="","",INDEX('RelMap+Summary'!$C$4:$P$142,MATCH($A74,'RelMap+Summary'!$C$4:$C$142,0),MATCH(C$2,'RelMap+Summary'!$C$3:$P$3,0)))</f>
        <v/>
      </c>
      <c r="D74" s="7" t="str">
        <f>IF(A74="","",INDEX('RelMap+Summary'!$C$4:$P$142,MATCH($A74,'RelMap+Summary'!$C$4:$C$142,0),MATCH(D$2,'RelMap+Summary'!$C$3:$P$3,0)))</f>
        <v/>
      </c>
      <c r="E74" s="7"/>
      <c r="F74" s="14"/>
      <c r="G74" s="5"/>
      <c r="H74" s="5"/>
      <c r="I74" s="5"/>
      <c r="J74" s="5"/>
      <c r="K74" s="5"/>
      <c r="L74" s="5"/>
      <c r="M74" s="5"/>
      <c r="N74" s="5"/>
      <c r="O74" s="5"/>
      <c r="P74" s="11"/>
      <c r="Q74" s="11">
        <f t="shared" si="2"/>
        <v>0</v>
      </c>
      <c r="R74" s="11"/>
      <c r="S74" s="11"/>
      <c r="T74" s="11"/>
      <c r="U74" s="11"/>
      <c r="V74" s="11"/>
      <c r="W74" s="11"/>
      <c r="X74" s="11"/>
      <c r="Y74" s="11"/>
      <c r="Z74" s="11"/>
      <c r="AA74" s="11"/>
      <c r="AB74" s="11"/>
      <c r="AC74" s="11"/>
      <c r="AD74" s="11"/>
      <c r="AE74" s="11"/>
      <c r="AF74" s="11"/>
    </row>
    <row r="75" spans="1:32" ht="13" x14ac:dyDescent="0.15">
      <c r="A75" s="5"/>
      <c r="B75" s="31"/>
      <c r="C75" s="15" t="str">
        <f>IF(A75="","",INDEX('RelMap+Summary'!$C$4:$P$142,MATCH($A75,'RelMap+Summary'!$C$4:$C$142,0),MATCH(C$2,'RelMap+Summary'!$C$3:$P$3,0)))</f>
        <v/>
      </c>
      <c r="D75" s="7" t="str">
        <f>IF(A75="","",INDEX('RelMap+Summary'!$C$4:$P$142,MATCH($A75,'RelMap+Summary'!$C$4:$C$142,0),MATCH(D$2,'RelMap+Summary'!$C$3:$P$3,0)))</f>
        <v/>
      </c>
      <c r="E75" s="7"/>
      <c r="F75" s="14"/>
      <c r="G75" s="5"/>
      <c r="H75" s="5"/>
      <c r="I75" s="5"/>
      <c r="J75" s="5"/>
      <c r="K75" s="5"/>
      <c r="L75" s="5"/>
      <c r="M75" s="5"/>
      <c r="N75" s="5"/>
      <c r="O75" s="5"/>
      <c r="P75" s="11"/>
      <c r="Q75" s="11">
        <f t="shared" si="2"/>
        <v>0</v>
      </c>
      <c r="R75" s="11"/>
      <c r="S75" s="11"/>
      <c r="T75" s="11"/>
      <c r="U75" s="11"/>
      <c r="V75" s="11"/>
      <c r="W75" s="11"/>
      <c r="X75" s="11"/>
      <c r="Y75" s="11"/>
      <c r="Z75" s="11"/>
      <c r="AA75" s="11"/>
      <c r="AB75" s="11"/>
      <c r="AC75" s="11"/>
      <c r="AD75" s="11"/>
      <c r="AE75" s="11"/>
      <c r="AF75" s="11"/>
    </row>
    <row r="76" spans="1:32" x14ac:dyDescent="0.15">
      <c r="A76" s="11"/>
      <c r="B76" s="32"/>
      <c r="C76" s="11"/>
      <c r="D76" s="13"/>
      <c r="E76" s="13"/>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row>
    <row r="77" spans="1:32" x14ac:dyDescent="0.15">
      <c r="A77" s="11"/>
      <c r="B77" s="32"/>
      <c r="C77" s="11"/>
      <c r="D77" s="13"/>
      <c r="E77" s="13"/>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row>
    <row r="78" spans="1:32" x14ac:dyDescent="0.15">
      <c r="A78" s="11"/>
      <c r="B78" s="32"/>
      <c r="C78" s="11"/>
      <c r="D78" s="13"/>
      <c r="E78" s="13"/>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row>
    <row r="79" spans="1:32" x14ac:dyDescent="0.15">
      <c r="A79" s="11"/>
      <c r="B79" s="32"/>
      <c r="C79" s="11"/>
      <c r="D79" s="13"/>
      <c r="E79" s="13"/>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row>
    <row r="80" spans="1:32" x14ac:dyDescent="0.15">
      <c r="A80" s="11"/>
      <c r="B80" s="32"/>
      <c r="C80" s="11"/>
      <c r="D80" s="13"/>
      <c r="E80" s="13"/>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row>
    <row r="81" spans="1:32" x14ac:dyDescent="0.15">
      <c r="A81" s="11"/>
      <c r="B81" s="32"/>
      <c r="C81" s="11"/>
      <c r="D81" s="13"/>
      <c r="E81" s="13"/>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row>
    <row r="82" spans="1:32" x14ac:dyDescent="0.15">
      <c r="A82" s="11"/>
      <c r="B82" s="32"/>
      <c r="C82" s="11"/>
      <c r="D82" s="13"/>
      <c r="E82" s="13"/>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row>
    <row r="83" spans="1:32" x14ac:dyDescent="0.15">
      <c r="A83" s="11"/>
      <c r="B83" s="32"/>
      <c r="C83" s="11"/>
      <c r="D83" s="13"/>
      <c r="E83" s="13"/>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row>
    <row r="84" spans="1:32" x14ac:dyDescent="0.15">
      <c r="A84" s="11"/>
      <c r="B84" s="32"/>
      <c r="C84" s="11"/>
      <c r="D84" s="13"/>
      <c r="E84" s="13"/>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row>
    <row r="85" spans="1:32" x14ac:dyDescent="0.15">
      <c r="A85" s="11"/>
      <c r="B85" s="32"/>
      <c r="C85" s="11"/>
      <c r="D85" s="13"/>
      <c r="E85" s="13"/>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row>
    <row r="86" spans="1:32" x14ac:dyDescent="0.15">
      <c r="A86" s="11"/>
      <c r="B86" s="32"/>
      <c r="C86" s="11"/>
      <c r="D86" s="13"/>
      <c r="E86" s="13"/>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row>
    <row r="87" spans="1:32" x14ac:dyDescent="0.15">
      <c r="A87" s="11"/>
      <c r="B87" s="32"/>
      <c r="C87" s="11"/>
      <c r="D87" s="13"/>
      <c r="E87" s="13"/>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row>
    <row r="88" spans="1:32" x14ac:dyDescent="0.15">
      <c r="A88" s="11"/>
      <c r="B88" s="32"/>
      <c r="C88" s="11"/>
      <c r="D88" s="13"/>
      <c r="E88" s="13"/>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row>
    <row r="89" spans="1:32" x14ac:dyDescent="0.15">
      <c r="A89" s="11"/>
      <c r="B89" s="32"/>
      <c r="C89" s="11"/>
      <c r="D89" s="13"/>
      <c r="E89" s="13"/>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row>
    <row r="90" spans="1:32" x14ac:dyDescent="0.15">
      <c r="A90" s="11"/>
      <c r="B90" s="32"/>
      <c r="C90" s="11"/>
      <c r="D90" s="13"/>
      <c r="E90" s="13"/>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row>
    <row r="91" spans="1:32" x14ac:dyDescent="0.15">
      <c r="A91" s="11"/>
      <c r="B91" s="32"/>
      <c r="C91" s="11"/>
      <c r="D91" s="13"/>
      <c r="E91" s="13"/>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row>
    <row r="92" spans="1:32" x14ac:dyDescent="0.15">
      <c r="A92" s="11"/>
      <c r="B92" s="32"/>
      <c r="C92" s="11"/>
      <c r="D92" s="13"/>
      <c r="E92" s="13"/>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row>
    <row r="93" spans="1:32" x14ac:dyDescent="0.15">
      <c r="A93" s="11"/>
      <c r="B93" s="32"/>
      <c r="C93" s="11"/>
      <c r="D93" s="13"/>
      <c r="E93" s="13"/>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row>
    <row r="94" spans="1:32" x14ac:dyDescent="0.15">
      <c r="A94" s="11"/>
      <c r="B94" s="32"/>
      <c r="C94" s="11"/>
      <c r="D94" s="13"/>
      <c r="E94" s="13"/>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row>
    <row r="95" spans="1:32" x14ac:dyDescent="0.15">
      <c r="A95" s="11"/>
      <c r="B95" s="32"/>
      <c r="C95" s="11"/>
      <c r="D95" s="13"/>
      <c r="E95" s="13"/>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row>
    <row r="96" spans="1:32" x14ac:dyDescent="0.15">
      <c r="A96" s="11"/>
      <c r="B96" s="32"/>
      <c r="C96" s="11"/>
      <c r="D96" s="13"/>
      <c r="E96" s="13"/>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row>
    <row r="97" spans="1:32" x14ac:dyDescent="0.15">
      <c r="A97" s="11"/>
      <c r="B97" s="32"/>
      <c r="C97" s="11"/>
      <c r="D97" s="13"/>
      <c r="E97" s="13"/>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row>
    <row r="98" spans="1:32" x14ac:dyDescent="0.15">
      <c r="A98" s="11"/>
      <c r="B98" s="32"/>
      <c r="C98" s="11"/>
      <c r="D98" s="13"/>
      <c r="E98" s="13"/>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row>
    <row r="99" spans="1:32" x14ac:dyDescent="0.15">
      <c r="A99" s="11"/>
      <c r="B99" s="32"/>
      <c r="C99" s="11"/>
      <c r="D99" s="13"/>
      <c r="E99" s="13"/>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row>
    <row r="100" spans="1:32" x14ac:dyDescent="0.15">
      <c r="A100" s="11"/>
      <c r="B100" s="32"/>
      <c r="C100" s="11"/>
      <c r="D100" s="13"/>
      <c r="E100" s="13"/>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row>
    <row r="101" spans="1:32" x14ac:dyDescent="0.15">
      <c r="A101" s="11"/>
      <c r="B101" s="32"/>
      <c r="C101" s="11"/>
      <c r="D101" s="13"/>
      <c r="E101" s="13"/>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row>
    <row r="102" spans="1:32" x14ac:dyDescent="0.15">
      <c r="A102" s="11"/>
      <c r="B102" s="32"/>
      <c r="C102" s="11"/>
      <c r="D102" s="13"/>
      <c r="E102" s="13"/>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row>
    <row r="103" spans="1:32" x14ac:dyDescent="0.15">
      <c r="A103" s="11"/>
      <c r="B103" s="32"/>
      <c r="C103" s="11"/>
      <c r="D103" s="13"/>
      <c r="E103" s="13"/>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row>
    <row r="104" spans="1:32" x14ac:dyDescent="0.15">
      <c r="A104" s="11"/>
      <c r="B104" s="32"/>
      <c r="C104" s="11"/>
      <c r="D104" s="13"/>
      <c r="E104" s="13"/>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row>
    <row r="105" spans="1:32" x14ac:dyDescent="0.15">
      <c r="A105" s="11"/>
      <c r="B105" s="32"/>
      <c r="C105" s="11"/>
      <c r="D105" s="13"/>
      <c r="E105" s="13"/>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row>
    <row r="106" spans="1:32" x14ac:dyDescent="0.15">
      <c r="A106" s="11"/>
      <c r="B106" s="32"/>
      <c r="C106" s="11"/>
      <c r="D106" s="13"/>
      <c r="E106" s="13"/>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row>
    <row r="107" spans="1:32" x14ac:dyDescent="0.15">
      <c r="A107" s="11"/>
      <c r="B107" s="32"/>
      <c r="C107" s="11"/>
      <c r="D107" s="13"/>
      <c r="E107" s="13"/>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row>
    <row r="108" spans="1:32" x14ac:dyDescent="0.15">
      <c r="A108" s="11"/>
      <c r="B108" s="32"/>
      <c r="C108" s="11"/>
      <c r="D108" s="13"/>
      <c r="E108" s="13"/>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row>
    <row r="109" spans="1:32" x14ac:dyDescent="0.15">
      <c r="A109" s="11"/>
      <c r="B109" s="32"/>
      <c r="C109" s="11"/>
      <c r="D109" s="13"/>
      <c r="E109" s="13"/>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row>
    <row r="110" spans="1:32" x14ac:dyDescent="0.15">
      <c r="A110" s="11"/>
      <c r="B110" s="32"/>
      <c r="C110" s="11"/>
      <c r="D110" s="13"/>
      <c r="E110" s="13"/>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row>
    <row r="111" spans="1:32" x14ac:dyDescent="0.15">
      <c r="A111" s="11"/>
      <c r="B111" s="32"/>
      <c r="C111" s="11"/>
      <c r="D111" s="13"/>
      <c r="E111" s="13"/>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row>
    <row r="112" spans="1:32" x14ac:dyDescent="0.15">
      <c r="A112" s="11"/>
      <c r="B112" s="32"/>
      <c r="C112" s="11"/>
      <c r="D112" s="13"/>
      <c r="E112" s="13"/>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row>
    <row r="113" spans="1:32" x14ac:dyDescent="0.15">
      <c r="A113" s="11"/>
      <c r="B113" s="32"/>
      <c r="C113" s="11"/>
      <c r="D113" s="13"/>
      <c r="E113" s="13"/>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row>
    <row r="114" spans="1:32" x14ac:dyDescent="0.15">
      <c r="A114" s="11"/>
      <c r="B114" s="32"/>
      <c r="C114" s="11"/>
      <c r="D114" s="13"/>
      <c r="E114" s="13"/>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row>
    <row r="115" spans="1:32" x14ac:dyDescent="0.15">
      <c r="A115" s="11"/>
      <c r="B115" s="32"/>
      <c r="C115" s="11"/>
      <c r="D115" s="13"/>
      <c r="E115" s="13"/>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row>
    <row r="116" spans="1:32" x14ac:dyDescent="0.15">
      <c r="A116" s="11"/>
      <c r="B116" s="32"/>
      <c r="C116" s="11"/>
      <c r="D116" s="13"/>
      <c r="E116" s="13"/>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row>
    <row r="117" spans="1:32" x14ac:dyDescent="0.15">
      <c r="A117" s="11"/>
      <c r="B117" s="32"/>
      <c r="C117" s="11"/>
      <c r="D117" s="13"/>
      <c r="E117" s="13"/>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row>
    <row r="118" spans="1:32" x14ac:dyDescent="0.15">
      <c r="A118" s="11"/>
      <c r="B118" s="32"/>
      <c r="C118" s="11"/>
      <c r="D118" s="13"/>
      <c r="E118" s="13"/>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row>
    <row r="119" spans="1:32" x14ac:dyDescent="0.15">
      <c r="A119" s="11"/>
      <c r="B119" s="32"/>
      <c r="C119" s="11"/>
      <c r="D119" s="13"/>
      <c r="E119" s="13"/>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row>
    <row r="120" spans="1:32" x14ac:dyDescent="0.15">
      <c r="A120" s="11"/>
      <c r="B120" s="32"/>
      <c r="C120" s="11"/>
      <c r="D120" s="13"/>
      <c r="E120" s="13"/>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row>
    <row r="121" spans="1:32" x14ac:dyDescent="0.15">
      <c r="A121" s="11"/>
      <c r="B121" s="32"/>
      <c r="C121" s="11"/>
      <c r="D121" s="13"/>
      <c r="E121" s="13"/>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row>
    <row r="122" spans="1:32" x14ac:dyDescent="0.15">
      <c r="A122" s="11"/>
      <c r="B122" s="32"/>
      <c r="C122" s="11"/>
      <c r="D122" s="13"/>
      <c r="E122" s="13"/>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row>
    <row r="123" spans="1:32" x14ac:dyDescent="0.15">
      <c r="A123" s="11"/>
      <c r="B123" s="32"/>
      <c r="C123" s="11"/>
      <c r="D123" s="13"/>
      <c r="E123" s="13"/>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row>
    <row r="124" spans="1:32" x14ac:dyDescent="0.15">
      <c r="A124" s="11"/>
      <c r="B124" s="32"/>
      <c r="C124" s="11"/>
      <c r="D124" s="13"/>
      <c r="E124" s="13"/>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row>
    <row r="125" spans="1:32" x14ac:dyDescent="0.15">
      <c r="A125" s="11"/>
      <c r="B125" s="32"/>
      <c r="C125" s="11"/>
      <c r="D125" s="13"/>
      <c r="E125" s="13"/>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row>
    <row r="126" spans="1:32" x14ac:dyDescent="0.15">
      <c r="A126" s="11"/>
      <c r="B126" s="32"/>
      <c r="C126" s="11"/>
      <c r="D126" s="13"/>
      <c r="E126" s="13"/>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row>
    <row r="127" spans="1:32" x14ac:dyDescent="0.15">
      <c r="A127" s="11"/>
      <c r="B127" s="32"/>
      <c r="C127" s="11"/>
      <c r="D127" s="13"/>
      <c r="E127" s="13"/>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row>
    <row r="128" spans="1:32" x14ac:dyDescent="0.15">
      <c r="A128" s="11"/>
      <c r="B128" s="32"/>
      <c r="C128" s="11"/>
      <c r="D128" s="13"/>
      <c r="E128" s="13"/>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row>
    <row r="129" spans="1:32" x14ac:dyDescent="0.15">
      <c r="A129" s="11"/>
      <c r="B129" s="32"/>
      <c r="C129" s="11"/>
      <c r="D129" s="13"/>
      <c r="E129" s="13"/>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row>
    <row r="130" spans="1:32" x14ac:dyDescent="0.15">
      <c r="A130" s="11"/>
      <c r="B130" s="32"/>
      <c r="C130" s="11"/>
      <c r="D130" s="13"/>
      <c r="E130" s="13"/>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row>
    <row r="131" spans="1:32" x14ac:dyDescent="0.15">
      <c r="A131" s="11"/>
      <c r="B131" s="32"/>
      <c r="C131" s="11"/>
      <c r="D131" s="13"/>
      <c r="E131" s="13"/>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row>
    <row r="132" spans="1:32" x14ac:dyDescent="0.15">
      <c r="A132" s="11"/>
      <c r="B132" s="32"/>
      <c r="C132" s="11"/>
      <c r="D132" s="13"/>
      <c r="E132" s="13"/>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row>
    <row r="133" spans="1:32" x14ac:dyDescent="0.15">
      <c r="A133" s="11"/>
      <c r="B133" s="32"/>
      <c r="C133" s="11"/>
      <c r="D133" s="13"/>
      <c r="E133" s="13"/>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row>
    <row r="134" spans="1:32" x14ac:dyDescent="0.15">
      <c r="A134" s="11"/>
      <c r="B134" s="32"/>
      <c r="C134" s="11"/>
      <c r="D134" s="13"/>
      <c r="E134" s="13"/>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row>
    <row r="135" spans="1:32" x14ac:dyDescent="0.15">
      <c r="A135" s="11"/>
      <c r="B135" s="32"/>
      <c r="C135" s="11"/>
      <c r="D135" s="13"/>
      <c r="E135" s="13"/>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row>
    <row r="136" spans="1:32" x14ac:dyDescent="0.15">
      <c r="A136" s="11"/>
      <c r="B136" s="32"/>
      <c r="C136" s="11"/>
      <c r="D136" s="13"/>
      <c r="E136" s="13"/>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row>
    <row r="137" spans="1:32" x14ac:dyDescent="0.15">
      <c r="A137" s="11"/>
      <c r="B137" s="32"/>
      <c r="C137" s="11"/>
      <c r="D137" s="13"/>
      <c r="E137" s="13"/>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row>
    <row r="138" spans="1:32" x14ac:dyDescent="0.15">
      <c r="A138" s="11"/>
      <c r="B138" s="32"/>
      <c r="C138" s="11"/>
      <c r="D138" s="13"/>
      <c r="E138" s="13"/>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row>
    <row r="139" spans="1:32" x14ac:dyDescent="0.15">
      <c r="A139" s="11"/>
      <c r="B139" s="32"/>
      <c r="C139" s="11"/>
      <c r="D139" s="13"/>
      <c r="E139" s="13"/>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row>
    <row r="140" spans="1:32" x14ac:dyDescent="0.15">
      <c r="A140" s="11"/>
      <c r="B140" s="32"/>
      <c r="C140" s="11"/>
      <c r="D140" s="13"/>
      <c r="E140" s="13"/>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row>
    <row r="141" spans="1:32" x14ac:dyDescent="0.15">
      <c r="A141" s="11"/>
      <c r="B141" s="32"/>
      <c r="C141" s="11"/>
      <c r="D141" s="13"/>
      <c r="E141" s="13"/>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row>
    <row r="142" spans="1:32" x14ac:dyDescent="0.15">
      <c r="A142" s="11"/>
      <c r="B142" s="32"/>
      <c r="C142" s="11"/>
      <c r="D142" s="13"/>
      <c r="E142" s="13"/>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row>
    <row r="143" spans="1:32" x14ac:dyDescent="0.15">
      <c r="A143" s="11"/>
      <c r="B143" s="32"/>
      <c r="C143" s="11"/>
      <c r="D143" s="13"/>
      <c r="E143" s="13"/>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row>
    <row r="144" spans="1:32" x14ac:dyDescent="0.15">
      <c r="A144" s="11"/>
      <c r="B144" s="32"/>
      <c r="C144" s="11"/>
      <c r="D144" s="13"/>
      <c r="E144" s="13"/>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row>
    <row r="145" spans="1:32" x14ac:dyDescent="0.15">
      <c r="A145" s="11"/>
      <c r="B145" s="32"/>
      <c r="C145" s="11"/>
      <c r="D145" s="13"/>
      <c r="E145" s="13"/>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row>
    <row r="146" spans="1:32" x14ac:dyDescent="0.15">
      <c r="A146" s="11"/>
      <c r="B146" s="32"/>
      <c r="C146" s="11"/>
      <c r="D146" s="13"/>
      <c r="E146" s="13"/>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row>
    <row r="147" spans="1:32" x14ac:dyDescent="0.15">
      <c r="A147" s="11"/>
      <c r="B147" s="32"/>
      <c r="C147" s="11"/>
      <c r="D147" s="13"/>
      <c r="E147" s="13"/>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row>
    <row r="148" spans="1:32" x14ac:dyDescent="0.15">
      <c r="A148" s="11"/>
      <c r="B148" s="32"/>
      <c r="C148" s="11"/>
      <c r="D148" s="13"/>
      <c r="E148" s="13"/>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row>
    <row r="149" spans="1:32" x14ac:dyDescent="0.15">
      <c r="A149" s="11"/>
      <c r="B149" s="32"/>
      <c r="C149" s="11"/>
      <c r="D149" s="13"/>
      <c r="E149" s="13"/>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row>
    <row r="150" spans="1:32" x14ac:dyDescent="0.15">
      <c r="A150" s="11"/>
      <c r="B150" s="32"/>
      <c r="C150" s="11"/>
      <c r="D150" s="13"/>
      <c r="E150" s="13"/>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row>
    <row r="151" spans="1:32" x14ac:dyDescent="0.15">
      <c r="A151" s="11"/>
      <c r="B151" s="32"/>
      <c r="C151" s="11"/>
      <c r="D151" s="13"/>
      <c r="E151" s="13"/>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row>
    <row r="152" spans="1:32" x14ac:dyDescent="0.15">
      <c r="A152" s="11"/>
      <c r="B152" s="32"/>
      <c r="C152" s="11"/>
      <c r="D152" s="13"/>
      <c r="E152" s="13"/>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row>
    <row r="153" spans="1:32" x14ac:dyDescent="0.15">
      <c r="A153" s="11"/>
      <c r="B153" s="32"/>
      <c r="C153" s="11"/>
      <c r="D153" s="13"/>
      <c r="E153" s="13"/>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row>
    <row r="154" spans="1:32" x14ac:dyDescent="0.15">
      <c r="A154" s="11"/>
      <c r="B154" s="32"/>
      <c r="C154" s="11"/>
      <c r="D154" s="13"/>
      <c r="E154" s="13"/>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row>
    <row r="155" spans="1:32" x14ac:dyDescent="0.15">
      <c r="A155" s="11"/>
      <c r="B155" s="32"/>
      <c r="C155" s="11"/>
      <c r="D155" s="13"/>
      <c r="E155" s="13"/>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row>
    <row r="156" spans="1:32" x14ac:dyDescent="0.15">
      <c r="A156" s="11"/>
      <c r="B156" s="32"/>
      <c r="C156" s="11"/>
      <c r="D156" s="13"/>
      <c r="E156" s="13"/>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row>
    <row r="157" spans="1:32" x14ac:dyDescent="0.15">
      <c r="A157" s="11"/>
      <c r="B157" s="32"/>
      <c r="C157" s="11"/>
      <c r="D157" s="13"/>
      <c r="E157" s="13"/>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row>
    <row r="158" spans="1:32" x14ac:dyDescent="0.15">
      <c r="A158" s="11"/>
      <c r="B158" s="32"/>
      <c r="C158" s="11"/>
      <c r="D158" s="13"/>
      <c r="E158" s="13"/>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row>
    <row r="159" spans="1:32" x14ac:dyDescent="0.15">
      <c r="A159" s="11"/>
      <c r="B159" s="32"/>
      <c r="C159" s="11"/>
      <c r="D159" s="13"/>
      <c r="E159" s="13"/>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row>
    <row r="160" spans="1:32" x14ac:dyDescent="0.15">
      <c r="A160" s="11"/>
      <c r="B160" s="32"/>
      <c r="C160" s="11"/>
      <c r="D160" s="13"/>
      <c r="E160" s="13"/>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row>
    <row r="161" spans="1:32" x14ac:dyDescent="0.15">
      <c r="A161" s="11"/>
      <c r="B161" s="32"/>
      <c r="C161" s="11"/>
      <c r="D161" s="13"/>
      <c r="E161" s="13"/>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row>
    <row r="162" spans="1:32" x14ac:dyDescent="0.15">
      <c r="A162" s="11"/>
      <c r="B162" s="32"/>
      <c r="C162" s="11"/>
      <c r="D162" s="13"/>
      <c r="E162" s="13"/>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row>
    <row r="163" spans="1:32" x14ac:dyDescent="0.15">
      <c r="A163" s="11"/>
      <c r="B163" s="32"/>
      <c r="C163" s="11"/>
      <c r="D163" s="13"/>
      <c r="E163" s="13"/>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row>
    <row r="164" spans="1:32" x14ac:dyDescent="0.15">
      <c r="A164" s="11"/>
      <c r="B164" s="32"/>
      <c r="C164" s="11"/>
      <c r="D164" s="13"/>
      <c r="E164" s="13"/>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row>
    <row r="165" spans="1:32" x14ac:dyDescent="0.15">
      <c r="A165" s="11"/>
      <c r="B165" s="32"/>
      <c r="C165" s="11"/>
      <c r="D165" s="13"/>
      <c r="E165" s="13"/>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row>
    <row r="166" spans="1:32" x14ac:dyDescent="0.15">
      <c r="A166" s="11"/>
      <c r="B166" s="32"/>
      <c r="C166" s="11"/>
      <c r="D166" s="13"/>
      <c r="E166" s="13"/>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row>
    <row r="167" spans="1:32" x14ac:dyDescent="0.15">
      <c r="A167" s="11"/>
      <c r="B167" s="32"/>
      <c r="C167" s="11"/>
      <c r="D167" s="13"/>
      <c r="E167" s="13"/>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row>
    <row r="168" spans="1:32" x14ac:dyDescent="0.15">
      <c r="A168" s="11"/>
      <c r="B168" s="32"/>
      <c r="C168" s="11"/>
      <c r="D168" s="13"/>
      <c r="E168" s="13"/>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row>
    <row r="169" spans="1:32" x14ac:dyDescent="0.15">
      <c r="A169" s="11"/>
      <c r="B169" s="32"/>
      <c r="C169" s="11"/>
      <c r="D169" s="13"/>
      <c r="E169" s="13"/>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row>
    <row r="170" spans="1:32" x14ac:dyDescent="0.15">
      <c r="A170" s="11"/>
      <c r="B170" s="32"/>
      <c r="C170" s="11"/>
      <c r="D170" s="13"/>
      <c r="E170" s="13"/>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row>
    <row r="171" spans="1:32" x14ac:dyDescent="0.15">
      <c r="A171" s="11"/>
      <c r="B171" s="32"/>
      <c r="C171" s="11"/>
      <c r="D171" s="13"/>
      <c r="E171" s="13"/>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row>
    <row r="172" spans="1:32" x14ac:dyDescent="0.15">
      <c r="A172" s="11"/>
      <c r="B172" s="32"/>
      <c r="C172" s="11"/>
      <c r="D172" s="13"/>
      <c r="E172" s="13"/>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row>
    <row r="173" spans="1:32" x14ac:dyDescent="0.15">
      <c r="A173" s="11"/>
      <c r="B173" s="32"/>
      <c r="C173" s="11"/>
      <c r="D173" s="13"/>
      <c r="E173" s="13"/>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row>
    <row r="174" spans="1:32" x14ac:dyDescent="0.15">
      <c r="A174" s="11"/>
      <c r="B174" s="32"/>
      <c r="C174" s="11"/>
      <c r="D174" s="13"/>
      <c r="E174" s="13"/>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row>
    <row r="175" spans="1:32" x14ac:dyDescent="0.15">
      <c r="A175" s="11"/>
      <c r="B175" s="32"/>
      <c r="C175" s="11"/>
      <c r="D175" s="13"/>
      <c r="E175" s="13"/>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row>
    <row r="176" spans="1:32" x14ac:dyDescent="0.15">
      <c r="A176" s="11"/>
      <c r="B176" s="32"/>
      <c r="C176" s="11"/>
      <c r="D176" s="13"/>
      <c r="E176" s="13"/>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row>
    <row r="177" spans="1:32" x14ac:dyDescent="0.15">
      <c r="A177" s="11"/>
      <c r="B177" s="32"/>
      <c r="C177" s="11"/>
      <c r="D177" s="13"/>
      <c r="E177" s="13"/>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row>
    <row r="178" spans="1:32" x14ac:dyDescent="0.15">
      <c r="A178" s="11"/>
      <c r="B178" s="32"/>
      <c r="C178" s="11"/>
      <c r="D178" s="13"/>
      <c r="E178" s="13"/>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row>
    <row r="179" spans="1:32" x14ac:dyDescent="0.15">
      <c r="A179" s="11"/>
      <c r="B179" s="32"/>
      <c r="C179" s="11"/>
      <c r="D179" s="13"/>
      <c r="E179" s="13"/>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row>
    <row r="180" spans="1:32" x14ac:dyDescent="0.15">
      <c r="A180" s="11"/>
      <c r="B180" s="32"/>
      <c r="C180" s="11"/>
      <c r="D180" s="13"/>
      <c r="E180" s="13"/>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row>
    <row r="181" spans="1:32" x14ac:dyDescent="0.15">
      <c r="A181" s="11"/>
      <c r="B181" s="32"/>
      <c r="C181" s="11"/>
      <c r="D181" s="13"/>
      <c r="E181" s="13"/>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row>
    <row r="182" spans="1:32" x14ac:dyDescent="0.15">
      <c r="A182" s="11"/>
      <c r="B182" s="32"/>
      <c r="C182" s="11"/>
      <c r="D182" s="13"/>
      <c r="E182" s="13"/>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row>
    <row r="183" spans="1:32" x14ac:dyDescent="0.15">
      <c r="A183" s="11"/>
      <c r="B183" s="32"/>
      <c r="C183" s="11"/>
      <c r="D183" s="13"/>
      <c r="E183" s="13"/>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row>
    <row r="184" spans="1:32" x14ac:dyDescent="0.15">
      <c r="A184" s="11"/>
      <c r="B184" s="32"/>
      <c r="C184" s="11"/>
      <c r="D184" s="13"/>
      <c r="E184" s="13"/>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row>
    <row r="185" spans="1:32" x14ac:dyDescent="0.15">
      <c r="A185" s="11"/>
      <c r="B185" s="32"/>
      <c r="C185" s="11"/>
      <c r="D185" s="13"/>
      <c r="E185" s="13"/>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row>
    <row r="186" spans="1:32" x14ac:dyDescent="0.15">
      <c r="A186" s="11"/>
      <c r="B186" s="32"/>
      <c r="C186" s="11"/>
      <c r="D186" s="13"/>
      <c r="E186" s="13"/>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row>
    <row r="187" spans="1:32" x14ac:dyDescent="0.15">
      <c r="A187" s="11"/>
      <c r="B187" s="32"/>
      <c r="C187" s="11"/>
      <c r="D187" s="13"/>
      <c r="E187" s="13"/>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row>
    <row r="188" spans="1:32" x14ac:dyDescent="0.15">
      <c r="A188" s="11"/>
      <c r="B188" s="32"/>
      <c r="C188" s="11"/>
      <c r="D188" s="13"/>
      <c r="E188" s="13"/>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row>
    <row r="189" spans="1:32" x14ac:dyDescent="0.15">
      <c r="A189" s="11"/>
      <c r="B189" s="32"/>
      <c r="C189" s="11"/>
      <c r="D189" s="13"/>
      <c r="E189" s="13"/>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row>
    <row r="190" spans="1:32" x14ac:dyDescent="0.15">
      <c r="A190" s="11"/>
      <c r="B190" s="32"/>
      <c r="C190" s="11"/>
      <c r="D190" s="13"/>
      <c r="E190" s="13"/>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row>
    <row r="191" spans="1:32" x14ac:dyDescent="0.15">
      <c r="A191" s="11"/>
      <c r="B191" s="32"/>
      <c r="C191" s="11"/>
      <c r="D191" s="13"/>
      <c r="E191" s="13"/>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row>
    <row r="192" spans="1:32" x14ac:dyDescent="0.15">
      <c r="A192" s="11"/>
      <c r="B192" s="32"/>
      <c r="C192" s="11"/>
      <c r="D192" s="13"/>
      <c r="E192" s="13"/>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row>
    <row r="193" spans="1:32" x14ac:dyDescent="0.15">
      <c r="A193" s="11"/>
      <c r="B193" s="32"/>
      <c r="C193" s="11"/>
      <c r="D193" s="13"/>
      <c r="E193" s="13"/>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row>
    <row r="194" spans="1:32" x14ac:dyDescent="0.15">
      <c r="A194" s="11"/>
      <c r="B194" s="32"/>
      <c r="C194" s="11"/>
      <c r="D194" s="13"/>
      <c r="E194" s="13"/>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row>
    <row r="195" spans="1:32" x14ac:dyDescent="0.15">
      <c r="A195" s="11"/>
      <c r="B195" s="32"/>
      <c r="C195" s="11"/>
      <c r="D195" s="13"/>
      <c r="E195" s="13"/>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row>
    <row r="196" spans="1:32" x14ac:dyDescent="0.15">
      <c r="A196" s="11"/>
      <c r="B196" s="32"/>
      <c r="C196" s="11"/>
      <c r="D196" s="13"/>
      <c r="E196" s="13"/>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row>
    <row r="197" spans="1:32" x14ac:dyDescent="0.15">
      <c r="A197" s="11"/>
      <c r="B197" s="32"/>
      <c r="C197" s="11"/>
      <c r="D197" s="13"/>
      <c r="E197" s="13"/>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row>
    <row r="198" spans="1:32" x14ac:dyDescent="0.15">
      <c r="A198" s="11"/>
      <c r="B198" s="32"/>
      <c r="C198" s="11"/>
      <c r="D198" s="13"/>
      <c r="E198" s="13"/>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row>
    <row r="199" spans="1:32" x14ac:dyDescent="0.15">
      <c r="A199" s="11"/>
      <c r="B199" s="32"/>
      <c r="C199" s="11"/>
      <c r="D199" s="13"/>
      <c r="E199" s="13"/>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row>
    <row r="200" spans="1:32" x14ac:dyDescent="0.15">
      <c r="A200" s="11"/>
      <c r="B200" s="32"/>
      <c r="C200" s="11"/>
      <c r="D200" s="13"/>
      <c r="E200" s="13"/>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row>
    <row r="201" spans="1:32" x14ac:dyDescent="0.15">
      <c r="A201" s="11"/>
      <c r="B201" s="32"/>
      <c r="C201" s="11"/>
      <c r="D201" s="13"/>
      <c r="E201" s="13"/>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row>
    <row r="202" spans="1:32" x14ac:dyDescent="0.15">
      <c r="A202" s="11"/>
      <c r="B202" s="32"/>
      <c r="C202" s="11"/>
      <c r="D202" s="13"/>
      <c r="E202" s="13"/>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row>
    <row r="203" spans="1:32" x14ac:dyDescent="0.15">
      <c r="A203" s="11"/>
      <c r="B203" s="32"/>
      <c r="C203" s="11"/>
      <c r="D203" s="13"/>
      <c r="E203" s="13"/>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row>
    <row r="204" spans="1:32" x14ac:dyDescent="0.15">
      <c r="A204" s="11"/>
      <c r="B204" s="32"/>
      <c r="C204" s="11"/>
      <c r="D204" s="13"/>
      <c r="E204" s="13"/>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row>
    <row r="205" spans="1:32" x14ac:dyDescent="0.15">
      <c r="A205" s="11"/>
      <c r="B205" s="32"/>
      <c r="C205" s="11"/>
      <c r="D205" s="13"/>
      <c r="E205" s="13"/>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row>
    <row r="206" spans="1:32" x14ac:dyDescent="0.15">
      <c r="A206" s="11"/>
      <c r="B206" s="32"/>
      <c r="C206" s="11"/>
      <c r="D206" s="13"/>
      <c r="E206" s="13"/>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row>
    <row r="207" spans="1:32" x14ac:dyDescent="0.15">
      <c r="A207" s="11"/>
      <c r="B207" s="32"/>
      <c r="C207" s="11"/>
      <c r="D207" s="13"/>
      <c r="E207" s="13"/>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row>
    <row r="208" spans="1:32" x14ac:dyDescent="0.15">
      <c r="A208" s="11"/>
      <c r="B208" s="32"/>
      <c r="C208" s="11"/>
      <c r="D208" s="13"/>
      <c r="E208" s="13"/>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row>
    <row r="209" spans="1:32" x14ac:dyDescent="0.15">
      <c r="A209" s="11"/>
      <c r="B209" s="32"/>
      <c r="C209" s="11"/>
      <c r="D209" s="13"/>
      <c r="E209" s="13"/>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row>
    <row r="210" spans="1:32" x14ac:dyDescent="0.15">
      <c r="A210" s="11"/>
      <c r="B210" s="32"/>
      <c r="C210" s="11"/>
      <c r="D210" s="13"/>
      <c r="E210" s="13"/>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row>
    <row r="211" spans="1:32" x14ac:dyDescent="0.15">
      <c r="A211" s="11"/>
      <c r="B211" s="32"/>
      <c r="C211" s="11"/>
      <c r="D211" s="13"/>
      <c r="E211" s="13"/>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row>
    <row r="212" spans="1:32" x14ac:dyDescent="0.15">
      <c r="A212" s="11"/>
      <c r="B212" s="32"/>
      <c r="C212" s="11"/>
      <c r="D212" s="13"/>
      <c r="E212" s="13"/>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row>
    <row r="213" spans="1:32" x14ac:dyDescent="0.15">
      <c r="A213" s="11"/>
      <c r="B213" s="32"/>
      <c r="C213" s="11"/>
      <c r="D213" s="13"/>
      <c r="E213" s="13"/>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row>
    <row r="214" spans="1:32" x14ac:dyDescent="0.15">
      <c r="A214" s="11"/>
      <c r="B214" s="32"/>
      <c r="C214" s="11"/>
      <c r="D214" s="13"/>
      <c r="E214" s="13"/>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row>
    <row r="215" spans="1:32" x14ac:dyDescent="0.15">
      <c r="A215" s="11"/>
      <c r="B215" s="32"/>
      <c r="C215" s="11"/>
      <c r="D215" s="13"/>
      <c r="E215" s="13"/>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row>
    <row r="216" spans="1:32" x14ac:dyDescent="0.15">
      <c r="A216" s="11"/>
      <c r="B216" s="32"/>
      <c r="C216" s="11"/>
      <c r="D216" s="13"/>
      <c r="E216" s="13"/>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row>
    <row r="217" spans="1:32" x14ac:dyDescent="0.15">
      <c r="A217" s="11"/>
      <c r="B217" s="32"/>
      <c r="C217" s="11"/>
      <c r="D217" s="13"/>
      <c r="E217" s="13"/>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row>
    <row r="218" spans="1:32" x14ac:dyDescent="0.15">
      <c r="A218" s="11"/>
      <c r="B218" s="32"/>
      <c r="C218" s="11"/>
      <c r="D218" s="13"/>
      <c r="E218" s="13"/>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row>
    <row r="219" spans="1:32" x14ac:dyDescent="0.15">
      <c r="A219" s="11"/>
      <c r="B219" s="32"/>
      <c r="C219" s="11"/>
      <c r="D219" s="13"/>
      <c r="E219" s="13"/>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row>
    <row r="220" spans="1:32" x14ac:dyDescent="0.15">
      <c r="A220" s="11"/>
      <c r="B220" s="32"/>
      <c r="C220" s="11"/>
      <c r="D220" s="13"/>
      <c r="E220" s="13"/>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row>
    <row r="221" spans="1:32" x14ac:dyDescent="0.15">
      <c r="A221" s="11"/>
      <c r="B221" s="32"/>
      <c r="C221" s="11"/>
      <c r="D221" s="13"/>
      <c r="E221" s="13"/>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row>
    <row r="222" spans="1:32" x14ac:dyDescent="0.15">
      <c r="A222" s="11"/>
      <c r="B222" s="32"/>
      <c r="C222" s="11"/>
      <c r="D222" s="13"/>
      <c r="E222" s="13"/>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row>
    <row r="223" spans="1:32" x14ac:dyDescent="0.15">
      <c r="A223" s="11"/>
      <c r="B223" s="32"/>
      <c r="C223" s="11"/>
      <c r="D223" s="13"/>
      <c r="E223" s="13"/>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row>
    <row r="224" spans="1:32" x14ac:dyDescent="0.15">
      <c r="A224" s="11"/>
      <c r="B224" s="32"/>
      <c r="C224" s="11"/>
      <c r="D224" s="13"/>
      <c r="E224" s="13"/>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row>
    <row r="225" spans="1:32" x14ac:dyDescent="0.15">
      <c r="A225" s="11"/>
      <c r="B225" s="32"/>
      <c r="C225" s="11"/>
      <c r="D225" s="13"/>
      <c r="E225" s="13"/>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row>
    <row r="226" spans="1:32" x14ac:dyDescent="0.15">
      <c r="A226" s="11"/>
      <c r="B226" s="32"/>
      <c r="C226" s="11"/>
      <c r="D226" s="13"/>
      <c r="E226" s="13"/>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row>
    <row r="227" spans="1:32" x14ac:dyDescent="0.15">
      <c r="A227" s="11"/>
      <c r="B227" s="32"/>
      <c r="C227" s="11"/>
      <c r="D227" s="13"/>
      <c r="E227" s="13"/>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row>
    <row r="228" spans="1:32" x14ac:dyDescent="0.15">
      <c r="A228" s="11"/>
      <c r="B228" s="32"/>
      <c r="C228" s="11"/>
      <c r="D228" s="13"/>
      <c r="E228" s="13"/>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row>
    <row r="229" spans="1:32" x14ac:dyDescent="0.15">
      <c r="A229" s="11"/>
      <c r="B229" s="32"/>
      <c r="C229" s="11"/>
      <c r="D229" s="13"/>
      <c r="E229" s="13"/>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row>
    <row r="230" spans="1:32" x14ac:dyDescent="0.15">
      <c r="A230" s="11"/>
      <c r="B230" s="32"/>
      <c r="C230" s="11"/>
      <c r="D230" s="13"/>
      <c r="E230" s="13"/>
      <c r="F230" s="11"/>
      <c r="G230" s="11"/>
      <c r="H230" s="11"/>
      <c r="I230" s="11"/>
      <c r="J230" s="11"/>
      <c r="K230" s="11"/>
      <c r="L230" s="11"/>
      <c r="M230" s="11"/>
      <c r="N230" s="11"/>
      <c r="O230" s="11"/>
      <c r="P230" s="11"/>
      <c r="Q230" s="11"/>
      <c r="R230" s="11"/>
      <c r="S230" s="11"/>
      <c r="T230" s="11"/>
      <c r="U230" s="11"/>
      <c r="V230" s="11"/>
      <c r="W230" s="11"/>
      <c r="X230" s="11"/>
      <c r="Y230" s="11"/>
      <c r="Z230" s="11"/>
      <c r="AA230" s="11"/>
      <c r="AB230" s="11"/>
      <c r="AC230" s="11"/>
      <c r="AD230" s="11"/>
      <c r="AE230" s="11"/>
      <c r="AF230" s="11"/>
    </row>
    <row r="231" spans="1:32" x14ac:dyDescent="0.15">
      <c r="A231" s="11"/>
      <c r="B231" s="32"/>
      <c r="C231" s="11"/>
      <c r="D231" s="13"/>
      <c r="E231" s="13"/>
      <c r="F231" s="11"/>
      <c r="G231" s="11"/>
      <c r="H231" s="11"/>
      <c r="I231" s="11"/>
      <c r="J231" s="11"/>
      <c r="K231" s="11"/>
      <c r="L231" s="11"/>
      <c r="M231" s="11"/>
      <c r="N231" s="11"/>
      <c r="O231" s="11"/>
      <c r="P231" s="11"/>
      <c r="Q231" s="11"/>
      <c r="R231" s="11"/>
      <c r="S231" s="11"/>
      <c r="T231" s="11"/>
      <c r="U231" s="11"/>
      <c r="V231" s="11"/>
      <c r="W231" s="11"/>
      <c r="X231" s="11"/>
      <c r="Y231" s="11"/>
      <c r="Z231" s="11"/>
      <c r="AA231" s="11"/>
      <c r="AB231" s="11"/>
      <c r="AC231" s="11"/>
      <c r="AD231" s="11"/>
      <c r="AE231" s="11"/>
      <c r="AF231" s="11"/>
    </row>
    <row r="232" spans="1:32" x14ac:dyDescent="0.15">
      <c r="A232" s="11"/>
      <c r="B232" s="32"/>
      <c r="C232" s="11"/>
      <c r="D232" s="13"/>
      <c r="E232" s="13"/>
      <c r="F232" s="11"/>
      <c r="G232" s="11"/>
      <c r="H232" s="11"/>
      <c r="I232" s="11"/>
      <c r="J232" s="11"/>
      <c r="K232" s="11"/>
      <c r="L232" s="11"/>
      <c r="M232" s="11"/>
      <c r="N232" s="11"/>
      <c r="O232" s="11"/>
      <c r="P232" s="11"/>
      <c r="Q232" s="11"/>
      <c r="R232" s="11"/>
      <c r="S232" s="11"/>
      <c r="T232" s="11"/>
      <c r="U232" s="11"/>
      <c r="V232" s="11"/>
      <c r="W232" s="11"/>
      <c r="X232" s="11"/>
      <c r="Y232" s="11"/>
      <c r="Z232" s="11"/>
      <c r="AA232" s="11"/>
      <c r="AB232" s="11"/>
      <c r="AC232" s="11"/>
      <c r="AD232" s="11"/>
      <c r="AE232" s="11"/>
      <c r="AF232" s="11"/>
    </row>
    <row r="233" spans="1:32" x14ac:dyDescent="0.15">
      <c r="A233" s="11"/>
      <c r="B233" s="32"/>
      <c r="C233" s="11"/>
      <c r="D233" s="13"/>
      <c r="E233" s="13"/>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row>
    <row r="234" spans="1:32" x14ac:dyDescent="0.15">
      <c r="A234" s="11"/>
      <c r="B234" s="32"/>
      <c r="C234" s="11"/>
      <c r="D234" s="13"/>
      <c r="E234" s="13"/>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row>
    <row r="235" spans="1:32" x14ac:dyDescent="0.15">
      <c r="A235" s="11"/>
      <c r="B235" s="32"/>
      <c r="C235" s="11"/>
      <c r="D235" s="13"/>
      <c r="E235" s="13"/>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row>
    <row r="236" spans="1:32" x14ac:dyDescent="0.15">
      <c r="A236" s="11"/>
      <c r="B236" s="32"/>
      <c r="C236" s="11"/>
      <c r="D236" s="13"/>
      <c r="E236" s="13"/>
      <c r="F236" s="11"/>
      <c r="G236" s="11"/>
      <c r="H236" s="11"/>
      <c r="I236" s="11"/>
      <c r="J236" s="11"/>
      <c r="K236" s="11"/>
      <c r="L236" s="11"/>
      <c r="M236" s="11"/>
      <c r="N236" s="11"/>
      <c r="O236" s="11"/>
      <c r="P236" s="11"/>
      <c r="Q236" s="11"/>
      <c r="R236" s="11"/>
      <c r="S236" s="11"/>
      <c r="T236" s="11"/>
      <c r="U236" s="11"/>
      <c r="V236" s="11"/>
      <c r="W236" s="11"/>
      <c r="X236" s="11"/>
      <c r="Y236" s="11"/>
      <c r="Z236" s="11"/>
      <c r="AA236" s="11"/>
      <c r="AB236" s="11"/>
      <c r="AC236" s="11"/>
      <c r="AD236" s="11"/>
      <c r="AE236" s="11"/>
      <c r="AF236" s="11"/>
    </row>
    <row r="237" spans="1:32" x14ac:dyDescent="0.15">
      <c r="A237" s="11"/>
      <c r="B237" s="32"/>
      <c r="C237" s="11"/>
      <c r="D237" s="13"/>
      <c r="E237" s="13"/>
      <c r="F237" s="11"/>
      <c r="G237" s="11"/>
      <c r="H237" s="11"/>
      <c r="I237" s="11"/>
      <c r="J237" s="11"/>
      <c r="K237" s="11"/>
      <c r="L237" s="11"/>
      <c r="M237" s="11"/>
      <c r="N237" s="11"/>
      <c r="O237" s="11"/>
      <c r="P237" s="11"/>
      <c r="Q237" s="11"/>
      <c r="R237" s="11"/>
      <c r="S237" s="11"/>
      <c r="T237" s="11"/>
      <c r="U237" s="11"/>
      <c r="V237" s="11"/>
      <c r="W237" s="11"/>
      <c r="X237" s="11"/>
      <c r="Y237" s="11"/>
      <c r="Z237" s="11"/>
      <c r="AA237" s="11"/>
      <c r="AB237" s="11"/>
      <c r="AC237" s="11"/>
      <c r="AD237" s="11"/>
      <c r="AE237" s="11"/>
      <c r="AF237" s="11"/>
    </row>
    <row r="238" spans="1:32" x14ac:dyDescent="0.15">
      <c r="A238" s="11"/>
      <c r="B238" s="32"/>
      <c r="C238" s="11"/>
      <c r="D238" s="13"/>
      <c r="E238" s="13"/>
      <c r="F238" s="11"/>
      <c r="G238" s="11"/>
      <c r="H238" s="11"/>
      <c r="I238" s="11"/>
      <c r="J238" s="11"/>
      <c r="K238" s="11"/>
      <c r="L238" s="11"/>
      <c r="M238" s="11"/>
      <c r="N238" s="11"/>
      <c r="O238" s="11"/>
      <c r="P238" s="11"/>
      <c r="Q238" s="11"/>
      <c r="R238" s="11"/>
      <c r="S238" s="11"/>
      <c r="T238" s="11"/>
      <c r="U238" s="11"/>
      <c r="V238" s="11"/>
      <c r="W238" s="11"/>
      <c r="X238" s="11"/>
      <c r="Y238" s="11"/>
      <c r="Z238" s="11"/>
      <c r="AA238" s="11"/>
      <c r="AB238" s="11"/>
      <c r="AC238" s="11"/>
      <c r="AD238" s="11"/>
      <c r="AE238" s="11"/>
      <c r="AF238" s="11"/>
    </row>
    <row r="239" spans="1:32" x14ac:dyDescent="0.15">
      <c r="A239" s="11"/>
      <c r="B239" s="32"/>
      <c r="C239" s="11"/>
      <c r="D239" s="13"/>
      <c r="E239" s="13"/>
      <c r="F239" s="11"/>
      <c r="G239" s="11"/>
      <c r="H239" s="11"/>
      <c r="I239" s="11"/>
      <c r="J239" s="11"/>
      <c r="K239" s="11"/>
      <c r="L239" s="11"/>
      <c r="M239" s="11"/>
      <c r="N239" s="11"/>
      <c r="O239" s="11"/>
      <c r="P239" s="11"/>
      <c r="Q239" s="11"/>
      <c r="R239" s="11"/>
      <c r="S239" s="11"/>
      <c r="T239" s="11"/>
      <c r="U239" s="11"/>
      <c r="V239" s="11"/>
      <c r="W239" s="11"/>
      <c r="X239" s="11"/>
      <c r="Y239" s="11"/>
      <c r="Z239" s="11"/>
      <c r="AA239" s="11"/>
      <c r="AB239" s="11"/>
      <c r="AC239" s="11"/>
      <c r="AD239" s="11"/>
      <c r="AE239" s="11"/>
      <c r="AF239" s="11"/>
    </row>
    <row r="240" spans="1:32" x14ac:dyDescent="0.15">
      <c r="A240" s="11"/>
      <c r="B240" s="32"/>
      <c r="C240" s="11"/>
      <c r="D240" s="13"/>
      <c r="E240" s="13"/>
      <c r="F240" s="11"/>
      <c r="G240" s="11"/>
      <c r="H240" s="11"/>
      <c r="I240" s="11"/>
      <c r="J240" s="11"/>
      <c r="K240" s="11"/>
      <c r="L240" s="11"/>
      <c r="M240" s="11"/>
      <c r="N240" s="11"/>
      <c r="O240" s="11"/>
      <c r="P240" s="11"/>
      <c r="Q240" s="11"/>
      <c r="R240" s="11"/>
      <c r="S240" s="11"/>
      <c r="T240" s="11"/>
      <c r="U240" s="11"/>
      <c r="V240" s="11"/>
      <c r="W240" s="11"/>
      <c r="X240" s="11"/>
      <c r="Y240" s="11"/>
      <c r="Z240" s="11"/>
      <c r="AA240" s="11"/>
      <c r="AB240" s="11"/>
      <c r="AC240" s="11"/>
      <c r="AD240" s="11"/>
      <c r="AE240" s="11"/>
      <c r="AF240" s="11"/>
    </row>
    <row r="241" spans="1:32" x14ac:dyDescent="0.15">
      <c r="A241" s="11"/>
      <c r="B241" s="32"/>
      <c r="C241" s="11"/>
      <c r="D241" s="13"/>
      <c r="E241" s="13"/>
      <c r="F241" s="11"/>
      <c r="G241" s="11"/>
      <c r="H241" s="11"/>
      <c r="I241" s="11"/>
      <c r="J241" s="11"/>
      <c r="K241" s="11"/>
      <c r="L241" s="11"/>
      <c r="M241" s="11"/>
      <c r="N241" s="11"/>
      <c r="O241" s="11"/>
      <c r="P241" s="11"/>
      <c r="Q241" s="11"/>
      <c r="R241" s="11"/>
      <c r="S241" s="11"/>
      <c r="T241" s="11"/>
      <c r="U241" s="11"/>
      <c r="V241" s="11"/>
      <c r="W241" s="11"/>
      <c r="X241" s="11"/>
      <c r="Y241" s="11"/>
      <c r="Z241" s="11"/>
      <c r="AA241" s="11"/>
      <c r="AB241" s="11"/>
      <c r="AC241" s="11"/>
      <c r="AD241" s="11"/>
      <c r="AE241" s="11"/>
      <c r="AF241" s="11"/>
    </row>
    <row r="242" spans="1:32" x14ac:dyDescent="0.15">
      <c r="A242" s="11"/>
      <c r="B242" s="32"/>
      <c r="C242" s="11"/>
      <c r="D242" s="13"/>
      <c r="E242" s="13"/>
      <c r="F242" s="11"/>
      <c r="G242" s="11"/>
      <c r="H242" s="11"/>
      <c r="I242" s="11"/>
      <c r="J242" s="11"/>
      <c r="K242" s="11"/>
      <c r="L242" s="11"/>
      <c r="M242" s="11"/>
      <c r="N242" s="11"/>
      <c r="O242" s="11"/>
      <c r="P242" s="11"/>
      <c r="Q242" s="11"/>
      <c r="R242" s="11"/>
      <c r="S242" s="11"/>
      <c r="T242" s="11"/>
      <c r="U242" s="11"/>
      <c r="V242" s="11"/>
      <c r="W242" s="11"/>
      <c r="X242" s="11"/>
      <c r="Y242" s="11"/>
      <c r="Z242" s="11"/>
      <c r="AA242" s="11"/>
      <c r="AB242" s="11"/>
      <c r="AC242" s="11"/>
      <c r="AD242" s="11"/>
      <c r="AE242" s="11"/>
      <c r="AF242" s="11"/>
    </row>
    <row r="243" spans="1:32" x14ac:dyDescent="0.15">
      <c r="A243" s="11"/>
      <c r="B243" s="32"/>
      <c r="C243" s="11"/>
      <c r="D243" s="13"/>
      <c r="E243" s="13"/>
      <c r="F243" s="11"/>
      <c r="G243" s="11"/>
      <c r="H243" s="11"/>
      <c r="I243" s="11"/>
      <c r="J243" s="11"/>
      <c r="K243" s="11"/>
      <c r="L243" s="11"/>
      <c r="M243" s="11"/>
      <c r="N243" s="11"/>
      <c r="O243" s="11"/>
      <c r="P243" s="11"/>
      <c r="Q243" s="11"/>
      <c r="R243" s="11"/>
      <c r="S243" s="11"/>
      <c r="T243" s="11"/>
      <c r="U243" s="11"/>
      <c r="V243" s="11"/>
      <c r="W243" s="11"/>
      <c r="X243" s="11"/>
      <c r="Y243" s="11"/>
      <c r="Z243" s="11"/>
      <c r="AA243" s="11"/>
      <c r="AB243" s="11"/>
      <c r="AC243" s="11"/>
      <c r="AD243" s="11"/>
      <c r="AE243" s="11"/>
      <c r="AF243" s="11"/>
    </row>
    <row r="244" spans="1:32" x14ac:dyDescent="0.15">
      <c r="A244" s="11"/>
      <c r="B244" s="32"/>
      <c r="C244" s="11"/>
      <c r="D244" s="13"/>
      <c r="E244" s="13"/>
      <c r="F244" s="11"/>
      <c r="G244" s="11"/>
      <c r="H244" s="11"/>
      <c r="I244" s="11"/>
      <c r="J244" s="11"/>
      <c r="K244" s="11"/>
      <c r="L244" s="11"/>
      <c r="M244" s="11"/>
      <c r="N244" s="11"/>
      <c r="O244" s="11"/>
      <c r="P244" s="11"/>
      <c r="Q244" s="11"/>
      <c r="R244" s="11"/>
      <c r="S244" s="11"/>
      <c r="T244" s="11"/>
      <c r="U244" s="11"/>
      <c r="V244" s="11"/>
      <c r="W244" s="11"/>
      <c r="X244" s="11"/>
      <c r="Y244" s="11"/>
      <c r="Z244" s="11"/>
      <c r="AA244" s="11"/>
      <c r="AB244" s="11"/>
      <c r="AC244" s="11"/>
      <c r="AD244" s="11"/>
      <c r="AE244" s="11"/>
      <c r="AF244" s="11"/>
    </row>
    <row r="245" spans="1:32" x14ac:dyDescent="0.15">
      <c r="A245" s="11"/>
      <c r="B245" s="32"/>
      <c r="C245" s="11"/>
      <c r="D245" s="13"/>
      <c r="E245" s="13"/>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row>
    <row r="246" spans="1:32" x14ac:dyDescent="0.15">
      <c r="A246" s="11"/>
      <c r="B246" s="32"/>
      <c r="C246" s="11"/>
      <c r="D246" s="13"/>
      <c r="E246" s="13"/>
      <c r="F246" s="11"/>
      <c r="G246" s="11"/>
      <c r="H246" s="11"/>
      <c r="I246" s="11"/>
      <c r="J246" s="11"/>
      <c r="K246" s="11"/>
      <c r="L246" s="11"/>
      <c r="M246" s="11"/>
      <c r="N246" s="11"/>
      <c r="O246" s="11"/>
      <c r="P246" s="11"/>
      <c r="Q246" s="11"/>
      <c r="R246" s="11"/>
      <c r="S246" s="11"/>
      <c r="T246" s="11"/>
      <c r="U246" s="11"/>
      <c r="V246" s="11"/>
      <c r="W246" s="11"/>
      <c r="X246" s="11"/>
      <c r="Y246" s="11"/>
      <c r="Z246" s="11"/>
      <c r="AA246" s="11"/>
      <c r="AB246" s="11"/>
      <c r="AC246" s="11"/>
      <c r="AD246" s="11"/>
      <c r="AE246" s="11"/>
      <c r="AF246" s="11"/>
    </row>
    <row r="247" spans="1:32" x14ac:dyDescent="0.15">
      <c r="A247" s="11"/>
      <c r="B247" s="32"/>
      <c r="C247" s="11"/>
      <c r="D247" s="13"/>
      <c r="E247" s="13"/>
      <c r="F247" s="11"/>
      <c r="G247" s="11"/>
      <c r="H247" s="11"/>
      <c r="I247" s="11"/>
      <c r="J247" s="11"/>
      <c r="K247" s="11"/>
      <c r="L247" s="11"/>
      <c r="M247" s="11"/>
      <c r="N247" s="11"/>
      <c r="O247" s="11"/>
      <c r="P247" s="11"/>
      <c r="Q247" s="11"/>
      <c r="R247" s="11"/>
      <c r="S247" s="11"/>
      <c r="T247" s="11"/>
      <c r="U247" s="11"/>
      <c r="V247" s="11"/>
      <c r="W247" s="11"/>
      <c r="X247" s="11"/>
      <c r="Y247" s="11"/>
      <c r="Z247" s="11"/>
      <c r="AA247" s="11"/>
      <c r="AB247" s="11"/>
      <c r="AC247" s="11"/>
      <c r="AD247" s="11"/>
      <c r="AE247" s="11"/>
      <c r="AF247" s="11"/>
    </row>
    <row r="248" spans="1:32" x14ac:dyDescent="0.15">
      <c r="A248" s="11"/>
      <c r="B248" s="32"/>
      <c r="C248" s="11"/>
      <c r="D248" s="13"/>
      <c r="E248" s="13"/>
      <c r="F248" s="11"/>
      <c r="G248" s="11"/>
      <c r="H248" s="11"/>
      <c r="I248" s="11"/>
      <c r="J248" s="11"/>
      <c r="K248" s="11"/>
      <c r="L248" s="11"/>
      <c r="M248" s="11"/>
      <c r="N248" s="11"/>
      <c r="O248" s="11"/>
      <c r="P248" s="11"/>
      <c r="Q248" s="11"/>
      <c r="R248" s="11"/>
      <c r="S248" s="11"/>
      <c r="T248" s="11"/>
      <c r="U248" s="11"/>
      <c r="V248" s="11"/>
      <c r="W248" s="11"/>
      <c r="X248" s="11"/>
      <c r="Y248" s="11"/>
      <c r="Z248" s="11"/>
      <c r="AA248" s="11"/>
      <c r="AB248" s="11"/>
      <c r="AC248" s="11"/>
      <c r="AD248" s="11"/>
      <c r="AE248" s="11"/>
      <c r="AF248" s="11"/>
    </row>
    <row r="249" spans="1:32" x14ac:dyDescent="0.15">
      <c r="A249" s="11"/>
      <c r="B249" s="32"/>
      <c r="C249" s="11"/>
      <c r="D249" s="13"/>
      <c r="E249" s="13"/>
      <c r="F249" s="11"/>
      <c r="G249" s="11"/>
      <c r="H249" s="11"/>
      <c r="I249" s="11"/>
      <c r="J249" s="11"/>
      <c r="K249" s="11"/>
      <c r="L249" s="11"/>
      <c r="M249" s="11"/>
      <c r="N249" s="11"/>
      <c r="O249" s="11"/>
      <c r="P249" s="11"/>
      <c r="Q249" s="11"/>
      <c r="R249" s="11"/>
      <c r="S249" s="11"/>
      <c r="T249" s="11"/>
      <c r="U249" s="11"/>
      <c r="V249" s="11"/>
      <c r="W249" s="11"/>
      <c r="X249" s="11"/>
      <c r="Y249" s="11"/>
      <c r="Z249" s="11"/>
      <c r="AA249" s="11"/>
      <c r="AB249" s="11"/>
      <c r="AC249" s="11"/>
      <c r="AD249" s="11"/>
      <c r="AE249" s="11"/>
      <c r="AF249" s="11"/>
    </row>
    <row r="250" spans="1:32" x14ac:dyDescent="0.15">
      <c r="A250" s="11"/>
      <c r="B250" s="32"/>
      <c r="C250" s="11"/>
      <c r="D250" s="13"/>
      <c r="E250" s="13"/>
      <c r="F250" s="11"/>
      <c r="G250" s="11"/>
      <c r="H250" s="11"/>
      <c r="I250" s="11"/>
      <c r="J250" s="11"/>
      <c r="K250" s="11"/>
      <c r="L250" s="11"/>
      <c r="M250" s="11"/>
      <c r="N250" s="11"/>
      <c r="O250" s="11"/>
      <c r="P250" s="11"/>
      <c r="Q250" s="11"/>
      <c r="R250" s="11"/>
      <c r="S250" s="11"/>
      <c r="T250" s="11"/>
      <c r="U250" s="11"/>
      <c r="V250" s="11"/>
      <c r="W250" s="11"/>
      <c r="X250" s="11"/>
      <c r="Y250" s="11"/>
      <c r="Z250" s="11"/>
      <c r="AA250" s="11"/>
      <c r="AB250" s="11"/>
      <c r="AC250" s="11"/>
      <c r="AD250" s="11"/>
      <c r="AE250" s="11"/>
      <c r="AF250" s="11"/>
    </row>
    <row r="251" spans="1:32" x14ac:dyDescent="0.15">
      <c r="A251" s="11"/>
      <c r="B251" s="32"/>
      <c r="C251" s="11"/>
      <c r="D251" s="13"/>
      <c r="E251" s="13"/>
      <c r="F251" s="11"/>
      <c r="G251" s="11"/>
      <c r="H251" s="11"/>
      <c r="I251" s="11"/>
      <c r="J251" s="11"/>
      <c r="K251" s="11"/>
      <c r="L251" s="11"/>
      <c r="M251" s="11"/>
      <c r="N251" s="11"/>
      <c r="O251" s="11"/>
      <c r="P251" s="11"/>
      <c r="Q251" s="11"/>
      <c r="R251" s="11"/>
      <c r="S251" s="11"/>
      <c r="T251" s="11"/>
      <c r="U251" s="11"/>
      <c r="V251" s="11"/>
      <c r="W251" s="11"/>
      <c r="X251" s="11"/>
      <c r="Y251" s="11"/>
      <c r="Z251" s="11"/>
      <c r="AA251" s="11"/>
      <c r="AB251" s="11"/>
      <c r="AC251" s="11"/>
      <c r="AD251" s="11"/>
      <c r="AE251" s="11"/>
      <c r="AF251" s="11"/>
    </row>
    <row r="252" spans="1:32" x14ac:dyDescent="0.15">
      <c r="A252" s="11"/>
      <c r="B252" s="32"/>
      <c r="C252" s="11"/>
      <c r="D252" s="13"/>
      <c r="E252" s="13"/>
      <c r="F252" s="11"/>
      <c r="G252" s="11"/>
      <c r="H252" s="11"/>
      <c r="I252" s="11"/>
      <c r="J252" s="11"/>
      <c r="K252" s="11"/>
      <c r="L252" s="11"/>
      <c r="M252" s="11"/>
      <c r="N252" s="11"/>
      <c r="O252" s="11"/>
      <c r="P252" s="11"/>
      <c r="Q252" s="11"/>
      <c r="R252" s="11"/>
      <c r="S252" s="11"/>
      <c r="T252" s="11"/>
      <c r="U252" s="11"/>
      <c r="V252" s="11"/>
      <c r="W252" s="11"/>
      <c r="X252" s="11"/>
      <c r="Y252" s="11"/>
      <c r="Z252" s="11"/>
      <c r="AA252" s="11"/>
      <c r="AB252" s="11"/>
      <c r="AC252" s="11"/>
      <c r="AD252" s="11"/>
      <c r="AE252" s="11"/>
      <c r="AF252" s="11"/>
    </row>
    <row r="253" spans="1:32" x14ac:dyDescent="0.15">
      <c r="A253" s="11"/>
      <c r="B253" s="32"/>
      <c r="C253" s="11"/>
      <c r="D253" s="13"/>
      <c r="E253" s="13"/>
      <c r="F253" s="11"/>
      <c r="G253" s="11"/>
      <c r="H253" s="11"/>
      <c r="I253" s="11"/>
      <c r="J253" s="11"/>
      <c r="K253" s="11"/>
      <c r="L253" s="11"/>
      <c r="M253" s="11"/>
      <c r="N253" s="11"/>
      <c r="O253" s="11"/>
      <c r="P253" s="11"/>
      <c r="Q253" s="11"/>
      <c r="R253" s="11"/>
      <c r="S253" s="11"/>
      <c r="T253" s="11"/>
      <c r="U253" s="11"/>
      <c r="V253" s="11"/>
      <c r="W253" s="11"/>
      <c r="X253" s="11"/>
      <c r="Y253" s="11"/>
      <c r="Z253" s="11"/>
      <c r="AA253" s="11"/>
      <c r="AB253" s="11"/>
      <c r="AC253" s="11"/>
      <c r="AD253" s="11"/>
      <c r="AE253" s="11"/>
      <c r="AF253" s="11"/>
    </row>
    <row r="254" spans="1:32" x14ac:dyDescent="0.15">
      <c r="A254" s="11"/>
      <c r="B254" s="32"/>
      <c r="C254" s="11"/>
      <c r="D254" s="13"/>
      <c r="E254" s="13"/>
      <c r="F254" s="11"/>
      <c r="G254" s="11"/>
      <c r="H254" s="11"/>
      <c r="I254" s="11"/>
      <c r="J254" s="11"/>
      <c r="K254" s="11"/>
      <c r="L254" s="11"/>
      <c r="M254" s="11"/>
      <c r="N254" s="11"/>
      <c r="O254" s="11"/>
      <c r="P254" s="11"/>
      <c r="Q254" s="11"/>
      <c r="R254" s="11"/>
      <c r="S254" s="11"/>
      <c r="T254" s="11"/>
      <c r="U254" s="11"/>
      <c r="V254" s="11"/>
      <c r="W254" s="11"/>
      <c r="X254" s="11"/>
      <c r="Y254" s="11"/>
      <c r="Z254" s="11"/>
      <c r="AA254" s="11"/>
      <c r="AB254" s="11"/>
      <c r="AC254" s="11"/>
      <c r="AD254" s="11"/>
      <c r="AE254" s="11"/>
      <c r="AF254" s="11"/>
    </row>
    <row r="255" spans="1:32" x14ac:dyDescent="0.15">
      <c r="A255" s="11"/>
      <c r="B255" s="32"/>
      <c r="C255" s="11"/>
      <c r="D255" s="13"/>
      <c r="E255" s="13"/>
      <c r="F255" s="11"/>
      <c r="G255" s="11"/>
      <c r="H255" s="11"/>
      <c r="I255" s="11"/>
      <c r="J255" s="11"/>
      <c r="K255" s="11"/>
      <c r="L255" s="11"/>
      <c r="M255" s="11"/>
      <c r="N255" s="11"/>
      <c r="O255" s="11"/>
      <c r="P255" s="11"/>
      <c r="Q255" s="11"/>
      <c r="R255" s="11"/>
      <c r="S255" s="11"/>
      <c r="T255" s="11"/>
      <c r="U255" s="11"/>
      <c r="V255" s="11"/>
      <c r="W255" s="11"/>
      <c r="X255" s="11"/>
      <c r="Y255" s="11"/>
      <c r="Z255" s="11"/>
      <c r="AA255" s="11"/>
      <c r="AB255" s="11"/>
      <c r="AC255" s="11"/>
      <c r="AD255" s="11"/>
      <c r="AE255" s="11"/>
      <c r="AF255" s="11"/>
    </row>
    <row r="256" spans="1:32" x14ac:dyDescent="0.15">
      <c r="A256" s="11"/>
      <c r="B256" s="32"/>
      <c r="C256" s="11"/>
      <c r="D256" s="13"/>
      <c r="E256" s="13"/>
      <c r="F256" s="11"/>
      <c r="G256" s="11"/>
      <c r="H256" s="11"/>
      <c r="I256" s="11"/>
      <c r="J256" s="11"/>
      <c r="K256" s="11"/>
      <c r="L256" s="11"/>
      <c r="M256" s="11"/>
      <c r="N256" s="11"/>
      <c r="O256" s="11"/>
      <c r="P256" s="11"/>
      <c r="Q256" s="11"/>
      <c r="R256" s="11"/>
      <c r="S256" s="11"/>
      <c r="T256" s="11"/>
      <c r="U256" s="11"/>
      <c r="V256" s="11"/>
      <c r="W256" s="11"/>
      <c r="X256" s="11"/>
      <c r="Y256" s="11"/>
      <c r="Z256" s="11"/>
      <c r="AA256" s="11"/>
      <c r="AB256" s="11"/>
      <c r="AC256" s="11"/>
      <c r="AD256" s="11"/>
      <c r="AE256" s="11"/>
      <c r="AF256" s="11"/>
    </row>
    <row r="257" spans="1:32" x14ac:dyDescent="0.15">
      <c r="A257" s="11"/>
      <c r="B257" s="32"/>
      <c r="C257" s="11"/>
      <c r="D257" s="13"/>
      <c r="E257" s="13"/>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row>
    <row r="258" spans="1:32" x14ac:dyDescent="0.15">
      <c r="A258" s="11"/>
      <c r="B258" s="32"/>
      <c r="C258" s="11"/>
      <c r="D258" s="13"/>
      <c r="E258" s="13"/>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row>
    <row r="259" spans="1:32" x14ac:dyDescent="0.15">
      <c r="A259" s="11"/>
      <c r="B259" s="32"/>
      <c r="C259" s="11"/>
      <c r="D259" s="13"/>
      <c r="E259" s="13"/>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row>
    <row r="260" spans="1:32" x14ac:dyDescent="0.15">
      <c r="A260" s="11"/>
      <c r="B260" s="32"/>
      <c r="C260" s="11"/>
      <c r="D260" s="13"/>
      <c r="E260" s="13"/>
      <c r="F260" s="11"/>
      <c r="G260" s="11"/>
      <c r="H260" s="11"/>
      <c r="I260" s="11"/>
      <c r="J260" s="11"/>
      <c r="K260" s="11"/>
      <c r="L260" s="11"/>
      <c r="M260" s="11"/>
      <c r="N260" s="11"/>
      <c r="O260" s="11"/>
      <c r="P260" s="11"/>
      <c r="Q260" s="11"/>
      <c r="R260" s="11"/>
      <c r="S260" s="11"/>
      <c r="T260" s="11"/>
      <c r="U260" s="11"/>
      <c r="V260" s="11"/>
      <c r="W260" s="11"/>
      <c r="X260" s="11"/>
      <c r="Y260" s="11"/>
      <c r="Z260" s="11"/>
      <c r="AA260" s="11"/>
      <c r="AB260" s="11"/>
      <c r="AC260" s="11"/>
      <c r="AD260" s="11"/>
      <c r="AE260" s="11"/>
      <c r="AF260" s="11"/>
    </row>
    <row r="261" spans="1:32" x14ac:dyDescent="0.15">
      <c r="A261" s="11"/>
      <c r="B261" s="32"/>
      <c r="C261" s="11"/>
      <c r="D261" s="13"/>
      <c r="E261" s="13"/>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row>
    <row r="262" spans="1:32" x14ac:dyDescent="0.15">
      <c r="A262" s="11"/>
      <c r="B262" s="32"/>
      <c r="C262" s="11"/>
      <c r="D262" s="13"/>
      <c r="E262" s="13"/>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row>
    <row r="263" spans="1:32" x14ac:dyDescent="0.15">
      <c r="A263" s="11"/>
      <c r="B263" s="32"/>
      <c r="C263" s="11"/>
      <c r="D263" s="13"/>
      <c r="E263" s="13"/>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row>
    <row r="264" spans="1:32" x14ac:dyDescent="0.15">
      <c r="A264" s="11"/>
      <c r="B264" s="32"/>
      <c r="C264" s="11"/>
      <c r="D264" s="13"/>
      <c r="E264" s="13"/>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row>
    <row r="265" spans="1:32" x14ac:dyDescent="0.15">
      <c r="A265" s="11"/>
      <c r="B265" s="32"/>
      <c r="C265" s="11"/>
      <c r="D265" s="13"/>
      <c r="E265" s="13"/>
      <c r="F265" s="11"/>
      <c r="G265" s="11"/>
      <c r="H265" s="11"/>
      <c r="I265" s="11"/>
      <c r="J265" s="11"/>
      <c r="K265" s="11"/>
      <c r="L265" s="11"/>
      <c r="M265" s="11"/>
      <c r="N265" s="11"/>
      <c r="O265" s="11"/>
      <c r="P265" s="11"/>
      <c r="Q265" s="11"/>
      <c r="R265" s="11"/>
      <c r="S265" s="11"/>
      <c r="T265" s="11"/>
      <c r="U265" s="11"/>
      <c r="V265" s="11"/>
      <c r="W265" s="11"/>
      <c r="X265" s="11"/>
      <c r="Y265" s="11"/>
      <c r="Z265" s="11"/>
      <c r="AA265" s="11"/>
      <c r="AB265" s="11"/>
      <c r="AC265" s="11"/>
      <c r="AD265" s="11"/>
      <c r="AE265" s="11"/>
      <c r="AF265" s="11"/>
    </row>
    <row r="266" spans="1:32" x14ac:dyDescent="0.15">
      <c r="A266" s="11"/>
      <c r="B266" s="32"/>
      <c r="C266" s="11"/>
      <c r="D266" s="13"/>
      <c r="E266" s="13"/>
      <c r="F266" s="11"/>
      <c r="G266" s="11"/>
      <c r="H266" s="11"/>
      <c r="I266" s="11"/>
      <c r="J266" s="11"/>
      <c r="K266" s="11"/>
      <c r="L266" s="11"/>
      <c r="M266" s="11"/>
      <c r="N266" s="11"/>
      <c r="O266" s="11"/>
      <c r="P266" s="11"/>
      <c r="Q266" s="11"/>
      <c r="R266" s="11"/>
      <c r="S266" s="11"/>
      <c r="T266" s="11"/>
      <c r="U266" s="11"/>
      <c r="V266" s="11"/>
      <c r="W266" s="11"/>
      <c r="X266" s="11"/>
      <c r="Y266" s="11"/>
      <c r="Z266" s="11"/>
      <c r="AA266" s="11"/>
      <c r="AB266" s="11"/>
      <c r="AC266" s="11"/>
      <c r="AD266" s="11"/>
      <c r="AE266" s="11"/>
      <c r="AF266" s="11"/>
    </row>
    <row r="267" spans="1:32" x14ac:dyDescent="0.15">
      <c r="A267" s="11"/>
      <c r="B267" s="32"/>
      <c r="C267" s="11"/>
      <c r="D267" s="13"/>
      <c r="E267" s="13"/>
      <c r="F267" s="11"/>
      <c r="G267" s="11"/>
      <c r="H267" s="11"/>
      <c r="I267" s="11"/>
      <c r="J267" s="11"/>
      <c r="K267" s="11"/>
      <c r="L267" s="11"/>
      <c r="M267" s="11"/>
      <c r="N267" s="11"/>
      <c r="O267" s="11"/>
      <c r="P267" s="11"/>
      <c r="Q267" s="11"/>
      <c r="R267" s="11"/>
      <c r="S267" s="11"/>
      <c r="T267" s="11"/>
      <c r="U267" s="11"/>
      <c r="V267" s="11"/>
      <c r="W267" s="11"/>
      <c r="X267" s="11"/>
      <c r="Y267" s="11"/>
      <c r="Z267" s="11"/>
      <c r="AA267" s="11"/>
      <c r="AB267" s="11"/>
      <c r="AC267" s="11"/>
      <c r="AD267" s="11"/>
      <c r="AE267" s="11"/>
      <c r="AF267" s="11"/>
    </row>
    <row r="268" spans="1:32" x14ac:dyDescent="0.15">
      <c r="A268" s="11"/>
      <c r="B268" s="32"/>
      <c r="C268" s="11"/>
      <c r="D268" s="13"/>
      <c r="E268" s="13"/>
      <c r="F268" s="11"/>
      <c r="G268" s="11"/>
      <c r="H268" s="11"/>
      <c r="I268" s="11"/>
      <c r="J268" s="11"/>
      <c r="K268" s="11"/>
      <c r="L268" s="11"/>
      <c r="M268" s="11"/>
      <c r="N268" s="11"/>
      <c r="O268" s="11"/>
      <c r="P268" s="11"/>
      <c r="Q268" s="11"/>
      <c r="R268" s="11"/>
      <c r="S268" s="11"/>
      <c r="T268" s="11"/>
      <c r="U268" s="11"/>
      <c r="V268" s="11"/>
      <c r="W268" s="11"/>
      <c r="X268" s="11"/>
      <c r="Y268" s="11"/>
      <c r="Z268" s="11"/>
      <c r="AA268" s="11"/>
      <c r="AB268" s="11"/>
      <c r="AC268" s="11"/>
      <c r="AD268" s="11"/>
      <c r="AE268" s="11"/>
      <c r="AF268" s="11"/>
    </row>
    <row r="269" spans="1:32" x14ac:dyDescent="0.15">
      <c r="A269" s="11"/>
      <c r="B269" s="32"/>
      <c r="C269" s="11"/>
      <c r="D269" s="13"/>
      <c r="E269" s="13"/>
      <c r="F269" s="11"/>
      <c r="G269" s="11"/>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row>
    <row r="270" spans="1:32" x14ac:dyDescent="0.15">
      <c r="A270" s="11"/>
      <c r="B270" s="32"/>
      <c r="C270" s="11"/>
      <c r="D270" s="13"/>
      <c r="E270" s="13"/>
      <c r="F270" s="11"/>
      <c r="G270" s="11"/>
      <c r="H270" s="11"/>
      <c r="I270" s="11"/>
      <c r="J270" s="11"/>
      <c r="K270" s="11"/>
      <c r="L270" s="11"/>
      <c r="M270" s="11"/>
      <c r="N270" s="11"/>
      <c r="O270" s="11"/>
      <c r="P270" s="11"/>
      <c r="Q270" s="11"/>
      <c r="R270" s="11"/>
      <c r="S270" s="11"/>
      <c r="T270" s="11"/>
      <c r="U270" s="11"/>
      <c r="V270" s="11"/>
      <c r="W270" s="11"/>
      <c r="X270" s="11"/>
      <c r="Y270" s="11"/>
      <c r="Z270" s="11"/>
      <c r="AA270" s="11"/>
      <c r="AB270" s="11"/>
      <c r="AC270" s="11"/>
      <c r="AD270" s="11"/>
      <c r="AE270" s="11"/>
      <c r="AF270" s="11"/>
    </row>
    <row r="271" spans="1:32" x14ac:dyDescent="0.15">
      <c r="A271" s="11"/>
      <c r="B271" s="32"/>
      <c r="C271" s="11"/>
      <c r="D271" s="13"/>
      <c r="E271" s="13"/>
      <c r="F271" s="11"/>
      <c r="G271" s="11"/>
      <c r="H271" s="11"/>
      <c r="I271" s="11"/>
      <c r="J271" s="11"/>
      <c r="K271" s="11"/>
      <c r="L271" s="11"/>
      <c r="M271" s="11"/>
      <c r="N271" s="11"/>
      <c r="O271" s="11"/>
      <c r="P271" s="11"/>
      <c r="Q271" s="11"/>
      <c r="R271" s="11"/>
      <c r="S271" s="11"/>
      <c r="T271" s="11"/>
      <c r="U271" s="11"/>
      <c r="V271" s="11"/>
      <c r="W271" s="11"/>
      <c r="X271" s="11"/>
      <c r="Y271" s="11"/>
      <c r="Z271" s="11"/>
      <c r="AA271" s="11"/>
      <c r="AB271" s="11"/>
      <c r="AC271" s="11"/>
      <c r="AD271" s="11"/>
      <c r="AE271" s="11"/>
      <c r="AF271" s="11"/>
    </row>
    <row r="272" spans="1:32" x14ac:dyDescent="0.15">
      <c r="A272" s="11"/>
      <c r="B272" s="32"/>
      <c r="C272" s="11"/>
      <c r="D272" s="13"/>
      <c r="E272" s="13"/>
      <c r="F272" s="11"/>
      <c r="G272" s="11"/>
      <c r="H272" s="11"/>
      <c r="I272" s="11"/>
      <c r="J272" s="11"/>
      <c r="K272" s="11"/>
      <c r="L272" s="11"/>
      <c r="M272" s="11"/>
      <c r="N272" s="11"/>
      <c r="O272" s="11"/>
      <c r="P272" s="11"/>
      <c r="Q272" s="11"/>
      <c r="R272" s="11"/>
      <c r="S272" s="11"/>
      <c r="T272" s="11"/>
      <c r="U272" s="11"/>
      <c r="V272" s="11"/>
      <c r="W272" s="11"/>
      <c r="X272" s="11"/>
      <c r="Y272" s="11"/>
      <c r="Z272" s="11"/>
      <c r="AA272" s="11"/>
      <c r="AB272" s="11"/>
      <c r="AC272" s="11"/>
      <c r="AD272" s="11"/>
      <c r="AE272" s="11"/>
      <c r="AF272" s="11"/>
    </row>
    <row r="273" spans="1:32" x14ac:dyDescent="0.15">
      <c r="A273" s="11"/>
      <c r="B273" s="32"/>
      <c r="C273" s="11"/>
      <c r="D273" s="13"/>
      <c r="E273" s="13"/>
      <c r="F273" s="11"/>
      <c r="G273" s="11"/>
      <c r="H273" s="11"/>
      <c r="I273" s="11"/>
      <c r="J273" s="11"/>
      <c r="K273" s="11"/>
      <c r="L273" s="11"/>
      <c r="M273" s="11"/>
      <c r="N273" s="11"/>
      <c r="O273" s="11"/>
      <c r="P273" s="11"/>
      <c r="Q273" s="11"/>
      <c r="R273" s="11"/>
      <c r="S273" s="11"/>
      <c r="T273" s="11"/>
      <c r="U273" s="11"/>
      <c r="V273" s="11"/>
      <c r="W273" s="11"/>
      <c r="X273" s="11"/>
      <c r="Y273" s="11"/>
      <c r="Z273" s="11"/>
      <c r="AA273" s="11"/>
      <c r="AB273" s="11"/>
      <c r="AC273" s="11"/>
      <c r="AD273" s="11"/>
      <c r="AE273" s="11"/>
      <c r="AF273" s="11"/>
    </row>
    <row r="274" spans="1:32" x14ac:dyDescent="0.15">
      <c r="A274" s="11"/>
      <c r="B274" s="32"/>
      <c r="C274" s="11"/>
      <c r="D274" s="13"/>
      <c r="E274" s="13"/>
      <c r="F274" s="11"/>
      <c r="G274" s="11"/>
      <c r="H274" s="11"/>
      <c r="I274" s="11"/>
      <c r="J274" s="11"/>
      <c r="K274" s="11"/>
      <c r="L274" s="11"/>
      <c r="M274" s="11"/>
      <c r="N274" s="11"/>
      <c r="O274" s="11"/>
      <c r="P274" s="11"/>
      <c r="Q274" s="11"/>
      <c r="R274" s="11"/>
      <c r="S274" s="11"/>
      <c r="T274" s="11"/>
      <c r="U274" s="11"/>
      <c r="V274" s="11"/>
      <c r="W274" s="11"/>
      <c r="X274" s="11"/>
      <c r="Y274" s="11"/>
      <c r="Z274" s="11"/>
      <c r="AA274" s="11"/>
      <c r="AB274" s="11"/>
      <c r="AC274" s="11"/>
      <c r="AD274" s="11"/>
      <c r="AE274" s="11"/>
      <c r="AF274" s="11"/>
    </row>
    <row r="275" spans="1:32" x14ac:dyDescent="0.15">
      <c r="A275" s="11"/>
      <c r="B275" s="32"/>
      <c r="C275" s="11"/>
      <c r="D275" s="13"/>
      <c r="E275" s="13"/>
      <c r="F275" s="11"/>
      <c r="G275" s="11"/>
      <c r="H275" s="11"/>
      <c r="I275" s="11"/>
      <c r="J275" s="11"/>
      <c r="K275" s="11"/>
      <c r="L275" s="11"/>
      <c r="M275" s="11"/>
      <c r="N275" s="11"/>
      <c r="O275" s="11"/>
      <c r="P275" s="11"/>
      <c r="Q275" s="11"/>
      <c r="R275" s="11"/>
      <c r="S275" s="11"/>
      <c r="T275" s="11"/>
      <c r="U275" s="11"/>
      <c r="V275" s="11"/>
      <c r="W275" s="11"/>
      <c r="X275" s="11"/>
      <c r="Y275" s="11"/>
      <c r="Z275" s="11"/>
      <c r="AA275" s="11"/>
      <c r="AB275" s="11"/>
      <c r="AC275" s="11"/>
      <c r="AD275" s="11"/>
      <c r="AE275" s="11"/>
      <c r="AF275" s="11"/>
    </row>
    <row r="276" spans="1:32" x14ac:dyDescent="0.15">
      <c r="A276" s="11"/>
      <c r="B276" s="32"/>
      <c r="C276" s="11"/>
      <c r="D276" s="13"/>
      <c r="E276" s="13"/>
      <c r="F276" s="11"/>
      <c r="G276" s="11"/>
      <c r="H276" s="11"/>
      <c r="I276" s="11"/>
      <c r="J276" s="11"/>
      <c r="K276" s="11"/>
      <c r="L276" s="11"/>
      <c r="M276" s="11"/>
      <c r="N276" s="11"/>
      <c r="O276" s="11"/>
      <c r="P276" s="11"/>
      <c r="Q276" s="11"/>
      <c r="R276" s="11"/>
      <c r="S276" s="11"/>
      <c r="T276" s="11"/>
      <c r="U276" s="11"/>
      <c r="V276" s="11"/>
      <c r="W276" s="11"/>
      <c r="X276" s="11"/>
      <c r="Y276" s="11"/>
      <c r="Z276" s="11"/>
      <c r="AA276" s="11"/>
      <c r="AB276" s="11"/>
      <c r="AC276" s="11"/>
      <c r="AD276" s="11"/>
      <c r="AE276" s="11"/>
      <c r="AF276" s="11"/>
    </row>
    <row r="277" spans="1:32" x14ac:dyDescent="0.15">
      <c r="A277" s="11"/>
      <c r="B277" s="32"/>
      <c r="C277" s="11"/>
      <c r="D277" s="13"/>
      <c r="E277" s="13"/>
      <c r="F277" s="11"/>
      <c r="G277" s="11"/>
      <c r="H277" s="11"/>
      <c r="I277" s="11"/>
      <c r="J277" s="11"/>
      <c r="K277" s="11"/>
      <c r="L277" s="11"/>
      <c r="M277" s="11"/>
      <c r="N277" s="11"/>
      <c r="O277" s="11"/>
      <c r="P277" s="11"/>
      <c r="Q277" s="11"/>
      <c r="R277" s="11"/>
      <c r="S277" s="11"/>
      <c r="T277" s="11"/>
      <c r="U277" s="11"/>
      <c r="V277" s="11"/>
      <c r="W277" s="11"/>
      <c r="X277" s="11"/>
      <c r="Y277" s="11"/>
      <c r="Z277" s="11"/>
      <c r="AA277" s="11"/>
      <c r="AB277" s="11"/>
      <c r="AC277" s="11"/>
      <c r="AD277" s="11"/>
      <c r="AE277" s="11"/>
      <c r="AF277" s="11"/>
    </row>
    <row r="278" spans="1:32" x14ac:dyDescent="0.15">
      <c r="A278" s="11"/>
      <c r="B278" s="32"/>
      <c r="C278" s="11"/>
      <c r="D278" s="13"/>
      <c r="E278" s="13"/>
      <c r="F278" s="11"/>
      <c r="G278" s="11"/>
      <c r="H278" s="11"/>
      <c r="I278" s="11"/>
      <c r="J278" s="11"/>
      <c r="K278" s="11"/>
      <c r="L278" s="11"/>
      <c r="M278" s="11"/>
      <c r="N278" s="11"/>
      <c r="O278" s="11"/>
      <c r="P278" s="11"/>
      <c r="Q278" s="11"/>
      <c r="R278" s="11"/>
      <c r="S278" s="11"/>
      <c r="T278" s="11"/>
      <c r="U278" s="11"/>
      <c r="V278" s="11"/>
      <c r="W278" s="11"/>
      <c r="X278" s="11"/>
      <c r="Y278" s="11"/>
      <c r="Z278" s="11"/>
      <c r="AA278" s="11"/>
      <c r="AB278" s="11"/>
      <c r="AC278" s="11"/>
      <c r="AD278" s="11"/>
      <c r="AE278" s="11"/>
      <c r="AF278" s="11"/>
    </row>
    <row r="279" spans="1:32" x14ac:dyDescent="0.15">
      <c r="A279" s="11"/>
      <c r="B279" s="32"/>
      <c r="C279" s="11"/>
      <c r="D279" s="13"/>
      <c r="E279" s="13"/>
      <c r="F279" s="11"/>
      <c r="G279" s="11"/>
      <c r="H279" s="11"/>
      <c r="I279" s="11"/>
      <c r="J279" s="11"/>
      <c r="K279" s="11"/>
      <c r="L279" s="11"/>
      <c r="M279" s="11"/>
      <c r="N279" s="11"/>
      <c r="O279" s="11"/>
      <c r="P279" s="11"/>
      <c r="Q279" s="11"/>
      <c r="R279" s="11"/>
      <c r="S279" s="11"/>
      <c r="T279" s="11"/>
      <c r="U279" s="11"/>
      <c r="V279" s="11"/>
      <c r="W279" s="11"/>
      <c r="X279" s="11"/>
      <c r="Y279" s="11"/>
      <c r="Z279" s="11"/>
      <c r="AA279" s="11"/>
      <c r="AB279" s="11"/>
      <c r="AC279" s="11"/>
      <c r="AD279" s="11"/>
      <c r="AE279" s="11"/>
      <c r="AF279" s="11"/>
    </row>
    <row r="280" spans="1:32" x14ac:dyDescent="0.15">
      <c r="A280" s="11"/>
      <c r="B280" s="32"/>
      <c r="C280" s="11"/>
      <c r="D280" s="13"/>
      <c r="E280" s="13"/>
      <c r="F280" s="11"/>
      <c r="G280" s="11"/>
      <c r="H280" s="11"/>
      <c r="I280" s="11"/>
      <c r="J280" s="11"/>
      <c r="K280" s="11"/>
      <c r="L280" s="11"/>
      <c r="M280" s="11"/>
      <c r="N280" s="11"/>
      <c r="O280" s="11"/>
      <c r="P280" s="11"/>
      <c r="Q280" s="11"/>
      <c r="R280" s="11"/>
      <c r="S280" s="11"/>
      <c r="T280" s="11"/>
      <c r="U280" s="11"/>
      <c r="V280" s="11"/>
      <c r="W280" s="11"/>
      <c r="X280" s="11"/>
      <c r="Y280" s="11"/>
      <c r="Z280" s="11"/>
      <c r="AA280" s="11"/>
      <c r="AB280" s="11"/>
      <c r="AC280" s="11"/>
      <c r="AD280" s="11"/>
      <c r="AE280" s="11"/>
      <c r="AF280" s="11"/>
    </row>
    <row r="281" spans="1:32" x14ac:dyDescent="0.15">
      <c r="A281" s="11"/>
      <c r="B281" s="32"/>
      <c r="C281" s="11"/>
      <c r="D281" s="13"/>
      <c r="E281" s="13"/>
      <c r="F281" s="11"/>
      <c r="G281" s="11"/>
      <c r="H281" s="11"/>
      <c r="I281" s="11"/>
      <c r="J281" s="11"/>
      <c r="K281" s="11"/>
      <c r="L281" s="11"/>
      <c r="M281" s="11"/>
      <c r="N281" s="11"/>
      <c r="O281" s="11"/>
      <c r="P281" s="11"/>
      <c r="Q281" s="11"/>
      <c r="R281" s="11"/>
      <c r="S281" s="11"/>
      <c r="T281" s="11"/>
      <c r="U281" s="11"/>
      <c r="V281" s="11"/>
      <c r="W281" s="11"/>
      <c r="X281" s="11"/>
      <c r="Y281" s="11"/>
      <c r="Z281" s="11"/>
      <c r="AA281" s="11"/>
      <c r="AB281" s="11"/>
      <c r="AC281" s="11"/>
      <c r="AD281" s="11"/>
      <c r="AE281" s="11"/>
      <c r="AF281" s="11"/>
    </row>
    <row r="282" spans="1:32" x14ac:dyDescent="0.15">
      <c r="A282" s="11"/>
      <c r="B282" s="32"/>
      <c r="C282" s="11"/>
      <c r="D282" s="13"/>
      <c r="E282" s="13"/>
      <c r="F282" s="11"/>
      <c r="G282" s="11"/>
      <c r="H282" s="11"/>
      <c r="I282" s="11"/>
      <c r="J282" s="11"/>
      <c r="K282" s="11"/>
      <c r="L282" s="11"/>
      <c r="M282" s="11"/>
      <c r="N282" s="11"/>
      <c r="O282" s="11"/>
      <c r="P282" s="11"/>
      <c r="Q282" s="11"/>
      <c r="R282" s="11"/>
      <c r="S282" s="11"/>
      <c r="T282" s="11"/>
      <c r="U282" s="11"/>
      <c r="V282" s="11"/>
      <c r="W282" s="11"/>
      <c r="X282" s="11"/>
      <c r="Y282" s="11"/>
      <c r="Z282" s="11"/>
      <c r="AA282" s="11"/>
      <c r="AB282" s="11"/>
      <c r="AC282" s="11"/>
      <c r="AD282" s="11"/>
      <c r="AE282" s="11"/>
      <c r="AF282" s="11"/>
    </row>
    <row r="283" spans="1:32" x14ac:dyDescent="0.15">
      <c r="A283" s="11"/>
      <c r="B283" s="32"/>
      <c r="C283" s="11"/>
      <c r="D283" s="13"/>
      <c r="E283" s="13"/>
      <c r="F283" s="11"/>
      <c r="G283" s="11"/>
      <c r="H283" s="11"/>
      <c r="I283" s="11"/>
      <c r="J283" s="11"/>
      <c r="K283" s="11"/>
      <c r="L283" s="11"/>
      <c r="M283" s="11"/>
      <c r="N283" s="11"/>
      <c r="O283" s="11"/>
      <c r="P283" s="11"/>
      <c r="Q283" s="11"/>
      <c r="R283" s="11"/>
      <c r="S283" s="11"/>
      <c r="T283" s="11"/>
      <c r="U283" s="11"/>
      <c r="V283" s="11"/>
      <c r="W283" s="11"/>
      <c r="X283" s="11"/>
      <c r="Y283" s="11"/>
      <c r="Z283" s="11"/>
      <c r="AA283" s="11"/>
      <c r="AB283" s="11"/>
      <c r="AC283" s="11"/>
      <c r="AD283" s="11"/>
      <c r="AE283" s="11"/>
      <c r="AF283" s="11"/>
    </row>
    <row r="284" spans="1:32" x14ac:dyDescent="0.15">
      <c r="A284" s="11"/>
      <c r="B284" s="32"/>
      <c r="C284" s="11"/>
      <c r="D284" s="13"/>
      <c r="E284" s="13"/>
      <c r="F284" s="11"/>
      <c r="G284" s="11"/>
      <c r="H284" s="11"/>
      <c r="I284" s="11"/>
      <c r="J284" s="11"/>
      <c r="K284" s="11"/>
      <c r="L284" s="11"/>
      <c r="M284" s="11"/>
      <c r="N284" s="11"/>
      <c r="O284" s="11"/>
      <c r="P284" s="11"/>
      <c r="Q284" s="11"/>
      <c r="R284" s="11"/>
      <c r="S284" s="11"/>
      <c r="T284" s="11"/>
      <c r="U284" s="11"/>
      <c r="V284" s="11"/>
      <c r="W284" s="11"/>
      <c r="X284" s="11"/>
      <c r="Y284" s="11"/>
      <c r="Z284" s="11"/>
      <c r="AA284" s="11"/>
      <c r="AB284" s="11"/>
      <c r="AC284" s="11"/>
      <c r="AD284" s="11"/>
      <c r="AE284" s="11"/>
      <c r="AF284" s="11"/>
    </row>
    <row r="285" spans="1:32" x14ac:dyDescent="0.15">
      <c r="A285" s="11"/>
      <c r="B285" s="32"/>
      <c r="C285" s="11"/>
      <c r="D285" s="13"/>
      <c r="E285" s="13"/>
      <c r="F285" s="11"/>
      <c r="G285" s="11"/>
      <c r="H285" s="11"/>
      <c r="I285" s="11"/>
      <c r="J285" s="11"/>
      <c r="K285" s="11"/>
      <c r="L285" s="11"/>
      <c r="M285" s="11"/>
      <c r="N285" s="11"/>
      <c r="O285" s="11"/>
      <c r="P285" s="11"/>
      <c r="Q285" s="11"/>
      <c r="R285" s="11"/>
      <c r="S285" s="11"/>
      <c r="T285" s="11"/>
      <c r="U285" s="11"/>
      <c r="V285" s="11"/>
      <c r="W285" s="11"/>
      <c r="X285" s="11"/>
      <c r="Y285" s="11"/>
      <c r="Z285" s="11"/>
      <c r="AA285" s="11"/>
      <c r="AB285" s="11"/>
      <c r="AC285" s="11"/>
      <c r="AD285" s="11"/>
      <c r="AE285" s="11"/>
      <c r="AF285" s="11"/>
    </row>
    <row r="286" spans="1:32" x14ac:dyDescent="0.15">
      <c r="A286" s="11"/>
      <c r="B286" s="32"/>
      <c r="C286" s="11"/>
      <c r="D286" s="13"/>
      <c r="E286" s="13"/>
      <c r="F286" s="11"/>
      <c r="G286" s="11"/>
      <c r="H286" s="11"/>
      <c r="I286" s="11"/>
      <c r="J286" s="11"/>
      <c r="K286" s="11"/>
      <c r="L286" s="11"/>
      <c r="M286" s="11"/>
      <c r="N286" s="11"/>
      <c r="O286" s="11"/>
      <c r="P286" s="11"/>
      <c r="Q286" s="11"/>
      <c r="R286" s="11"/>
      <c r="S286" s="11"/>
      <c r="T286" s="11"/>
      <c r="U286" s="11"/>
      <c r="V286" s="11"/>
      <c r="W286" s="11"/>
      <c r="X286" s="11"/>
      <c r="Y286" s="11"/>
      <c r="Z286" s="11"/>
      <c r="AA286" s="11"/>
      <c r="AB286" s="11"/>
      <c r="AC286" s="11"/>
      <c r="AD286" s="11"/>
      <c r="AE286" s="11"/>
      <c r="AF286" s="11"/>
    </row>
    <row r="287" spans="1:32" x14ac:dyDescent="0.15">
      <c r="A287" s="11"/>
      <c r="B287" s="32"/>
      <c r="C287" s="11"/>
      <c r="D287" s="13"/>
      <c r="E287" s="13"/>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row>
    <row r="288" spans="1:32" x14ac:dyDescent="0.15">
      <c r="A288" s="11"/>
      <c r="B288" s="32"/>
      <c r="C288" s="11"/>
      <c r="D288" s="13"/>
      <c r="E288" s="13"/>
      <c r="F288" s="11"/>
      <c r="G288" s="11"/>
      <c r="H288" s="11"/>
      <c r="I288" s="11"/>
      <c r="J288" s="11"/>
      <c r="K288" s="11"/>
      <c r="L288" s="11"/>
      <c r="M288" s="11"/>
      <c r="N288" s="11"/>
      <c r="O288" s="11"/>
      <c r="P288" s="11"/>
      <c r="Q288" s="11"/>
      <c r="R288" s="11"/>
      <c r="S288" s="11"/>
      <c r="T288" s="11"/>
      <c r="U288" s="11"/>
      <c r="V288" s="11"/>
      <c r="W288" s="11"/>
      <c r="X288" s="11"/>
      <c r="Y288" s="11"/>
      <c r="Z288" s="11"/>
      <c r="AA288" s="11"/>
      <c r="AB288" s="11"/>
      <c r="AC288" s="11"/>
      <c r="AD288" s="11"/>
      <c r="AE288" s="11"/>
      <c r="AF288" s="11"/>
    </row>
    <row r="289" spans="1:32" x14ac:dyDescent="0.15">
      <c r="A289" s="11"/>
      <c r="B289" s="32"/>
      <c r="C289" s="11"/>
      <c r="D289" s="13"/>
      <c r="E289" s="13"/>
      <c r="F289" s="11"/>
      <c r="G289" s="11"/>
      <c r="H289" s="11"/>
      <c r="I289" s="11"/>
      <c r="J289" s="11"/>
      <c r="K289" s="11"/>
      <c r="L289" s="11"/>
      <c r="M289" s="11"/>
      <c r="N289" s="11"/>
      <c r="O289" s="11"/>
      <c r="P289" s="11"/>
      <c r="Q289" s="11"/>
      <c r="R289" s="11"/>
      <c r="S289" s="11"/>
      <c r="T289" s="11"/>
      <c r="U289" s="11"/>
      <c r="V289" s="11"/>
      <c r="W289" s="11"/>
      <c r="X289" s="11"/>
      <c r="Y289" s="11"/>
      <c r="Z289" s="11"/>
      <c r="AA289" s="11"/>
      <c r="AB289" s="11"/>
      <c r="AC289" s="11"/>
      <c r="AD289" s="11"/>
      <c r="AE289" s="11"/>
      <c r="AF289" s="11"/>
    </row>
    <row r="290" spans="1:32" x14ac:dyDescent="0.15">
      <c r="A290" s="11"/>
      <c r="B290" s="32"/>
      <c r="C290" s="11"/>
      <c r="D290" s="13"/>
      <c r="E290" s="13"/>
      <c r="F290" s="11"/>
      <c r="G290" s="11"/>
      <c r="H290" s="11"/>
      <c r="I290" s="11"/>
      <c r="J290" s="11"/>
      <c r="K290" s="11"/>
      <c r="L290" s="11"/>
      <c r="M290" s="11"/>
      <c r="N290" s="11"/>
      <c r="O290" s="11"/>
      <c r="P290" s="11"/>
      <c r="Q290" s="11"/>
      <c r="R290" s="11"/>
      <c r="S290" s="11"/>
      <c r="T290" s="11"/>
      <c r="U290" s="11"/>
      <c r="V290" s="11"/>
      <c r="W290" s="11"/>
      <c r="X290" s="11"/>
      <c r="Y290" s="11"/>
      <c r="Z290" s="11"/>
      <c r="AA290" s="11"/>
      <c r="AB290" s="11"/>
      <c r="AC290" s="11"/>
      <c r="AD290" s="11"/>
      <c r="AE290" s="11"/>
      <c r="AF290" s="11"/>
    </row>
    <row r="291" spans="1:32" x14ac:dyDescent="0.15">
      <c r="A291" s="11"/>
      <c r="B291" s="32"/>
      <c r="C291" s="11"/>
      <c r="D291" s="13"/>
      <c r="E291" s="13"/>
      <c r="F291" s="11"/>
      <c r="G291" s="11"/>
      <c r="H291" s="11"/>
      <c r="I291" s="11"/>
      <c r="J291" s="11"/>
      <c r="K291" s="11"/>
      <c r="L291" s="11"/>
      <c r="M291" s="11"/>
      <c r="N291" s="11"/>
      <c r="O291" s="11"/>
      <c r="P291" s="11"/>
      <c r="Q291" s="11"/>
      <c r="R291" s="11"/>
      <c r="S291" s="11"/>
      <c r="T291" s="11"/>
      <c r="U291" s="11"/>
      <c r="V291" s="11"/>
      <c r="W291" s="11"/>
      <c r="X291" s="11"/>
      <c r="Y291" s="11"/>
      <c r="Z291" s="11"/>
      <c r="AA291" s="11"/>
      <c r="AB291" s="11"/>
      <c r="AC291" s="11"/>
      <c r="AD291" s="11"/>
      <c r="AE291" s="11"/>
      <c r="AF291" s="11"/>
    </row>
    <row r="292" spans="1:32" x14ac:dyDescent="0.15">
      <c r="A292" s="11"/>
      <c r="B292" s="32"/>
      <c r="C292" s="11"/>
      <c r="D292" s="13"/>
      <c r="E292" s="13"/>
      <c r="F292" s="11"/>
      <c r="G292" s="11"/>
      <c r="H292" s="11"/>
      <c r="I292" s="11"/>
      <c r="J292" s="11"/>
      <c r="K292" s="11"/>
      <c r="L292" s="11"/>
      <c r="M292" s="11"/>
      <c r="N292" s="11"/>
      <c r="O292" s="11"/>
      <c r="P292" s="11"/>
      <c r="Q292" s="11"/>
      <c r="R292" s="11"/>
      <c r="S292" s="11"/>
      <c r="T292" s="11"/>
      <c r="U292" s="11"/>
      <c r="V292" s="11"/>
      <c r="W292" s="11"/>
      <c r="X292" s="11"/>
      <c r="Y292" s="11"/>
      <c r="Z292" s="11"/>
      <c r="AA292" s="11"/>
      <c r="AB292" s="11"/>
      <c r="AC292" s="11"/>
      <c r="AD292" s="11"/>
      <c r="AE292" s="11"/>
      <c r="AF292" s="11"/>
    </row>
    <row r="293" spans="1:32" x14ac:dyDescent="0.15">
      <c r="A293" s="11"/>
      <c r="B293" s="32"/>
      <c r="C293" s="11"/>
      <c r="D293" s="13"/>
      <c r="E293" s="13"/>
      <c r="F293" s="11"/>
      <c r="G293" s="11"/>
      <c r="H293" s="11"/>
      <c r="I293" s="11"/>
      <c r="J293" s="11"/>
      <c r="K293" s="11"/>
      <c r="L293" s="11"/>
      <c r="M293" s="11"/>
      <c r="N293" s="11"/>
      <c r="O293" s="11"/>
      <c r="P293" s="11"/>
      <c r="Q293" s="11"/>
      <c r="R293" s="11"/>
      <c r="S293" s="11"/>
      <c r="T293" s="11"/>
      <c r="U293" s="11"/>
      <c r="V293" s="11"/>
      <c r="W293" s="11"/>
      <c r="X293" s="11"/>
      <c r="Y293" s="11"/>
      <c r="Z293" s="11"/>
      <c r="AA293" s="11"/>
      <c r="AB293" s="11"/>
      <c r="AC293" s="11"/>
      <c r="AD293" s="11"/>
      <c r="AE293" s="11"/>
      <c r="AF293" s="11"/>
    </row>
    <row r="294" spans="1:32" x14ac:dyDescent="0.15">
      <c r="A294" s="11"/>
      <c r="B294" s="32"/>
      <c r="C294" s="11"/>
      <c r="D294" s="13"/>
      <c r="E294" s="13"/>
      <c r="F294" s="11"/>
      <c r="G294" s="11"/>
      <c r="H294" s="11"/>
      <c r="I294" s="11"/>
      <c r="J294" s="11"/>
      <c r="K294" s="11"/>
      <c r="L294" s="11"/>
      <c r="M294" s="11"/>
      <c r="N294" s="11"/>
      <c r="O294" s="11"/>
      <c r="P294" s="11"/>
      <c r="Q294" s="11"/>
      <c r="R294" s="11"/>
      <c r="S294" s="11"/>
      <c r="T294" s="11"/>
      <c r="U294" s="11"/>
      <c r="V294" s="11"/>
      <c r="W294" s="11"/>
      <c r="X294" s="11"/>
      <c r="Y294" s="11"/>
      <c r="Z294" s="11"/>
      <c r="AA294" s="11"/>
      <c r="AB294" s="11"/>
      <c r="AC294" s="11"/>
      <c r="AD294" s="11"/>
      <c r="AE294" s="11"/>
      <c r="AF294" s="11"/>
    </row>
    <row r="295" spans="1:32" x14ac:dyDescent="0.15">
      <c r="A295" s="11"/>
      <c r="B295" s="32"/>
      <c r="C295" s="11"/>
      <c r="D295" s="13"/>
      <c r="E295" s="13"/>
      <c r="F295" s="11"/>
      <c r="G295" s="11"/>
      <c r="H295" s="11"/>
      <c r="I295" s="11"/>
      <c r="J295" s="11"/>
      <c r="K295" s="11"/>
      <c r="L295" s="11"/>
      <c r="M295" s="11"/>
      <c r="N295" s="11"/>
      <c r="O295" s="11"/>
      <c r="P295" s="11"/>
      <c r="Q295" s="11"/>
      <c r="R295" s="11"/>
      <c r="S295" s="11"/>
      <c r="T295" s="11"/>
      <c r="U295" s="11"/>
      <c r="V295" s="11"/>
      <c r="W295" s="11"/>
      <c r="X295" s="11"/>
      <c r="Y295" s="11"/>
      <c r="Z295" s="11"/>
      <c r="AA295" s="11"/>
      <c r="AB295" s="11"/>
      <c r="AC295" s="11"/>
      <c r="AD295" s="11"/>
      <c r="AE295" s="11"/>
      <c r="AF295" s="11"/>
    </row>
    <row r="296" spans="1:32" x14ac:dyDescent="0.15">
      <c r="A296" s="11"/>
      <c r="B296" s="32"/>
      <c r="C296" s="11"/>
      <c r="D296" s="13"/>
      <c r="E296" s="13"/>
      <c r="F296" s="11"/>
      <c r="G296" s="11"/>
      <c r="H296" s="11"/>
      <c r="I296" s="11"/>
      <c r="J296" s="11"/>
      <c r="K296" s="11"/>
      <c r="L296" s="11"/>
      <c r="M296" s="11"/>
      <c r="N296" s="11"/>
      <c r="O296" s="11"/>
      <c r="P296" s="11"/>
      <c r="Q296" s="11"/>
      <c r="R296" s="11"/>
      <c r="S296" s="11"/>
      <c r="T296" s="11"/>
      <c r="U296" s="11"/>
      <c r="V296" s="11"/>
      <c r="W296" s="11"/>
      <c r="X296" s="11"/>
      <c r="Y296" s="11"/>
      <c r="Z296" s="11"/>
      <c r="AA296" s="11"/>
      <c r="AB296" s="11"/>
      <c r="AC296" s="11"/>
      <c r="AD296" s="11"/>
      <c r="AE296" s="11"/>
      <c r="AF296" s="11"/>
    </row>
    <row r="297" spans="1:32" x14ac:dyDescent="0.15">
      <c r="A297" s="11"/>
      <c r="B297" s="32"/>
      <c r="C297" s="11"/>
      <c r="D297" s="13"/>
      <c r="E297" s="13"/>
      <c r="F297" s="11"/>
      <c r="G297" s="11"/>
      <c r="H297" s="11"/>
      <c r="I297" s="11"/>
      <c r="J297" s="11"/>
      <c r="K297" s="11"/>
      <c r="L297" s="11"/>
      <c r="M297" s="11"/>
      <c r="N297" s="11"/>
      <c r="O297" s="11"/>
      <c r="P297" s="11"/>
      <c r="Q297" s="11"/>
      <c r="R297" s="11"/>
      <c r="S297" s="11"/>
      <c r="T297" s="11"/>
      <c r="U297" s="11"/>
      <c r="V297" s="11"/>
      <c r="W297" s="11"/>
      <c r="X297" s="11"/>
      <c r="Y297" s="11"/>
      <c r="Z297" s="11"/>
      <c r="AA297" s="11"/>
      <c r="AB297" s="11"/>
      <c r="AC297" s="11"/>
      <c r="AD297" s="11"/>
      <c r="AE297" s="11"/>
      <c r="AF297" s="11"/>
    </row>
    <row r="298" spans="1:32" x14ac:dyDescent="0.15">
      <c r="A298" s="11"/>
      <c r="B298" s="32"/>
      <c r="C298" s="11"/>
      <c r="D298" s="13"/>
      <c r="E298" s="13"/>
      <c r="F298" s="11"/>
      <c r="G298" s="11"/>
      <c r="H298" s="11"/>
      <c r="I298" s="11"/>
      <c r="J298" s="11"/>
      <c r="K298" s="11"/>
      <c r="L298" s="11"/>
      <c r="M298" s="11"/>
      <c r="N298" s="11"/>
      <c r="O298" s="11"/>
      <c r="P298" s="11"/>
      <c r="Q298" s="11"/>
      <c r="R298" s="11"/>
      <c r="S298" s="11"/>
      <c r="T298" s="11"/>
      <c r="U298" s="11"/>
      <c r="V298" s="11"/>
      <c r="W298" s="11"/>
      <c r="X298" s="11"/>
      <c r="Y298" s="11"/>
      <c r="Z298" s="11"/>
      <c r="AA298" s="11"/>
      <c r="AB298" s="11"/>
      <c r="AC298" s="11"/>
      <c r="AD298" s="11"/>
      <c r="AE298" s="11"/>
      <c r="AF298" s="11"/>
    </row>
    <row r="299" spans="1:32" x14ac:dyDescent="0.15">
      <c r="A299" s="11"/>
      <c r="B299" s="32"/>
      <c r="C299" s="11"/>
      <c r="D299" s="13"/>
      <c r="E299" s="13"/>
      <c r="F299" s="11"/>
      <c r="G299" s="11"/>
      <c r="H299" s="11"/>
      <c r="I299" s="11"/>
      <c r="J299" s="11"/>
      <c r="K299" s="11"/>
      <c r="L299" s="11"/>
      <c r="M299" s="11"/>
      <c r="N299" s="11"/>
      <c r="O299" s="11"/>
      <c r="P299" s="11"/>
      <c r="Q299" s="11"/>
      <c r="R299" s="11"/>
      <c r="S299" s="11"/>
      <c r="T299" s="11"/>
      <c r="U299" s="11"/>
      <c r="V299" s="11"/>
      <c r="W299" s="11"/>
      <c r="X299" s="11"/>
      <c r="Y299" s="11"/>
      <c r="Z299" s="11"/>
      <c r="AA299" s="11"/>
      <c r="AB299" s="11"/>
      <c r="AC299" s="11"/>
      <c r="AD299" s="11"/>
      <c r="AE299" s="11"/>
      <c r="AF299" s="11"/>
    </row>
    <row r="300" spans="1:32" x14ac:dyDescent="0.15">
      <c r="A300" s="11"/>
      <c r="B300" s="32"/>
      <c r="C300" s="11"/>
      <c r="D300" s="13"/>
      <c r="E300" s="13"/>
      <c r="F300" s="11"/>
      <c r="G300" s="11"/>
      <c r="H300" s="11"/>
      <c r="I300" s="11"/>
      <c r="J300" s="11"/>
      <c r="K300" s="11"/>
      <c r="L300" s="11"/>
      <c r="M300" s="11"/>
      <c r="N300" s="11"/>
      <c r="O300" s="11"/>
      <c r="P300" s="11"/>
      <c r="Q300" s="11"/>
      <c r="R300" s="11"/>
      <c r="S300" s="11"/>
      <c r="T300" s="11"/>
      <c r="U300" s="11"/>
      <c r="V300" s="11"/>
      <c r="W300" s="11"/>
      <c r="X300" s="11"/>
      <c r="Y300" s="11"/>
      <c r="Z300" s="11"/>
      <c r="AA300" s="11"/>
      <c r="AB300" s="11"/>
      <c r="AC300" s="11"/>
      <c r="AD300" s="11"/>
      <c r="AE300" s="11"/>
      <c r="AF300" s="11"/>
    </row>
    <row r="301" spans="1:32" x14ac:dyDescent="0.15">
      <c r="A301" s="11"/>
      <c r="B301" s="32"/>
      <c r="C301" s="11"/>
      <c r="D301" s="13"/>
      <c r="E301" s="13"/>
      <c r="F301" s="11"/>
      <c r="G301" s="11"/>
      <c r="H301" s="11"/>
      <c r="I301" s="11"/>
      <c r="J301" s="11"/>
      <c r="K301" s="11"/>
      <c r="L301" s="11"/>
      <c r="M301" s="11"/>
      <c r="N301" s="11"/>
      <c r="O301" s="11"/>
      <c r="P301" s="11"/>
      <c r="Q301" s="11"/>
      <c r="R301" s="11"/>
      <c r="S301" s="11"/>
      <c r="T301" s="11"/>
      <c r="U301" s="11"/>
      <c r="V301" s="11"/>
      <c r="W301" s="11"/>
      <c r="X301" s="11"/>
      <c r="Y301" s="11"/>
      <c r="Z301" s="11"/>
      <c r="AA301" s="11"/>
      <c r="AB301" s="11"/>
      <c r="AC301" s="11"/>
      <c r="AD301" s="11"/>
      <c r="AE301" s="11"/>
      <c r="AF301" s="11"/>
    </row>
    <row r="302" spans="1:32" x14ac:dyDescent="0.15">
      <c r="A302" s="11"/>
      <c r="B302" s="32"/>
      <c r="C302" s="11"/>
      <c r="D302" s="13"/>
      <c r="E302" s="13"/>
      <c r="F302" s="11"/>
      <c r="G302" s="11"/>
      <c r="H302" s="11"/>
      <c r="I302" s="11"/>
      <c r="J302" s="11"/>
      <c r="K302" s="11"/>
      <c r="L302" s="11"/>
      <c r="M302" s="11"/>
      <c r="N302" s="11"/>
      <c r="O302" s="11"/>
      <c r="P302" s="11"/>
      <c r="Q302" s="11"/>
      <c r="R302" s="11"/>
      <c r="S302" s="11"/>
      <c r="T302" s="11"/>
      <c r="U302" s="11"/>
      <c r="V302" s="11"/>
      <c r="W302" s="11"/>
      <c r="X302" s="11"/>
      <c r="Y302" s="11"/>
      <c r="Z302" s="11"/>
      <c r="AA302" s="11"/>
      <c r="AB302" s="11"/>
      <c r="AC302" s="11"/>
      <c r="AD302" s="11"/>
      <c r="AE302" s="11"/>
      <c r="AF302" s="11"/>
    </row>
    <row r="303" spans="1:32" x14ac:dyDescent="0.15">
      <c r="A303" s="11"/>
      <c r="B303" s="32"/>
      <c r="C303" s="11"/>
      <c r="D303" s="13"/>
      <c r="E303" s="13"/>
      <c r="F303" s="11"/>
      <c r="G303" s="11"/>
      <c r="H303" s="11"/>
      <c r="I303" s="11"/>
      <c r="J303" s="11"/>
      <c r="K303" s="11"/>
      <c r="L303" s="11"/>
      <c r="M303" s="11"/>
      <c r="N303" s="11"/>
      <c r="O303" s="11"/>
      <c r="P303" s="11"/>
      <c r="Q303" s="11"/>
      <c r="R303" s="11"/>
      <c r="S303" s="11"/>
      <c r="T303" s="11"/>
      <c r="U303" s="11"/>
      <c r="V303" s="11"/>
      <c r="W303" s="11"/>
      <c r="X303" s="11"/>
      <c r="Y303" s="11"/>
      <c r="Z303" s="11"/>
      <c r="AA303" s="11"/>
      <c r="AB303" s="11"/>
      <c r="AC303" s="11"/>
      <c r="AD303" s="11"/>
      <c r="AE303" s="11"/>
      <c r="AF303" s="11"/>
    </row>
    <row r="304" spans="1:32" x14ac:dyDescent="0.15">
      <c r="A304" s="11"/>
      <c r="B304" s="32"/>
      <c r="C304" s="11"/>
      <c r="D304" s="13"/>
      <c r="E304" s="13"/>
      <c r="F304" s="11"/>
      <c r="G304" s="11"/>
      <c r="H304" s="11"/>
      <c r="I304" s="11"/>
      <c r="J304" s="11"/>
      <c r="K304" s="11"/>
      <c r="L304" s="11"/>
      <c r="M304" s="11"/>
      <c r="N304" s="11"/>
      <c r="O304" s="11"/>
      <c r="P304" s="11"/>
      <c r="Q304" s="11"/>
      <c r="R304" s="11"/>
      <c r="S304" s="11"/>
      <c r="T304" s="11"/>
      <c r="U304" s="11"/>
      <c r="V304" s="11"/>
      <c r="W304" s="11"/>
      <c r="X304" s="11"/>
      <c r="Y304" s="11"/>
      <c r="Z304" s="11"/>
      <c r="AA304" s="11"/>
      <c r="AB304" s="11"/>
      <c r="AC304" s="11"/>
      <c r="AD304" s="11"/>
      <c r="AE304" s="11"/>
      <c r="AF304" s="11"/>
    </row>
    <row r="305" spans="1:32" x14ac:dyDescent="0.15">
      <c r="A305" s="11"/>
      <c r="B305" s="32"/>
      <c r="C305" s="11"/>
      <c r="D305" s="13"/>
      <c r="E305" s="13"/>
      <c r="F305" s="11"/>
      <c r="G305" s="11"/>
      <c r="H305" s="11"/>
      <c r="I305" s="11"/>
      <c r="J305" s="11"/>
      <c r="K305" s="11"/>
      <c r="L305" s="11"/>
      <c r="M305" s="11"/>
      <c r="N305" s="11"/>
      <c r="O305" s="11"/>
      <c r="P305" s="11"/>
      <c r="Q305" s="11"/>
      <c r="R305" s="11"/>
      <c r="S305" s="11"/>
      <c r="T305" s="11"/>
      <c r="U305" s="11"/>
      <c r="V305" s="11"/>
      <c r="W305" s="11"/>
      <c r="X305" s="11"/>
      <c r="Y305" s="11"/>
      <c r="Z305" s="11"/>
      <c r="AA305" s="11"/>
      <c r="AB305" s="11"/>
      <c r="AC305" s="11"/>
      <c r="AD305" s="11"/>
      <c r="AE305" s="11"/>
      <c r="AF305" s="11"/>
    </row>
    <row r="306" spans="1:32" x14ac:dyDescent="0.15">
      <c r="A306" s="11"/>
      <c r="B306" s="32"/>
      <c r="C306" s="11"/>
      <c r="D306" s="13"/>
      <c r="E306" s="13"/>
      <c r="F306" s="11"/>
      <c r="G306" s="11"/>
      <c r="H306" s="11"/>
      <c r="I306" s="11"/>
      <c r="J306" s="11"/>
      <c r="K306" s="11"/>
      <c r="L306" s="11"/>
      <c r="M306" s="11"/>
      <c r="N306" s="11"/>
      <c r="O306" s="11"/>
      <c r="P306" s="11"/>
      <c r="Q306" s="11"/>
      <c r="R306" s="11"/>
      <c r="S306" s="11"/>
      <c r="T306" s="11"/>
      <c r="U306" s="11"/>
      <c r="V306" s="11"/>
      <c r="W306" s="11"/>
      <c r="X306" s="11"/>
      <c r="Y306" s="11"/>
      <c r="Z306" s="11"/>
      <c r="AA306" s="11"/>
      <c r="AB306" s="11"/>
      <c r="AC306" s="11"/>
      <c r="AD306" s="11"/>
      <c r="AE306" s="11"/>
      <c r="AF306" s="11"/>
    </row>
    <row r="307" spans="1:32" x14ac:dyDescent="0.15">
      <c r="A307" s="11"/>
      <c r="B307" s="32"/>
      <c r="C307" s="11"/>
      <c r="D307" s="13"/>
      <c r="E307" s="13"/>
      <c r="F307" s="11"/>
      <c r="G307" s="11"/>
      <c r="H307" s="11"/>
      <c r="I307" s="11"/>
      <c r="J307" s="11"/>
      <c r="K307" s="11"/>
      <c r="L307" s="11"/>
      <c r="M307" s="11"/>
      <c r="N307" s="11"/>
      <c r="O307" s="11"/>
      <c r="P307" s="11"/>
      <c r="Q307" s="11"/>
      <c r="R307" s="11"/>
      <c r="S307" s="11"/>
      <c r="T307" s="11"/>
      <c r="U307" s="11"/>
      <c r="V307" s="11"/>
      <c r="W307" s="11"/>
      <c r="X307" s="11"/>
      <c r="Y307" s="11"/>
      <c r="Z307" s="11"/>
      <c r="AA307" s="11"/>
      <c r="AB307" s="11"/>
      <c r="AC307" s="11"/>
      <c r="AD307" s="11"/>
      <c r="AE307" s="11"/>
      <c r="AF307" s="11"/>
    </row>
    <row r="308" spans="1:32" x14ac:dyDescent="0.15">
      <c r="A308" s="11"/>
      <c r="B308" s="32"/>
      <c r="C308" s="11"/>
      <c r="D308" s="13"/>
      <c r="E308" s="13"/>
      <c r="F308" s="11"/>
      <c r="G308" s="11"/>
      <c r="H308" s="11"/>
      <c r="I308" s="11"/>
      <c r="J308" s="11"/>
      <c r="K308" s="11"/>
      <c r="L308" s="11"/>
      <c r="M308" s="11"/>
      <c r="N308" s="11"/>
      <c r="O308" s="11"/>
      <c r="P308" s="11"/>
      <c r="Q308" s="11"/>
      <c r="R308" s="11"/>
      <c r="S308" s="11"/>
      <c r="T308" s="11"/>
      <c r="U308" s="11"/>
      <c r="V308" s="11"/>
      <c r="W308" s="11"/>
      <c r="X308" s="11"/>
      <c r="Y308" s="11"/>
      <c r="Z308" s="11"/>
      <c r="AA308" s="11"/>
      <c r="AB308" s="11"/>
      <c r="AC308" s="11"/>
      <c r="AD308" s="11"/>
      <c r="AE308" s="11"/>
      <c r="AF308" s="11"/>
    </row>
    <row r="309" spans="1:32" x14ac:dyDescent="0.15">
      <c r="A309" s="11"/>
      <c r="B309" s="32"/>
      <c r="C309" s="11"/>
      <c r="D309" s="13"/>
      <c r="E309" s="13"/>
      <c r="F309" s="11"/>
      <c r="G309" s="11"/>
      <c r="H309" s="11"/>
      <c r="I309" s="11"/>
      <c r="J309" s="11"/>
      <c r="K309" s="11"/>
      <c r="L309" s="11"/>
      <c r="M309" s="11"/>
      <c r="N309" s="11"/>
      <c r="O309" s="11"/>
      <c r="P309" s="11"/>
      <c r="Q309" s="11"/>
      <c r="R309" s="11"/>
      <c r="S309" s="11"/>
      <c r="T309" s="11"/>
      <c r="U309" s="11"/>
      <c r="V309" s="11"/>
      <c r="W309" s="11"/>
      <c r="X309" s="11"/>
      <c r="Y309" s="11"/>
      <c r="Z309" s="11"/>
      <c r="AA309" s="11"/>
      <c r="AB309" s="11"/>
      <c r="AC309" s="11"/>
      <c r="AD309" s="11"/>
      <c r="AE309" s="11"/>
      <c r="AF309" s="11"/>
    </row>
    <row r="310" spans="1:32" x14ac:dyDescent="0.15">
      <c r="A310" s="11"/>
      <c r="B310" s="32"/>
      <c r="C310" s="11"/>
      <c r="D310" s="13"/>
      <c r="E310" s="13"/>
      <c r="F310" s="11"/>
      <c r="G310" s="11"/>
      <c r="H310" s="11"/>
      <c r="I310" s="11"/>
      <c r="J310" s="11"/>
      <c r="K310" s="11"/>
      <c r="L310" s="11"/>
      <c r="M310" s="11"/>
      <c r="N310" s="11"/>
      <c r="O310" s="11"/>
      <c r="P310" s="11"/>
      <c r="Q310" s="11"/>
      <c r="R310" s="11"/>
      <c r="S310" s="11"/>
      <c r="T310" s="11"/>
      <c r="U310" s="11"/>
      <c r="V310" s="11"/>
      <c r="W310" s="11"/>
      <c r="X310" s="11"/>
      <c r="Y310" s="11"/>
      <c r="Z310" s="11"/>
      <c r="AA310" s="11"/>
      <c r="AB310" s="11"/>
      <c r="AC310" s="11"/>
      <c r="AD310" s="11"/>
      <c r="AE310" s="11"/>
      <c r="AF310" s="11"/>
    </row>
    <row r="311" spans="1:32" x14ac:dyDescent="0.15">
      <c r="A311" s="11"/>
      <c r="B311" s="32"/>
      <c r="C311" s="11"/>
      <c r="D311" s="13"/>
      <c r="E311" s="13"/>
      <c r="F311" s="11"/>
      <c r="G311" s="11"/>
      <c r="H311" s="11"/>
      <c r="I311" s="11"/>
      <c r="J311" s="11"/>
      <c r="K311" s="11"/>
      <c r="L311" s="11"/>
      <c r="M311" s="11"/>
      <c r="N311" s="11"/>
      <c r="O311" s="11"/>
      <c r="P311" s="11"/>
      <c r="Q311" s="11"/>
      <c r="R311" s="11"/>
      <c r="S311" s="11"/>
      <c r="T311" s="11"/>
      <c r="U311" s="11"/>
      <c r="V311" s="11"/>
      <c r="W311" s="11"/>
      <c r="X311" s="11"/>
      <c r="Y311" s="11"/>
      <c r="Z311" s="11"/>
      <c r="AA311" s="11"/>
      <c r="AB311" s="11"/>
      <c r="AC311" s="11"/>
      <c r="AD311" s="11"/>
      <c r="AE311" s="11"/>
      <c r="AF311" s="11"/>
    </row>
    <row r="312" spans="1:32" x14ac:dyDescent="0.15">
      <c r="A312" s="11"/>
      <c r="B312" s="32"/>
      <c r="C312" s="11"/>
      <c r="D312" s="13"/>
      <c r="E312" s="13"/>
      <c r="F312" s="11"/>
      <c r="G312" s="11"/>
      <c r="H312" s="11"/>
      <c r="I312" s="11"/>
      <c r="J312" s="11"/>
      <c r="K312" s="11"/>
      <c r="L312" s="11"/>
      <c r="M312" s="11"/>
      <c r="N312" s="11"/>
      <c r="O312" s="11"/>
      <c r="P312" s="11"/>
      <c r="Q312" s="11"/>
      <c r="R312" s="11"/>
      <c r="S312" s="11"/>
      <c r="T312" s="11"/>
      <c r="U312" s="11"/>
      <c r="V312" s="11"/>
      <c r="W312" s="11"/>
      <c r="X312" s="11"/>
      <c r="Y312" s="11"/>
      <c r="Z312" s="11"/>
      <c r="AA312" s="11"/>
      <c r="AB312" s="11"/>
      <c r="AC312" s="11"/>
      <c r="AD312" s="11"/>
      <c r="AE312" s="11"/>
      <c r="AF312" s="11"/>
    </row>
    <row r="313" spans="1:32" x14ac:dyDescent="0.15">
      <c r="A313" s="11"/>
      <c r="B313" s="32"/>
      <c r="C313" s="11"/>
      <c r="D313" s="13"/>
      <c r="E313" s="13"/>
      <c r="F313" s="11"/>
      <c r="G313" s="11"/>
      <c r="H313" s="11"/>
      <c r="I313" s="11"/>
      <c r="J313" s="11"/>
      <c r="K313" s="11"/>
      <c r="L313" s="11"/>
      <c r="M313" s="11"/>
      <c r="N313" s="11"/>
      <c r="O313" s="11"/>
      <c r="P313" s="11"/>
      <c r="Q313" s="11"/>
      <c r="R313" s="11"/>
      <c r="S313" s="11"/>
      <c r="T313" s="11"/>
      <c r="U313" s="11"/>
      <c r="V313" s="11"/>
      <c r="W313" s="11"/>
      <c r="X313" s="11"/>
      <c r="Y313" s="11"/>
      <c r="Z313" s="11"/>
      <c r="AA313" s="11"/>
      <c r="AB313" s="11"/>
      <c r="AC313" s="11"/>
      <c r="AD313" s="11"/>
      <c r="AE313" s="11"/>
      <c r="AF313" s="11"/>
    </row>
    <row r="314" spans="1:32" x14ac:dyDescent="0.15">
      <c r="A314" s="11"/>
      <c r="B314" s="32"/>
      <c r="C314" s="11"/>
      <c r="D314" s="13"/>
      <c r="E314" s="13"/>
      <c r="F314" s="11"/>
      <c r="G314" s="11"/>
      <c r="H314" s="11"/>
      <c r="I314" s="11"/>
      <c r="J314" s="11"/>
      <c r="K314" s="11"/>
      <c r="L314" s="11"/>
      <c r="M314" s="11"/>
      <c r="N314" s="11"/>
      <c r="O314" s="11"/>
      <c r="P314" s="11"/>
      <c r="Q314" s="11"/>
      <c r="R314" s="11"/>
      <c r="S314" s="11"/>
      <c r="T314" s="11"/>
      <c r="U314" s="11"/>
      <c r="V314" s="11"/>
      <c r="W314" s="11"/>
      <c r="X314" s="11"/>
      <c r="Y314" s="11"/>
      <c r="Z314" s="11"/>
      <c r="AA314" s="11"/>
      <c r="AB314" s="11"/>
      <c r="AC314" s="11"/>
      <c r="AD314" s="11"/>
      <c r="AE314" s="11"/>
      <c r="AF314" s="11"/>
    </row>
    <row r="315" spans="1:32" x14ac:dyDescent="0.15">
      <c r="A315" s="11"/>
      <c r="B315" s="32"/>
      <c r="C315" s="11"/>
      <c r="D315" s="13"/>
      <c r="E315" s="13"/>
      <c r="F315" s="11"/>
      <c r="G315" s="11"/>
      <c r="H315" s="11"/>
      <c r="I315" s="11"/>
      <c r="J315" s="11"/>
      <c r="K315" s="11"/>
      <c r="L315" s="11"/>
      <c r="M315" s="11"/>
      <c r="N315" s="11"/>
      <c r="O315" s="11"/>
      <c r="P315" s="11"/>
      <c r="Q315" s="11"/>
      <c r="R315" s="11"/>
      <c r="S315" s="11"/>
      <c r="T315" s="11"/>
      <c r="U315" s="11"/>
      <c r="V315" s="11"/>
      <c r="W315" s="11"/>
      <c r="X315" s="11"/>
      <c r="Y315" s="11"/>
      <c r="Z315" s="11"/>
      <c r="AA315" s="11"/>
      <c r="AB315" s="11"/>
      <c r="AC315" s="11"/>
      <c r="AD315" s="11"/>
      <c r="AE315" s="11"/>
      <c r="AF315" s="11"/>
    </row>
    <row r="316" spans="1:32" x14ac:dyDescent="0.15">
      <c r="A316" s="11"/>
      <c r="B316" s="32"/>
      <c r="C316" s="11"/>
      <c r="D316" s="13"/>
      <c r="E316" s="13"/>
      <c r="F316" s="11"/>
      <c r="G316" s="11"/>
      <c r="H316" s="11"/>
      <c r="I316" s="11"/>
      <c r="J316" s="11"/>
      <c r="K316" s="11"/>
      <c r="L316" s="11"/>
      <c r="M316" s="11"/>
      <c r="N316" s="11"/>
      <c r="O316" s="11"/>
      <c r="P316" s="11"/>
      <c r="Q316" s="11"/>
      <c r="R316" s="11"/>
      <c r="S316" s="11"/>
      <c r="T316" s="11"/>
      <c r="U316" s="11"/>
      <c r="V316" s="11"/>
      <c r="W316" s="11"/>
      <c r="X316" s="11"/>
      <c r="Y316" s="11"/>
      <c r="Z316" s="11"/>
      <c r="AA316" s="11"/>
      <c r="AB316" s="11"/>
      <c r="AC316" s="11"/>
      <c r="AD316" s="11"/>
      <c r="AE316" s="11"/>
      <c r="AF316" s="11"/>
    </row>
    <row r="317" spans="1:32" x14ac:dyDescent="0.15">
      <c r="A317" s="11"/>
      <c r="B317" s="32"/>
      <c r="C317" s="11"/>
      <c r="D317" s="13"/>
      <c r="E317" s="13"/>
      <c r="F317" s="11"/>
      <c r="G317" s="11"/>
      <c r="H317" s="11"/>
      <c r="I317" s="11"/>
      <c r="J317" s="11"/>
      <c r="K317" s="11"/>
      <c r="L317" s="11"/>
      <c r="M317" s="11"/>
      <c r="N317" s="11"/>
      <c r="O317" s="11"/>
      <c r="P317" s="11"/>
      <c r="Q317" s="11"/>
      <c r="R317" s="11"/>
      <c r="S317" s="11"/>
      <c r="T317" s="11"/>
      <c r="U317" s="11"/>
      <c r="V317" s="11"/>
      <c r="W317" s="11"/>
      <c r="X317" s="11"/>
      <c r="Y317" s="11"/>
      <c r="Z317" s="11"/>
      <c r="AA317" s="11"/>
      <c r="AB317" s="11"/>
      <c r="AC317" s="11"/>
      <c r="AD317" s="11"/>
      <c r="AE317" s="11"/>
      <c r="AF317" s="11"/>
    </row>
    <row r="318" spans="1:32" x14ac:dyDescent="0.15">
      <c r="A318" s="11"/>
      <c r="B318" s="32"/>
      <c r="C318" s="11"/>
      <c r="D318" s="13"/>
      <c r="E318" s="13"/>
      <c r="F318" s="11"/>
      <c r="G318" s="11"/>
      <c r="H318" s="11"/>
      <c r="I318" s="11"/>
      <c r="J318" s="11"/>
      <c r="K318" s="11"/>
      <c r="L318" s="11"/>
      <c r="M318" s="11"/>
      <c r="N318" s="11"/>
      <c r="O318" s="11"/>
      <c r="P318" s="11"/>
      <c r="Q318" s="11"/>
      <c r="R318" s="11"/>
      <c r="S318" s="11"/>
      <c r="T318" s="11"/>
      <c r="U318" s="11"/>
      <c r="V318" s="11"/>
      <c r="W318" s="11"/>
      <c r="X318" s="11"/>
      <c r="Y318" s="11"/>
      <c r="Z318" s="11"/>
      <c r="AA318" s="11"/>
      <c r="AB318" s="11"/>
      <c r="AC318" s="11"/>
      <c r="AD318" s="11"/>
      <c r="AE318" s="11"/>
      <c r="AF318" s="11"/>
    </row>
    <row r="319" spans="1:32" x14ac:dyDescent="0.15">
      <c r="A319" s="11"/>
      <c r="B319" s="32"/>
      <c r="C319" s="11"/>
      <c r="D319" s="13"/>
      <c r="E319" s="13"/>
      <c r="F319" s="11"/>
      <c r="G319" s="11"/>
      <c r="H319" s="11"/>
      <c r="I319" s="11"/>
      <c r="J319" s="11"/>
      <c r="K319" s="11"/>
      <c r="L319" s="11"/>
      <c r="M319" s="11"/>
      <c r="N319" s="11"/>
      <c r="O319" s="11"/>
      <c r="P319" s="11"/>
      <c r="Q319" s="11"/>
      <c r="R319" s="11"/>
      <c r="S319" s="11"/>
      <c r="T319" s="11"/>
      <c r="U319" s="11"/>
      <c r="V319" s="11"/>
      <c r="W319" s="11"/>
      <c r="X319" s="11"/>
      <c r="Y319" s="11"/>
      <c r="Z319" s="11"/>
      <c r="AA319" s="11"/>
      <c r="AB319" s="11"/>
      <c r="AC319" s="11"/>
      <c r="AD319" s="11"/>
      <c r="AE319" s="11"/>
      <c r="AF319" s="11"/>
    </row>
    <row r="320" spans="1:32" x14ac:dyDescent="0.15">
      <c r="A320" s="11"/>
      <c r="B320" s="32"/>
      <c r="C320" s="11"/>
      <c r="D320" s="13"/>
      <c r="E320" s="13"/>
      <c r="F320" s="11"/>
      <c r="G320" s="11"/>
      <c r="H320" s="11"/>
      <c r="I320" s="11"/>
      <c r="J320" s="11"/>
      <c r="K320" s="11"/>
      <c r="L320" s="11"/>
      <c r="M320" s="11"/>
      <c r="N320" s="11"/>
      <c r="O320" s="11"/>
      <c r="P320" s="11"/>
      <c r="Q320" s="11"/>
      <c r="R320" s="11"/>
      <c r="S320" s="11"/>
      <c r="T320" s="11"/>
      <c r="U320" s="11"/>
      <c r="V320" s="11"/>
      <c r="W320" s="11"/>
      <c r="X320" s="11"/>
      <c r="Y320" s="11"/>
      <c r="Z320" s="11"/>
      <c r="AA320" s="11"/>
      <c r="AB320" s="11"/>
      <c r="AC320" s="11"/>
      <c r="AD320" s="11"/>
      <c r="AE320" s="11"/>
      <c r="AF320" s="11"/>
    </row>
    <row r="321" spans="1:32" x14ac:dyDescent="0.15">
      <c r="A321" s="11"/>
      <c r="B321" s="32"/>
      <c r="C321" s="11"/>
      <c r="D321" s="13"/>
      <c r="E321" s="13"/>
      <c r="F321" s="11"/>
      <c r="G321" s="11"/>
      <c r="H321" s="11"/>
      <c r="I321" s="11"/>
      <c r="J321" s="11"/>
      <c r="K321" s="11"/>
      <c r="L321" s="11"/>
      <c r="M321" s="11"/>
      <c r="N321" s="11"/>
      <c r="O321" s="11"/>
      <c r="P321" s="11"/>
      <c r="Q321" s="11"/>
      <c r="R321" s="11"/>
      <c r="S321" s="11"/>
      <c r="T321" s="11"/>
      <c r="U321" s="11"/>
      <c r="V321" s="11"/>
      <c r="W321" s="11"/>
      <c r="X321" s="11"/>
      <c r="Y321" s="11"/>
      <c r="Z321" s="11"/>
      <c r="AA321" s="11"/>
      <c r="AB321" s="11"/>
      <c r="AC321" s="11"/>
      <c r="AD321" s="11"/>
      <c r="AE321" s="11"/>
      <c r="AF321" s="11"/>
    </row>
    <row r="322" spans="1:32" x14ac:dyDescent="0.15">
      <c r="A322" s="11"/>
      <c r="B322" s="32"/>
      <c r="C322" s="11"/>
      <c r="D322" s="13"/>
      <c r="E322" s="13"/>
      <c r="F322" s="11"/>
      <c r="G322" s="11"/>
      <c r="H322" s="11"/>
      <c r="I322" s="11"/>
      <c r="J322" s="11"/>
      <c r="K322" s="11"/>
      <c r="L322" s="11"/>
      <c r="M322" s="11"/>
      <c r="N322" s="11"/>
      <c r="O322" s="11"/>
      <c r="P322" s="11"/>
      <c r="Q322" s="11"/>
      <c r="R322" s="11"/>
      <c r="S322" s="11"/>
      <c r="T322" s="11"/>
      <c r="U322" s="11"/>
      <c r="V322" s="11"/>
      <c r="W322" s="11"/>
      <c r="X322" s="11"/>
      <c r="Y322" s="11"/>
      <c r="Z322" s="11"/>
      <c r="AA322" s="11"/>
      <c r="AB322" s="11"/>
      <c r="AC322" s="11"/>
      <c r="AD322" s="11"/>
      <c r="AE322" s="11"/>
      <c r="AF322" s="11"/>
    </row>
    <row r="323" spans="1:32" x14ac:dyDescent="0.15">
      <c r="A323" s="11"/>
      <c r="B323" s="32"/>
      <c r="C323" s="11"/>
      <c r="D323" s="13"/>
      <c r="E323" s="13"/>
      <c r="F323" s="11"/>
      <c r="G323" s="11"/>
      <c r="H323" s="11"/>
      <c r="I323" s="11"/>
      <c r="J323" s="11"/>
      <c r="K323" s="11"/>
      <c r="L323" s="11"/>
      <c r="M323" s="11"/>
      <c r="N323" s="11"/>
      <c r="O323" s="11"/>
      <c r="P323" s="11"/>
      <c r="Q323" s="11"/>
      <c r="R323" s="11"/>
      <c r="S323" s="11"/>
      <c r="T323" s="11"/>
      <c r="U323" s="11"/>
      <c r="V323" s="11"/>
      <c r="W323" s="11"/>
      <c r="X323" s="11"/>
      <c r="Y323" s="11"/>
      <c r="Z323" s="11"/>
      <c r="AA323" s="11"/>
      <c r="AB323" s="11"/>
      <c r="AC323" s="11"/>
      <c r="AD323" s="11"/>
      <c r="AE323" s="11"/>
      <c r="AF323" s="11"/>
    </row>
    <row r="324" spans="1:32" x14ac:dyDescent="0.15">
      <c r="A324" s="11"/>
      <c r="B324" s="32"/>
      <c r="C324" s="11"/>
      <c r="D324" s="13"/>
      <c r="E324" s="13"/>
      <c r="F324" s="11"/>
      <c r="G324" s="11"/>
      <c r="H324" s="11"/>
      <c r="I324" s="11"/>
      <c r="J324" s="11"/>
      <c r="K324" s="11"/>
      <c r="L324" s="11"/>
      <c r="M324" s="11"/>
      <c r="N324" s="11"/>
      <c r="O324" s="11"/>
      <c r="P324" s="11"/>
      <c r="Q324" s="11"/>
      <c r="R324" s="11"/>
      <c r="S324" s="11"/>
      <c r="T324" s="11"/>
      <c r="U324" s="11"/>
      <c r="V324" s="11"/>
      <c r="W324" s="11"/>
      <c r="X324" s="11"/>
      <c r="Y324" s="11"/>
      <c r="Z324" s="11"/>
      <c r="AA324" s="11"/>
      <c r="AB324" s="11"/>
      <c r="AC324" s="11"/>
      <c r="AD324" s="11"/>
      <c r="AE324" s="11"/>
      <c r="AF324" s="11"/>
    </row>
    <row r="325" spans="1:32" x14ac:dyDescent="0.15">
      <c r="A325" s="11"/>
      <c r="B325" s="32"/>
      <c r="C325" s="11"/>
      <c r="D325" s="13"/>
      <c r="E325" s="13"/>
      <c r="F325" s="11"/>
      <c r="G325" s="11"/>
      <c r="H325" s="11"/>
      <c r="I325" s="11"/>
      <c r="J325" s="11"/>
      <c r="K325" s="11"/>
      <c r="L325" s="11"/>
      <c r="M325" s="11"/>
      <c r="N325" s="11"/>
      <c r="O325" s="11"/>
      <c r="P325" s="11"/>
      <c r="Q325" s="11"/>
      <c r="R325" s="11"/>
      <c r="S325" s="11"/>
      <c r="T325" s="11"/>
      <c r="U325" s="11"/>
      <c r="V325" s="11"/>
      <c r="W325" s="11"/>
      <c r="X325" s="11"/>
      <c r="Y325" s="11"/>
      <c r="Z325" s="11"/>
      <c r="AA325" s="11"/>
      <c r="AB325" s="11"/>
      <c r="AC325" s="11"/>
      <c r="AD325" s="11"/>
      <c r="AE325" s="11"/>
      <c r="AF325" s="11"/>
    </row>
    <row r="326" spans="1:32" x14ac:dyDescent="0.15">
      <c r="A326" s="11"/>
      <c r="B326" s="32"/>
      <c r="C326" s="11"/>
      <c r="D326" s="13"/>
      <c r="E326" s="13"/>
      <c r="F326" s="11"/>
      <c r="G326" s="11"/>
      <c r="H326" s="11"/>
      <c r="I326" s="11"/>
      <c r="J326" s="11"/>
      <c r="K326" s="11"/>
      <c r="L326" s="11"/>
      <c r="M326" s="11"/>
      <c r="N326" s="11"/>
      <c r="O326" s="11"/>
      <c r="P326" s="11"/>
      <c r="Q326" s="11"/>
      <c r="R326" s="11"/>
      <c r="S326" s="11"/>
      <c r="T326" s="11"/>
      <c r="U326" s="11"/>
      <c r="V326" s="11"/>
      <c r="W326" s="11"/>
      <c r="X326" s="11"/>
      <c r="Y326" s="11"/>
      <c r="Z326" s="11"/>
      <c r="AA326" s="11"/>
      <c r="AB326" s="11"/>
      <c r="AC326" s="11"/>
      <c r="AD326" s="11"/>
      <c r="AE326" s="11"/>
      <c r="AF326" s="11"/>
    </row>
    <row r="327" spans="1:32" x14ac:dyDescent="0.15">
      <c r="A327" s="11"/>
      <c r="B327" s="32"/>
      <c r="C327" s="11"/>
      <c r="D327" s="13"/>
      <c r="E327" s="13"/>
      <c r="F327" s="11"/>
      <c r="G327" s="11"/>
      <c r="H327" s="11"/>
      <c r="I327" s="11"/>
      <c r="J327" s="11"/>
      <c r="K327" s="11"/>
      <c r="L327" s="11"/>
      <c r="M327" s="11"/>
      <c r="N327" s="11"/>
      <c r="O327" s="11"/>
      <c r="P327" s="11"/>
      <c r="Q327" s="11"/>
      <c r="R327" s="11"/>
      <c r="S327" s="11"/>
      <c r="T327" s="11"/>
      <c r="U327" s="11"/>
      <c r="V327" s="11"/>
      <c r="W327" s="11"/>
      <c r="X327" s="11"/>
      <c r="Y327" s="11"/>
      <c r="Z327" s="11"/>
      <c r="AA327" s="11"/>
      <c r="AB327" s="11"/>
      <c r="AC327" s="11"/>
      <c r="AD327" s="11"/>
      <c r="AE327" s="11"/>
      <c r="AF327" s="11"/>
    </row>
    <row r="328" spans="1:32" x14ac:dyDescent="0.15">
      <c r="A328" s="11"/>
      <c r="B328" s="32"/>
      <c r="C328" s="11"/>
      <c r="D328" s="13"/>
      <c r="E328" s="13"/>
      <c r="F328" s="11"/>
      <c r="G328" s="11"/>
      <c r="H328" s="11"/>
      <c r="I328" s="11"/>
      <c r="J328" s="11"/>
      <c r="K328" s="11"/>
      <c r="L328" s="11"/>
      <c r="M328" s="11"/>
      <c r="N328" s="11"/>
      <c r="O328" s="11"/>
      <c r="P328" s="11"/>
      <c r="Q328" s="11"/>
      <c r="R328" s="11"/>
      <c r="S328" s="11"/>
      <c r="T328" s="11"/>
      <c r="U328" s="11"/>
      <c r="V328" s="11"/>
      <c r="W328" s="11"/>
      <c r="X328" s="11"/>
      <c r="Y328" s="11"/>
      <c r="Z328" s="11"/>
      <c r="AA328" s="11"/>
      <c r="AB328" s="11"/>
      <c r="AC328" s="11"/>
      <c r="AD328" s="11"/>
      <c r="AE328" s="11"/>
      <c r="AF328" s="11"/>
    </row>
    <row r="329" spans="1:32" x14ac:dyDescent="0.15">
      <c r="A329" s="11"/>
      <c r="B329" s="32"/>
      <c r="C329" s="11"/>
      <c r="D329" s="13"/>
      <c r="E329" s="13"/>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row>
    <row r="330" spans="1:32" x14ac:dyDescent="0.15">
      <c r="A330" s="11"/>
      <c r="B330" s="32"/>
      <c r="C330" s="11"/>
      <c r="D330" s="13"/>
      <c r="E330" s="13"/>
      <c r="F330" s="11"/>
      <c r="G330" s="11"/>
      <c r="H330" s="11"/>
      <c r="I330" s="11"/>
      <c r="J330" s="11"/>
      <c r="K330" s="11"/>
      <c r="L330" s="11"/>
      <c r="M330" s="11"/>
      <c r="N330" s="11"/>
      <c r="O330" s="11"/>
      <c r="P330" s="11"/>
      <c r="Q330" s="11"/>
      <c r="R330" s="11"/>
      <c r="S330" s="11"/>
      <c r="T330" s="11"/>
      <c r="U330" s="11"/>
      <c r="V330" s="11"/>
      <c r="W330" s="11"/>
      <c r="X330" s="11"/>
      <c r="Y330" s="11"/>
      <c r="Z330" s="11"/>
      <c r="AA330" s="11"/>
      <c r="AB330" s="11"/>
      <c r="AC330" s="11"/>
      <c r="AD330" s="11"/>
      <c r="AE330" s="11"/>
      <c r="AF330" s="11"/>
    </row>
    <row r="331" spans="1:32" x14ac:dyDescent="0.15">
      <c r="A331" s="11"/>
      <c r="B331" s="32"/>
      <c r="C331" s="11"/>
      <c r="D331" s="13"/>
      <c r="E331" s="13"/>
      <c r="F331" s="11"/>
      <c r="G331" s="11"/>
      <c r="H331" s="11"/>
      <c r="I331" s="11"/>
      <c r="J331" s="11"/>
      <c r="K331" s="11"/>
      <c r="L331" s="11"/>
      <c r="M331" s="11"/>
      <c r="N331" s="11"/>
      <c r="O331" s="11"/>
      <c r="P331" s="11"/>
      <c r="Q331" s="11"/>
      <c r="R331" s="11"/>
      <c r="S331" s="11"/>
      <c r="T331" s="11"/>
      <c r="U331" s="11"/>
      <c r="V331" s="11"/>
      <c r="W331" s="11"/>
      <c r="X331" s="11"/>
      <c r="Y331" s="11"/>
      <c r="Z331" s="11"/>
      <c r="AA331" s="11"/>
      <c r="AB331" s="11"/>
      <c r="AC331" s="11"/>
      <c r="AD331" s="11"/>
      <c r="AE331" s="11"/>
      <c r="AF331" s="11"/>
    </row>
    <row r="332" spans="1:32" x14ac:dyDescent="0.15">
      <c r="A332" s="11"/>
      <c r="B332" s="32"/>
      <c r="C332" s="11"/>
      <c r="D332" s="13"/>
      <c r="E332" s="13"/>
      <c r="F332" s="11"/>
      <c r="G332" s="11"/>
      <c r="H332" s="11"/>
      <c r="I332" s="11"/>
      <c r="J332" s="11"/>
      <c r="K332" s="11"/>
      <c r="L332" s="11"/>
      <c r="M332" s="11"/>
      <c r="N332" s="11"/>
      <c r="O332" s="11"/>
      <c r="P332" s="11"/>
      <c r="Q332" s="11"/>
      <c r="R332" s="11"/>
      <c r="S332" s="11"/>
      <c r="T332" s="11"/>
      <c r="U332" s="11"/>
      <c r="V332" s="11"/>
      <c r="W332" s="11"/>
      <c r="X332" s="11"/>
      <c r="Y332" s="11"/>
      <c r="Z332" s="11"/>
      <c r="AA332" s="11"/>
      <c r="AB332" s="11"/>
      <c r="AC332" s="11"/>
      <c r="AD332" s="11"/>
      <c r="AE332" s="11"/>
      <c r="AF332" s="11"/>
    </row>
    <row r="333" spans="1:32" x14ac:dyDescent="0.15">
      <c r="A333" s="11"/>
      <c r="B333" s="32"/>
      <c r="C333" s="11"/>
      <c r="D333" s="13"/>
      <c r="E333" s="13"/>
      <c r="F333" s="11"/>
      <c r="G333" s="11"/>
      <c r="H333" s="11"/>
      <c r="I333" s="11"/>
      <c r="J333" s="11"/>
      <c r="K333" s="11"/>
      <c r="L333" s="11"/>
      <c r="M333" s="11"/>
      <c r="N333" s="11"/>
      <c r="O333" s="11"/>
      <c r="P333" s="11"/>
      <c r="Q333" s="11"/>
      <c r="R333" s="11"/>
      <c r="S333" s="11"/>
      <c r="T333" s="11"/>
      <c r="U333" s="11"/>
      <c r="V333" s="11"/>
      <c r="W333" s="11"/>
      <c r="X333" s="11"/>
      <c r="Y333" s="11"/>
      <c r="Z333" s="11"/>
      <c r="AA333" s="11"/>
      <c r="AB333" s="11"/>
      <c r="AC333" s="11"/>
      <c r="AD333" s="11"/>
      <c r="AE333" s="11"/>
      <c r="AF333" s="11"/>
    </row>
    <row r="334" spans="1:32" x14ac:dyDescent="0.15">
      <c r="A334" s="11"/>
      <c r="B334" s="32"/>
      <c r="C334" s="11"/>
      <c r="D334" s="13"/>
      <c r="E334" s="13"/>
      <c r="F334" s="11"/>
      <c r="G334" s="11"/>
      <c r="H334" s="11"/>
      <c r="I334" s="11"/>
      <c r="J334" s="11"/>
      <c r="K334" s="11"/>
      <c r="L334" s="11"/>
      <c r="M334" s="11"/>
      <c r="N334" s="11"/>
      <c r="O334" s="11"/>
      <c r="P334" s="11"/>
      <c r="Q334" s="11"/>
      <c r="R334" s="11"/>
      <c r="S334" s="11"/>
      <c r="T334" s="11"/>
      <c r="U334" s="11"/>
      <c r="V334" s="11"/>
      <c r="W334" s="11"/>
      <c r="X334" s="11"/>
      <c r="Y334" s="11"/>
      <c r="Z334" s="11"/>
      <c r="AA334" s="11"/>
      <c r="AB334" s="11"/>
      <c r="AC334" s="11"/>
      <c r="AD334" s="11"/>
      <c r="AE334" s="11"/>
      <c r="AF334" s="11"/>
    </row>
    <row r="335" spans="1:32" x14ac:dyDescent="0.15">
      <c r="A335" s="11"/>
      <c r="B335" s="32"/>
      <c r="C335" s="11"/>
      <c r="D335" s="13"/>
      <c r="E335" s="13"/>
      <c r="F335" s="11"/>
      <c r="G335" s="11"/>
      <c r="H335" s="11"/>
      <c r="I335" s="11"/>
      <c r="J335" s="11"/>
      <c r="K335" s="11"/>
      <c r="L335" s="11"/>
      <c r="M335" s="11"/>
      <c r="N335" s="11"/>
      <c r="O335" s="11"/>
      <c r="P335" s="11"/>
      <c r="Q335" s="11"/>
      <c r="R335" s="11"/>
      <c r="S335" s="11"/>
      <c r="T335" s="11"/>
      <c r="U335" s="11"/>
      <c r="V335" s="11"/>
      <c r="W335" s="11"/>
      <c r="X335" s="11"/>
      <c r="Y335" s="11"/>
      <c r="Z335" s="11"/>
      <c r="AA335" s="11"/>
      <c r="AB335" s="11"/>
      <c r="AC335" s="11"/>
      <c r="AD335" s="11"/>
      <c r="AE335" s="11"/>
      <c r="AF335" s="11"/>
    </row>
    <row r="336" spans="1:32" x14ac:dyDescent="0.15">
      <c r="A336" s="11"/>
      <c r="B336" s="32"/>
      <c r="C336" s="11"/>
      <c r="D336" s="13"/>
      <c r="E336" s="13"/>
      <c r="F336" s="11"/>
      <c r="G336" s="11"/>
      <c r="H336" s="11"/>
      <c r="I336" s="11"/>
      <c r="J336" s="11"/>
      <c r="K336" s="11"/>
      <c r="L336" s="11"/>
      <c r="M336" s="11"/>
      <c r="N336" s="11"/>
      <c r="O336" s="11"/>
      <c r="P336" s="11"/>
      <c r="Q336" s="11"/>
      <c r="R336" s="11"/>
      <c r="S336" s="11"/>
      <c r="T336" s="11"/>
      <c r="U336" s="11"/>
      <c r="V336" s="11"/>
      <c r="W336" s="11"/>
      <c r="X336" s="11"/>
      <c r="Y336" s="11"/>
      <c r="Z336" s="11"/>
      <c r="AA336" s="11"/>
      <c r="AB336" s="11"/>
      <c r="AC336" s="11"/>
      <c r="AD336" s="11"/>
      <c r="AE336" s="11"/>
      <c r="AF336" s="11"/>
    </row>
    <row r="337" spans="1:32" x14ac:dyDescent="0.15">
      <c r="A337" s="11"/>
      <c r="B337" s="32"/>
      <c r="C337" s="11"/>
      <c r="D337" s="13"/>
      <c r="E337" s="13"/>
      <c r="F337" s="11"/>
      <c r="G337" s="11"/>
      <c r="H337" s="11"/>
      <c r="I337" s="11"/>
      <c r="J337" s="11"/>
      <c r="K337" s="11"/>
      <c r="L337" s="11"/>
      <c r="M337" s="11"/>
      <c r="N337" s="11"/>
      <c r="O337" s="11"/>
      <c r="P337" s="11"/>
      <c r="Q337" s="11"/>
      <c r="R337" s="11"/>
      <c r="S337" s="11"/>
      <c r="T337" s="11"/>
      <c r="U337" s="11"/>
      <c r="V337" s="11"/>
      <c r="W337" s="11"/>
      <c r="X337" s="11"/>
      <c r="Y337" s="11"/>
      <c r="Z337" s="11"/>
      <c r="AA337" s="11"/>
      <c r="AB337" s="11"/>
      <c r="AC337" s="11"/>
      <c r="AD337" s="11"/>
      <c r="AE337" s="11"/>
      <c r="AF337" s="11"/>
    </row>
    <row r="338" spans="1:32" x14ac:dyDescent="0.15">
      <c r="A338" s="11"/>
      <c r="B338" s="32"/>
      <c r="C338" s="11"/>
      <c r="D338" s="13"/>
      <c r="E338" s="13"/>
      <c r="F338" s="11"/>
      <c r="G338" s="11"/>
      <c r="H338" s="11"/>
      <c r="I338" s="11"/>
      <c r="J338" s="11"/>
      <c r="K338" s="11"/>
      <c r="L338" s="11"/>
      <c r="M338" s="11"/>
      <c r="N338" s="11"/>
      <c r="O338" s="11"/>
      <c r="P338" s="11"/>
      <c r="Q338" s="11"/>
      <c r="R338" s="11"/>
      <c r="S338" s="11"/>
      <c r="T338" s="11"/>
      <c r="U338" s="11"/>
      <c r="V338" s="11"/>
      <c r="W338" s="11"/>
      <c r="X338" s="11"/>
      <c r="Y338" s="11"/>
      <c r="Z338" s="11"/>
      <c r="AA338" s="11"/>
      <c r="AB338" s="11"/>
      <c r="AC338" s="11"/>
      <c r="AD338" s="11"/>
      <c r="AE338" s="11"/>
      <c r="AF338" s="11"/>
    </row>
    <row r="339" spans="1:32" x14ac:dyDescent="0.15">
      <c r="A339" s="11"/>
      <c r="B339" s="32"/>
      <c r="C339" s="11"/>
      <c r="D339" s="13"/>
      <c r="E339" s="13"/>
      <c r="F339" s="11"/>
      <c r="G339" s="11"/>
      <c r="H339" s="11"/>
      <c r="I339" s="11"/>
      <c r="J339" s="11"/>
      <c r="K339" s="11"/>
      <c r="L339" s="11"/>
      <c r="M339" s="11"/>
      <c r="N339" s="11"/>
      <c r="O339" s="11"/>
      <c r="P339" s="11"/>
      <c r="Q339" s="11"/>
      <c r="R339" s="11"/>
      <c r="S339" s="11"/>
      <c r="T339" s="11"/>
      <c r="U339" s="11"/>
      <c r="V339" s="11"/>
      <c r="W339" s="11"/>
      <c r="X339" s="11"/>
      <c r="Y339" s="11"/>
      <c r="Z339" s="11"/>
      <c r="AA339" s="11"/>
      <c r="AB339" s="11"/>
      <c r="AC339" s="11"/>
      <c r="AD339" s="11"/>
      <c r="AE339" s="11"/>
      <c r="AF339" s="11"/>
    </row>
    <row r="340" spans="1:32" x14ac:dyDescent="0.15">
      <c r="A340" s="11"/>
      <c r="B340" s="32"/>
      <c r="C340" s="11"/>
      <c r="D340" s="13"/>
      <c r="E340" s="13"/>
      <c r="F340" s="11"/>
      <c r="G340" s="11"/>
      <c r="H340" s="11"/>
      <c r="I340" s="11"/>
      <c r="J340" s="11"/>
      <c r="K340" s="11"/>
      <c r="L340" s="11"/>
      <c r="M340" s="11"/>
      <c r="N340" s="11"/>
      <c r="O340" s="11"/>
      <c r="P340" s="11"/>
      <c r="Q340" s="11"/>
      <c r="R340" s="11"/>
      <c r="S340" s="11"/>
      <c r="T340" s="11"/>
      <c r="U340" s="11"/>
      <c r="V340" s="11"/>
      <c r="W340" s="11"/>
      <c r="X340" s="11"/>
      <c r="Y340" s="11"/>
      <c r="Z340" s="11"/>
      <c r="AA340" s="11"/>
      <c r="AB340" s="11"/>
      <c r="AC340" s="11"/>
      <c r="AD340" s="11"/>
      <c r="AE340" s="11"/>
      <c r="AF340" s="11"/>
    </row>
    <row r="341" spans="1:32" x14ac:dyDescent="0.15">
      <c r="A341" s="11"/>
      <c r="B341" s="32"/>
      <c r="C341" s="11"/>
      <c r="D341" s="13"/>
      <c r="E341" s="13"/>
      <c r="F341" s="11"/>
      <c r="G341" s="11"/>
      <c r="H341" s="11"/>
      <c r="I341" s="11"/>
      <c r="J341" s="11"/>
      <c r="K341" s="11"/>
      <c r="L341" s="11"/>
      <c r="M341" s="11"/>
      <c r="N341" s="11"/>
      <c r="O341" s="11"/>
      <c r="P341" s="11"/>
      <c r="Q341" s="11"/>
      <c r="R341" s="11"/>
      <c r="S341" s="11"/>
      <c r="T341" s="11"/>
      <c r="U341" s="11"/>
      <c r="V341" s="11"/>
      <c r="W341" s="11"/>
      <c r="X341" s="11"/>
      <c r="Y341" s="11"/>
      <c r="Z341" s="11"/>
      <c r="AA341" s="11"/>
      <c r="AB341" s="11"/>
      <c r="AC341" s="11"/>
      <c r="AD341" s="11"/>
      <c r="AE341" s="11"/>
      <c r="AF341" s="11"/>
    </row>
    <row r="342" spans="1:32" x14ac:dyDescent="0.15">
      <c r="A342" s="11"/>
      <c r="B342" s="32"/>
      <c r="C342" s="11"/>
      <c r="D342" s="13"/>
      <c r="E342" s="13"/>
      <c r="F342" s="11"/>
      <c r="G342" s="11"/>
      <c r="H342" s="11"/>
      <c r="I342" s="11"/>
      <c r="J342" s="11"/>
      <c r="K342" s="11"/>
      <c r="L342" s="11"/>
      <c r="M342" s="11"/>
      <c r="N342" s="11"/>
      <c r="O342" s="11"/>
      <c r="P342" s="11"/>
      <c r="Q342" s="11"/>
      <c r="R342" s="11"/>
      <c r="S342" s="11"/>
      <c r="T342" s="11"/>
      <c r="U342" s="11"/>
      <c r="V342" s="11"/>
      <c r="W342" s="11"/>
      <c r="X342" s="11"/>
      <c r="Y342" s="11"/>
      <c r="Z342" s="11"/>
      <c r="AA342" s="11"/>
      <c r="AB342" s="11"/>
      <c r="AC342" s="11"/>
      <c r="AD342" s="11"/>
      <c r="AE342" s="11"/>
      <c r="AF342" s="11"/>
    </row>
    <row r="343" spans="1:32" x14ac:dyDescent="0.15">
      <c r="A343" s="11"/>
      <c r="B343" s="32"/>
      <c r="C343" s="11"/>
      <c r="D343" s="13"/>
      <c r="E343" s="13"/>
      <c r="F343" s="11"/>
      <c r="G343" s="11"/>
      <c r="H343" s="11"/>
      <c r="I343" s="11"/>
      <c r="J343" s="11"/>
      <c r="K343" s="11"/>
      <c r="L343" s="11"/>
      <c r="M343" s="11"/>
      <c r="N343" s="11"/>
      <c r="O343" s="11"/>
      <c r="P343" s="11"/>
      <c r="Q343" s="11"/>
      <c r="R343" s="11"/>
      <c r="S343" s="11"/>
      <c r="T343" s="11"/>
      <c r="U343" s="11"/>
      <c r="V343" s="11"/>
      <c r="W343" s="11"/>
      <c r="X343" s="11"/>
      <c r="Y343" s="11"/>
      <c r="Z343" s="11"/>
      <c r="AA343" s="11"/>
      <c r="AB343" s="11"/>
      <c r="AC343" s="11"/>
      <c r="AD343" s="11"/>
      <c r="AE343" s="11"/>
      <c r="AF343" s="11"/>
    </row>
    <row r="344" spans="1:32" x14ac:dyDescent="0.15">
      <c r="A344" s="11"/>
      <c r="B344" s="32"/>
      <c r="C344" s="11"/>
      <c r="D344" s="13"/>
      <c r="E344" s="13"/>
      <c r="F344" s="11"/>
      <c r="G344" s="11"/>
      <c r="H344" s="11"/>
      <c r="I344" s="11"/>
      <c r="J344" s="11"/>
      <c r="K344" s="11"/>
      <c r="L344" s="11"/>
      <c r="M344" s="11"/>
      <c r="N344" s="11"/>
      <c r="O344" s="11"/>
      <c r="P344" s="11"/>
      <c r="Q344" s="11"/>
      <c r="R344" s="11"/>
      <c r="S344" s="11"/>
      <c r="T344" s="11"/>
      <c r="U344" s="11"/>
      <c r="V344" s="11"/>
      <c r="W344" s="11"/>
      <c r="X344" s="11"/>
      <c r="Y344" s="11"/>
      <c r="Z344" s="11"/>
      <c r="AA344" s="11"/>
      <c r="AB344" s="11"/>
      <c r="AC344" s="11"/>
      <c r="AD344" s="11"/>
      <c r="AE344" s="11"/>
      <c r="AF344" s="11"/>
    </row>
    <row r="345" spans="1:32" x14ac:dyDescent="0.15">
      <c r="A345" s="11"/>
      <c r="B345" s="32"/>
      <c r="C345" s="11"/>
      <c r="D345" s="13"/>
      <c r="E345" s="13"/>
      <c r="F345" s="11"/>
      <c r="G345" s="11"/>
      <c r="H345" s="11"/>
      <c r="I345" s="11"/>
      <c r="J345" s="11"/>
      <c r="K345" s="11"/>
      <c r="L345" s="11"/>
      <c r="M345" s="11"/>
      <c r="N345" s="11"/>
      <c r="O345" s="11"/>
      <c r="P345" s="11"/>
      <c r="Q345" s="11"/>
      <c r="R345" s="11"/>
      <c r="S345" s="11"/>
      <c r="T345" s="11"/>
      <c r="U345" s="11"/>
      <c r="V345" s="11"/>
      <c r="W345" s="11"/>
      <c r="X345" s="11"/>
      <c r="Y345" s="11"/>
      <c r="Z345" s="11"/>
      <c r="AA345" s="11"/>
      <c r="AB345" s="11"/>
      <c r="AC345" s="11"/>
      <c r="AD345" s="11"/>
      <c r="AE345" s="11"/>
      <c r="AF345" s="11"/>
    </row>
    <row r="346" spans="1:32" x14ac:dyDescent="0.15">
      <c r="A346" s="11"/>
      <c r="B346" s="32"/>
      <c r="C346" s="11"/>
      <c r="D346" s="13"/>
      <c r="E346" s="13"/>
      <c r="F346" s="11"/>
      <c r="G346" s="11"/>
      <c r="H346" s="11"/>
      <c r="I346" s="11"/>
      <c r="J346" s="11"/>
      <c r="K346" s="11"/>
      <c r="L346" s="11"/>
      <c r="M346" s="11"/>
      <c r="N346" s="11"/>
      <c r="O346" s="11"/>
      <c r="P346" s="11"/>
      <c r="Q346" s="11"/>
      <c r="R346" s="11"/>
      <c r="S346" s="11"/>
      <c r="T346" s="11"/>
      <c r="U346" s="11"/>
      <c r="V346" s="11"/>
      <c r="W346" s="11"/>
      <c r="X346" s="11"/>
      <c r="Y346" s="11"/>
      <c r="Z346" s="11"/>
      <c r="AA346" s="11"/>
      <c r="AB346" s="11"/>
      <c r="AC346" s="11"/>
      <c r="AD346" s="11"/>
      <c r="AE346" s="11"/>
      <c r="AF346" s="11"/>
    </row>
    <row r="347" spans="1:32" x14ac:dyDescent="0.15">
      <c r="A347" s="11"/>
      <c r="B347" s="32"/>
      <c r="C347" s="11"/>
      <c r="D347" s="13"/>
      <c r="E347" s="13"/>
      <c r="F347" s="11"/>
      <c r="G347" s="11"/>
      <c r="H347" s="11"/>
      <c r="I347" s="11"/>
      <c r="J347" s="11"/>
      <c r="K347" s="11"/>
      <c r="L347" s="11"/>
      <c r="M347" s="11"/>
      <c r="N347" s="11"/>
      <c r="O347" s="11"/>
      <c r="P347" s="11"/>
      <c r="Q347" s="11"/>
      <c r="R347" s="11"/>
      <c r="S347" s="11"/>
      <c r="T347" s="11"/>
      <c r="U347" s="11"/>
      <c r="V347" s="11"/>
      <c r="W347" s="11"/>
      <c r="X347" s="11"/>
      <c r="Y347" s="11"/>
      <c r="Z347" s="11"/>
      <c r="AA347" s="11"/>
      <c r="AB347" s="11"/>
      <c r="AC347" s="11"/>
      <c r="AD347" s="11"/>
      <c r="AE347" s="11"/>
      <c r="AF347" s="11"/>
    </row>
    <row r="348" spans="1:32" x14ac:dyDescent="0.15">
      <c r="A348" s="11"/>
      <c r="B348" s="32"/>
      <c r="C348" s="11"/>
      <c r="D348" s="13"/>
      <c r="E348" s="13"/>
      <c r="F348" s="11"/>
      <c r="G348" s="11"/>
      <c r="H348" s="11"/>
      <c r="I348" s="11"/>
      <c r="J348" s="11"/>
      <c r="K348" s="11"/>
      <c r="L348" s="11"/>
      <c r="M348" s="11"/>
      <c r="N348" s="11"/>
      <c r="O348" s="11"/>
      <c r="P348" s="11"/>
      <c r="Q348" s="11"/>
      <c r="R348" s="11"/>
      <c r="S348" s="11"/>
      <c r="T348" s="11"/>
      <c r="U348" s="11"/>
      <c r="V348" s="11"/>
      <c r="W348" s="11"/>
      <c r="X348" s="11"/>
      <c r="Y348" s="11"/>
      <c r="Z348" s="11"/>
      <c r="AA348" s="11"/>
      <c r="AB348" s="11"/>
      <c r="AC348" s="11"/>
      <c r="AD348" s="11"/>
      <c r="AE348" s="11"/>
      <c r="AF348" s="11"/>
    </row>
    <row r="349" spans="1:32" x14ac:dyDescent="0.15">
      <c r="A349" s="11"/>
      <c r="B349" s="32"/>
      <c r="C349" s="11"/>
      <c r="D349" s="13"/>
      <c r="E349" s="13"/>
      <c r="F349" s="11"/>
      <c r="G349" s="11"/>
      <c r="H349" s="11"/>
      <c r="I349" s="11"/>
      <c r="J349" s="11"/>
      <c r="K349" s="11"/>
      <c r="L349" s="11"/>
      <c r="M349" s="11"/>
      <c r="N349" s="11"/>
      <c r="O349" s="11"/>
      <c r="P349" s="11"/>
      <c r="Q349" s="11"/>
      <c r="R349" s="11"/>
      <c r="S349" s="11"/>
      <c r="T349" s="11"/>
      <c r="U349" s="11"/>
      <c r="V349" s="11"/>
      <c r="W349" s="11"/>
      <c r="X349" s="11"/>
      <c r="Y349" s="11"/>
      <c r="Z349" s="11"/>
      <c r="AA349" s="11"/>
      <c r="AB349" s="11"/>
      <c r="AC349" s="11"/>
      <c r="AD349" s="11"/>
      <c r="AE349" s="11"/>
      <c r="AF349" s="11"/>
    </row>
    <row r="350" spans="1:32" x14ac:dyDescent="0.15">
      <c r="A350" s="11"/>
      <c r="B350" s="32"/>
      <c r="C350" s="11"/>
      <c r="D350" s="13"/>
      <c r="E350" s="13"/>
      <c r="F350" s="11"/>
      <c r="G350" s="11"/>
      <c r="H350" s="11"/>
      <c r="I350" s="11"/>
      <c r="J350" s="11"/>
      <c r="K350" s="11"/>
      <c r="L350" s="11"/>
      <c r="M350" s="11"/>
      <c r="N350" s="11"/>
      <c r="O350" s="11"/>
      <c r="P350" s="11"/>
      <c r="Q350" s="11"/>
      <c r="R350" s="11"/>
      <c r="S350" s="11"/>
      <c r="T350" s="11"/>
      <c r="U350" s="11"/>
      <c r="V350" s="11"/>
      <c r="W350" s="11"/>
      <c r="X350" s="11"/>
      <c r="Y350" s="11"/>
      <c r="Z350" s="11"/>
      <c r="AA350" s="11"/>
      <c r="AB350" s="11"/>
      <c r="AC350" s="11"/>
      <c r="AD350" s="11"/>
      <c r="AE350" s="11"/>
      <c r="AF350" s="11"/>
    </row>
    <row r="351" spans="1:32" x14ac:dyDescent="0.15">
      <c r="A351" s="11"/>
      <c r="B351" s="32"/>
      <c r="C351" s="11"/>
      <c r="D351" s="13"/>
      <c r="E351" s="13"/>
      <c r="F351" s="11"/>
      <c r="G351" s="11"/>
      <c r="H351" s="11"/>
      <c r="I351" s="11"/>
      <c r="J351" s="11"/>
      <c r="K351" s="11"/>
      <c r="L351" s="11"/>
      <c r="M351" s="11"/>
      <c r="N351" s="11"/>
      <c r="O351" s="11"/>
      <c r="P351" s="11"/>
      <c r="Q351" s="11"/>
      <c r="R351" s="11"/>
      <c r="S351" s="11"/>
      <c r="T351" s="11"/>
      <c r="U351" s="11"/>
      <c r="V351" s="11"/>
      <c r="W351" s="11"/>
      <c r="X351" s="11"/>
      <c r="Y351" s="11"/>
      <c r="Z351" s="11"/>
      <c r="AA351" s="11"/>
      <c r="AB351" s="11"/>
      <c r="AC351" s="11"/>
      <c r="AD351" s="11"/>
      <c r="AE351" s="11"/>
      <c r="AF351" s="11"/>
    </row>
    <row r="352" spans="1:32" x14ac:dyDescent="0.15">
      <c r="A352" s="11"/>
      <c r="B352" s="32"/>
      <c r="C352" s="11"/>
      <c r="D352" s="13"/>
      <c r="E352" s="13"/>
      <c r="F352" s="11"/>
      <c r="G352" s="11"/>
      <c r="H352" s="11"/>
      <c r="I352" s="11"/>
      <c r="J352" s="11"/>
      <c r="K352" s="11"/>
      <c r="L352" s="11"/>
      <c r="M352" s="11"/>
      <c r="N352" s="11"/>
      <c r="O352" s="11"/>
      <c r="P352" s="11"/>
      <c r="Q352" s="11"/>
      <c r="R352" s="11"/>
      <c r="S352" s="11"/>
      <c r="T352" s="11"/>
      <c r="U352" s="11"/>
      <c r="V352" s="11"/>
      <c r="W352" s="11"/>
      <c r="X352" s="11"/>
      <c r="Y352" s="11"/>
      <c r="Z352" s="11"/>
      <c r="AA352" s="11"/>
      <c r="AB352" s="11"/>
      <c r="AC352" s="11"/>
      <c r="AD352" s="11"/>
      <c r="AE352" s="11"/>
      <c r="AF352" s="11"/>
    </row>
    <row r="353" spans="1:32" x14ac:dyDescent="0.15">
      <c r="A353" s="11"/>
      <c r="B353" s="32"/>
      <c r="C353" s="11"/>
      <c r="D353" s="13"/>
      <c r="E353" s="13"/>
      <c r="F353" s="11"/>
      <c r="G353" s="11"/>
      <c r="H353" s="11"/>
      <c r="I353" s="11"/>
      <c r="J353" s="11"/>
      <c r="K353" s="11"/>
      <c r="L353" s="11"/>
      <c r="M353" s="11"/>
      <c r="N353" s="11"/>
      <c r="O353" s="11"/>
      <c r="P353" s="11"/>
      <c r="Q353" s="11"/>
      <c r="R353" s="11"/>
      <c r="S353" s="11"/>
      <c r="T353" s="11"/>
      <c r="U353" s="11"/>
      <c r="V353" s="11"/>
      <c r="W353" s="11"/>
      <c r="X353" s="11"/>
      <c r="Y353" s="11"/>
      <c r="Z353" s="11"/>
      <c r="AA353" s="11"/>
      <c r="AB353" s="11"/>
      <c r="AC353" s="11"/>
      <c r="AD353" s="11"/>
      <c r="AE353" s="11"/>
      <c r="AF353" s="11"/>
    </row>
    <row r="354" spans="1:32" x14ac:dyDescent="0.15">
      <c r="A354" s="11"/>
      <c r="B354" s="32"/>
      <c r="C354" s="11"/>
      <c r="D354" s="13"/>
      <c r="E354" s="13"/>
      <c r="F354" s="11"/>
      <c r="G354" s="11"/>
      <c r="H354" s="11"/>
      <c r="I354" s="11"/>
      <c r="J354" s="11"/>
      <c r="K354" s="11"/>
      <c r="L354" s="11"/>
      <c r="M354" s="11"/>
      <c r="N354" s="11"/>
      <c r="O354" s="11"/>
      <c r="P354" s="11"/>
      <c r="Q354" s="11"/>
      <c r="R354" s="11"/>
      <c r="S354" s="11"/>
      <c r="T354" s="11"/>
      <c r="U354" s="11"/>
      <c r="V354" s="11"/>
      <c r="W354" s="11"/>
      <c r="X354" s="11"/>
      <c r="Y354" s="11"/>
      <c r="Z354" s="11"/>
      <c r="AA354" s="11"/>
      <c r="AB354" s="11"/>
      <c r="AC354" s="11"/>
      <c r="AD354" s="11"/>
      <c r="AE354" s="11"/>
      <c r="AF354" s="11"/>
    </row>
    <row r="355" spans="1:32" x14ac:dyDescent="0.15">
      <c r="A355" s="11"/>
      <c r="B355" s="32"/>
      <c r="C355" s="11"/>
      <c r="D355" s="13"/>
      <c r="E355" s="13"/>
      <c r="F355" s="11"/>
      <c r="G355" s="11"/>
      <c r="H355" s="11"/>
      <c r="I355" s="11"/>
      <c r="J355" s="11"/>
      <c r="K355" s="11"/>
      <c r="L355" s="11"/>
      <c r="M355" s="11"/>
      <c r="N355" s="11"/>
      <c r="O355" s="11"/>
      <c r="P355" s="11"/>
      <c r="Q355" s="11"/>
      <c r="R355" s="11"/>
      <c r="S355" s="11"/>
      <c r="T355" s="11"/>
      <c r="U355" s="11"/>
      <c r="V355" s="11"/>
      <c r="W355" s="11"/>
      <c r="X355" s="11"/>
      <c r="Y355" s="11"/>
      <c r="Z355" s="11"/>
      <c r="AA355" s="11"/>
      <c r="AB355" s="11"/>
      <c r="AC355" s="11"/>
      <c r="AD355" s="11"/>
      <c r="AE355" s="11"/>
      <c r="AF355" s="11"/>
    </row>
    <row r="356" spans="1:32" x14ac:dyDescent="0.15">
      <c r="A356" s="11"/>
      <c r="B356" s="32"/>
      <c r="C356" s="11"/>
      <c r="D356" s="13"/>
      <c r="E356" s="13"/>
      <c r="F356" s="11"/>
      <c r="G356" s="11"/>
      <c r="H356" s="11"/>
      <c r="I356" s="11"/>
      <c r="J356" s="11"/>
      <c r="K356" s="11"/>
      <c r="L356" s="11"/>
      <c r="M356" s="11"/>
      <c r="N356" s="11"/>
      <c r="O356" s="11"/>
      <c r="P356" s="11"/>
      <c r="Q356" s="11"/>
      <c r="R356" s="11"/>
      <c r="S356" s="11"/>
      <c r="T356" s="11"/>
      <c r="U356" s="11"/>
      <c r="V356" s="11"/>
      <c r="W356" s="11"/>
      <c r="X356" s="11"/>
      <c r="Y356" s="11"/>
      <c r="Z356" s="11"/>
      <c r="AA356" s="11"/>
      <c r="AB356" s="11"/>
      <c r="AC356" s="11"/>
      <c r="AD356" s="11"/>
      <c r="AE356" s="11"/>
      <c r="AF356" s="11"/>
    </row>
    <row r="357" spans="1:32" x14ac:dyDescent="0.15">
      <c r="A357" s="11"/>
      <c r="B357" s="32"/>
      <c r="C357" s="11"/>
      <c r="D357" s="13"/>
      <c r="E357" s="13"/>
      <c r="F357" s="11"/>
      <c r="G357" s="11"/>
      <c r="H357" s="11"/>
      <c r="I357" s="11"/>
      <c r="J357" s="11"/>
      <c r="K357" s="11"/>
      <c r="L357" s="11"/>
      <c r="M357" s="11"/>
      <c r="N357" s="11"/>
      <c r="O357" s="11"/>
      <c r="P357" s="11"/>
      <c r="Q357" s="11"/>
      <c r="R357" s="11"/>
      <c r="S357" s="11"/>
      <c r="T357" s="11"/>
      <c r="U357" s="11"/>
      <c r="V357" s="11"/>
      <c r="W357" s="11"/>
      <c r="X357" s="11"/>
      <c r="Y357" s="11"/>
      <c r="Z357" s="11"/>
      <c r="AA357" s="11"/>
      <c r="AB357" s="11"/>
      <c r="AC357" s="11"/>
      <c r="AD357" s="11"/>
      <c r="AE357" s="11"/>
      <c r="AF357" s="11"/>
    </row>
    <row r="358" spans="1:32" x14ac:dyDescent="0.15">
      <c r="A358" s="11"/>
      <c r="B358" s="32"/>
      <c r="C358" s="11"/>
      <c r="D358" s="13"/>
      <c r="E358" s="13"/>
      <c r="F358" s="11"/>
      <c r="G358" s="11"/>
      <c r="H358" s="11"/>
      <c r="I358" s="11"/>
      <c r="J358" s="11"/>
      <c r="K358" s="11"/>
      <c r="L358" s="11"/>
      <c r="M358" s="11"/>
      <c r="N358" s="11"/>
      <c r="O358" s="11"/>
      <c r="P358" s="11"/>
      <c r="Q358" s="11"/>
      <c r="R358" s="11"/>
      <c r="S358" s="11"/>
      <c r="T358" s="11"/>
      <c r="U358" s="11"/>
      <c r="V358" s="11"/>
      <c r="W358" s="11"/>
      <c r="X358" s="11"/>
      <c r="Y358" s="11"/>
      <c r="Z358" s="11"/>
      <c r="AA358" s="11"/>
      <c r="AB358" s="11"/>
      <c r="AC358" s="11"/>
      <c r="AD358" s="11"/>
      <c r="AE358" s="11"/>
      <c r="AF358" s="11"/>
    </row>
    <row r="359" spans="1:32" x14ac:dyDescent="0.15">
      <c r="A359" s="11"/>
      <c r="B359" s="32"/>
      <c r="C359" s="11"/>
      <c r="D359" s="13"/>
      <c r="E359" s="13"/>
      <c r="F359" s="11"/>
      <c r="G359" s="11"/>
      <c r="H359" s="11"/>
      <c r="I359" s="11"/>
      <c r="J359" s="11"/>
      <c r="K359" s="11"/>
      <c r="L359" s="11"/>
      <c r="M359" s="11"/>
      <c r="N359" s="11"/>
      <c r="O359" s="11"/>
      <c r="P359" s="11"/>
      <c r="Q359" s="11"/>
      <c r="R359" s="11"/>
      <c r="S359" s="11"/>
      <c r="T359" s="11"/>
      <c r="U359" s="11"/>
      <c r="V359" s="11"/>
      <c r="W359" s="11"/>
      <c r="X359" s="11"/>
      <c r="Y359" s="11"/>
      <c r="Z359" s="11"/>
      <c r="AA359" s="11"/>
      <c r="AB359" s="11"/>
      <c r="AC359" s="11"/>
      <c r="AD359" s="11"/>
      <c r="AE359" s="11"/>
      <c r="AF359" s="11"/>
    </row>
    <row r="360" spans="1:32" x14ac:dyDescent="0.15">
      <c r="A360" s="11"/>
      <c r="B360" s="32"/>
      <c r="C360" s="11"/>
      <c r="D360" s="13"/>
      <c r="E360" s="13"/>
      <c r="F360" s="11"/>
      <c r="G360" s="11"/>
      <c r="H360" s="11"/>
      <c r="I360" s="11"/>
      <c r="J360" s="11"/>
      <c r="K360" s="11"/>
      <c r="L360" s="11"/>
      <c r="M360" s="11"/>
      <c r="N360" s="11"/>
      <c r="O360" s="11"/>
      <c r="P360" s="11"/>
      <c r="Q360" s="11"/>
      <c r="R360" s="11"/>
      <c r="S360" s="11"/>
      <c r="T360" s="11"/>
      <c r="U360" s="11"/>
      <c r="V360" s="11"/>
      <c r="W360" s="11"/>
      <c r="X360" s="11"/>
      <c r="Y360" s="11"/>
      <c r="Z360" s="11"/>
      <c r="AA360" s="11"/>
      <c r="AB360" s="11"/>
      <c r="AC360" s="11"/>
      <c r="AD360" s="11"/>
      <c r="AE360" s="11"/>
      <c r="AF360" s="11"/>
    </row>
    <row r="361" spans="1:32" x14ac:dyDescent="0.15">
      <c r="A361" s="11"/>
      <c r="B361" s="32"/>
      <c r="C361" s="11"/>
      <c r="D361" s="13"/>
      <c r="E361" s="13"/>
      <c r="F361" s="11"/>
      <c r="G361" s="11"/>
      <c r="H361" s="11"/>
      <c r="I361" s="11"/>
      <c r="J361" s="11"/>
      <c r="K361" s="11"/>
      <c r="L361" s="11"/>
      <c r="M361" s="11"/>
      <c r="N361" s="11"/>
      <c r="O361" s="11"/>
      <c r="P361" s="11"/>
      <c r="Q361" s="11"/>
      <c r="R361" s="11"/>
      <c r="S361" s="11"/>
      <c r="T361" s="11"/>
      <c r="U361" s="11"/>
      <c r="V361" s="11"/>
      <c r="W361" s="11"/>
      <c r="X361" s="11"/>
      <c r="Y361" s="11"/>
      <c r="Z361" s="11"/>
      <c r="AA361" s="11"/>
      <c r="AB361" s="11"/>
      <c r="AC361" s="11"/>
      <c r="AD361" s="11"/>
      <c r="AE361" s="11"/>
      <c r="AF361" s="11"/>
    </row>
    <row r="362" spans="1:32" x14ac:dyDescent="0.15">
      <c r="A362" s="11"/>
      <c r="B362" s="32"/>
      <c r="C362" s="11"/>
      <c r="D362" s="13"/>
      <c r="E362" s="13"/>
      <c r="F362" s="11"/>
      <c r="G362" s="11"/>
      <c r="H362" s="11"/>
      <c r="I362" s="11"/>
      <c r="J362" s="11"/>
      <c r="K362" s="11"/>
      <c r="L362" s="11"/>
      <c r="M362" s="11"/>
      <c r="N362" s="11"/>
      <c r="O362" s="11"/>
      <c r="P362" s="11"/>
      <c r="Q362" s="11"/>
      <c r="R362" s="11"/>
      <c r="S362" s="11"/>
      <c r="T362" s="11"/>
      <c r="U362" s="11"/>
      <c r="V362" s="11"/>
      <c r="W362" s="11"/>
      <c r="X362" s="11"/>
      <c r="Y362" s="11"/>
      <c r="Z362" s="11"/>
      <c r="AA362" s="11"/>
      <c r="AB362" s="11"/>
      <c r="AC362" s="11"/>
      <c r="AD362" s="11"/>
      <c r="AE362" s="11"/>
      <c r="AF362" s="11"/>
    </row>
    <row r="363" spans="1:32" x14ac:dyDescent="0.15">
      <c r="A363" s="11"/>
      <c r="B363" s="32"/>
      <c r="C363" s="11"/>
      <c r="D363" s="13"/>
      <c r="E363" s="13"/>
      <c r="F363" s="11"/>
      <c r="G363" s="11"/>
      <c r="H363" s="11"/>
      <c r="I363" s="11"/>
      <c r="J363" s="11"/>
      <c r="K363" s="11"/>
      <c r="L363" s="11"/>
      <c r="M363" s="11"/>
      <c r="N363" s="11"/>
      <c r="O363" s="11"/>
      <c r="P363" s="11"/>
      <c r="Q363" s="11"/>
      <c r="R363" s="11"/>
      <c r="S363" s="11"/>
      <c r="T363" s="11"/>
      <c r="U363" s="11"/>
      <c r="V363" s="11"/>
      <c r="W363" s="11"/>
      <c r="X363" s="11"/>
      <c r="Y363" s="11"/>
      <c r="Z363" s="11"/>
      <c r="AA363" s="11"/>
      <c r="AB363" s="11"/>
      <c r="AC363" s="11"/>
      <c r="AD363" s="11"/>
      <c r="AE363" s="11"/>
      <c r="AF363" s="11"/>
    </row>
    <row r="364" spans="1:32" x14ac:dyDescent="0.15">
      <c r="A364" s="11"/>
      <c r="B364" s="32"/>
      <c r="C364" s="11"/>
      <c r="D364" s="13"/>
      <c r="E364" s="13"/>
      <c r="F364" s="11"/>
      <c r="G364" s="11"/>
      <c r="H364" s="11"/>
      <c r="I364" s="11"/>
      <c r="J364" s="11"/>
      <c r="K364" s="11"/>
      <c r="L364" s="11"/>
      <c r="M364" s="11"/>
      <c r="N364" s="11"/>
      <c r="O364" s="11"/>
      <c r="P364" s="11"/>
      <c r="Q364" s="11"/>
      <c r="R364" s="11"/>
      <c r="S364" s="11"/>
      <c r="T364" s="11"/>
      <c r="U364" s="11"/>
      <c r="V364" s="11"/>
      <c r="W364" s="11"/>
      <c r="X364" s="11"/>
      <c r="Y364" s="11"/>
      <c r="Z364" s="11"/>
      <c r="AA364" s="11"/>
      <c r="AB364" s="11"/>
      <c r="AC364" s="11"/>
      <c r="AD364" s="11"/>
      <c r="AE364" s="11"/>
      <c r="AF364" s="11"/>
    </row>
    <row r="365" spans="1:32" x14ac:dyDescent="0.15">
      <c r="A365" s="11"/>
      <c r="B365" s="32"/>
      <c r="C365" s="11"/>
      <c r="D365" s="13"/>
      <c r="E365" s="13"/>
      <c r="F365" s="11"/>
      <c r="G365" s="11"/>
      <c r="H365" s="11"/>
      <c r="I365" s="11"/>
      <c r="J365" s="11"/>
      <c r="K365" s="11"/>
      <c r="L365" s="11"/>
      <c r="M365" s="11"/>
      <c r="N365" s="11"/>
      <c r="O365" s="11"/>
      <c r="P365" s="11"/>
      <c r="Q365" s="11"/>
      <c r="R365" s="11"/>
      <c r="S365" s="11"/>
      <c r="T365" s="11"/>
      <c r="U365" s="11"/>
      <c r="V365" s="11"/>
      <c r="W365" s="11"/>
      <c r="X365" s="11"/>
      <c r="Y365" s="11"/>
      <c r="Z365" s="11"/>
      <c r="AA365" s="11"/>
      <c r="AB365" s="11"/>
      <c r="AC365" s="11"/>
      <c r="AD365" s="11"/>
      <c r="AE365" s="11"/>
      <c r="AF365" s="11"/>
    </row>
    <row r="366" spans="1:32" x14ac:dyDescent="0.15">
      <c r="A366" s="11"/>
      <c r="B366" s="32"/>
      <c r="C366" s="11"/>
      <c r="D366" s="13"/>
      <c r="E366" s="13"/>
      <c r="F366" s="11"/>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row>
    <row r="367" spans="1:32" x14ac:dyDescent="0.15">
      <c r="A367" s="11"/>
      <c r="B367" s="32"/>
      <c r="C367" s="11"/>
      <c r="D367" s="13"/>
      <c r="E367" s="13"/>
      <c r="F367" s="11"/>
      <c r="G367" s="11"/>
      <c r="H367" s="11"/>
      <c r="I367" s="11"/>
      <c r="J367" s="11"/>
      <c r="K367" s="11"/>
      <c r="L367" s="11"/>
      <c r="M367" s="11"/>
      <c r="N367" s="11"/>
      <c r="O367" s="11"/>
      <c r="P367" s="11"/>
      <c r="Q367" s="11"/>
      <c r="R367" s="11"/>
      <c r="S367" s="11"/>
      <c r="T367" s="11"/>
      <c r="U367" s="11"/>
      <c r="V367" s="11"/>
      <c r="W367" s="11"/>
      <c r="X367" s="11"/>
      <c r="Y367" s="11"/>
      <c r="Z367" s="11"/>
      <c r="AA367" s="11"/>
      <c r="AB367" s="11"/>
      <c r="AC367" s="11"/>
      <c r="AD367" s="11"/>
      <c r="AE367" s="11"/>
      <c r="AF367" s="11"/>
    </row>
    <row r="368" spans="1:32" x14ac:dyDescent="0.15">
      <c r="A368" s="11"/>
      <c r="B368" s="32"/>
      <c r="C368" s="11"/>
      <c r="D368" s="13"/>
      <c r="E368" s="13"/>
      <c r="F368" s="11"/>
      <c r="G368" s="11"/>
      <c r="H368" s="11"/>
      <c r="I368" s="11"/>
      <c r="J368" s="11"/>
      <c r="K368" s="11"/>
      <c r="L368" s="11"/>
      <c r="M368" s="11"/>
      <c r="N368" s="11"/>
      <c r="O368" s="11"/>
      <c r="P368" s="11"/>
      <c r="Q368" s="11"/>
      <c r="R368" s="11"/>
      <c r="S368" s="11"/>
      <c r="T368" s="11"/>
      <c r="U368" s="11"/>
      <c r="V368" s="11"/>
      <c r="W368" s="11"/>
      <c r="X368" s="11"/>
      <c r="Y368" s="11"/>
      <c r="Z368" s="11"/>
      <c r="AA368" s="11"/>
      <c r="AB368" s="11"/>
      <c r="AC368" s="11"/>
      <c r="AD368" s="11"/>
      <c r="AE368" s="11"/>
      <c r="AF368" s="11"/>
    </row>
    <row r="369" spans="1:32" x14ac:dyDescent="0.15">
      <c r="A369" s="11"/>
      <c r="B369" s="32"/>
      <c r="C369" s="11"/>
      <c r="D369" s="13"/>
      <c r="E369" s="13"/>
      <c r="F369" s="11"/>
      <c r="G369" s="11"/>
      <c r="H369" s="11"/>
      <c r="I369" s="11"/>
      <c r="J369" s="11"/>
      <c r="K369" s="11"/>
      <c r="L369" s="11"/>
      <c r="M369" s="11"/>
      <c r="N369" s="11"/>
      <c r="O369" s="11"/>
      <c r="P369" s="11"/>
      <c r="Q369" s="11"/>
      <c r="R369" s="11"/>
      <c r="S369" s="11"/>
      <c r="T369" s="11"/>
      <c r="U369" s="11"/>
      <c r="V369" s="11"/>
      <c r="W369" s="11"/>
      <c r="X369" s="11"/>
      <c r="Y369" s="11"/>
      <c r="Z369" s="11"/>
      <c r="AA369" s="11"/>
      <c r="AB369" s="11"/>
      <c r="AC369" s="11"/>
      <c r="AD369" s="11"/>
      <c r="AE369" s="11"/>
      <c r="AF369" s="11"/>
    </row>
    <row r="370" spans="1:32" x14ac:dyDescent="0.15">
      <c r="A370" s="11"/>
      <c r="B370" s="32"/>
      <c r="C370" s="11"/>
      <c r="D370" s="13"/>
      <c r="E370" s="13"/>
      <c r="F370" s="11"/>
      <c r="G370" s="11"/>
      <c r="H370" s="11"/>
      <c r="I370" s="11"/>
      <c r="J370" s="11"/>
      <c r="K370" s="11"/>
      <c r="L370" s="11"/>
      <c r="M370" s="11"/>
      <c r="N370" s="11"/>
      <c r="O370" s="11"/>
      <c r="P370" s="11"/>
      <c r="Q370" s="11"/>
      <c r="R370" s="11"/>
      <c r="S370" s="11"/>
      <c r="T370" s="11"/>
      <c r="U370" s="11"/>
      <c r="V370" s="11"/>
      <c r="W370" s="11"/>
      <c r="X370" s="11"/>
      <c r="Y370" s="11"/>
      <c r="Z370" s="11"/>
      <c r="AA370" s="11"/>
      <c r="AB370" s="11"/>
      <c r="AC370" s="11"/>
      <c r="AD370" s="11"/>
      <c r="AE370" s="11"/>
      <c r="AF370" s="11"/>
    </row>
    <row r="371" spans="1:32" x14ac:dyDescent="0.15">
      <c r="A371" s="11"/>
      <c r="B371" s="32"/>
      <c r="C371" s="11"/>
      <c r="D371" s="13"/>
      <c r="E371" s="13"/>
      <c r="F371" s="11"/>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row>
    <row r="372" spans="1:32" x14ac:dyDescent="0.15">
      <c r="A372" s="11"/>
      <c r="B372" s="32"/>
      <c r="C372" s="11"/>
      <c r="D372" s="13"/>
      <c r="E372" s="13"/>
      <c r="F372" s="11"/>
      <c r="G372" s="11"/>
      <c r="H372" s="11"/>
      <c r="I372" s="11"/>
      <c r="J372" s="11"/>
      <c r="K372" s="11"/>
      <c r="L372" s="11"/>
      <c r="M372" s="11"/>
      <c r="N372" s="11"/>
      <c r="O372" s="11"/>
      <c r="P372" s="11"/>
      <c r="Q372" s="11"/>
      <c r="R372" s="11"/>
      <c r="S372" s="11"/>
      <c r="T372" s="11"/>
      <c r="U372" s="11"/>
      <c r="V372" s="11"/>
      <c r="W372" s="11"/>
      <c r="X372" s="11"/>
      <c r="Y372" s="11"/>
      <c r="Z372" s="11"/>
      <c r="AA372" s="11"/>
      <c r="AB372" s="11"/>
      <c r="AC372" s="11"/>
      <c r="AD372" s="11"/>
      <c r="AE372" s="11"/>
      <c r="AF372" s="11"/>
    </row>
    <row r="373" spans="1:32" x14ac:dyDescent="0.15">
      <c r="A373" s="11"/>
      <c r="B373" s="32"/>
      <c r="C373" s="11"/>
      <c r="D373" s="13"/>
      <c r="E373" s="13"/>
      <c r="F373" s="11"/>
      <c r="G373" s="11"/>
      <c r="H373" s="11"/>
      <c r="I373" s="11"/>
      <c r="J373" s="11"/>
      <c r="K373" s="11"/>
      <c r="L373" s="11"/>
      <c r="M373" s="11"/>
      <c r="N373" s="11"/>
      <c r="O373" s="11"/>
      <c r="P373" s="11"/>
      <c r="Q373" s="11"/>
      <c r="R373" s="11"/>
      <c r="S373" s="11"/>
      <c r="T373" s="11"/>
      <c r="U373" s="11"/>
      <c r="V373" s="11"/>
      <c r="W373" s="11"/>
      <c r="X373" s="11"/>
      <c r="Y373" s="11"/>
      <c r="Z373" s="11"/>
      <c r="AA373" s="11"/>
      <c r="AB373" s="11"/>
      <c r="AC373" s="11"/>
      <c r="AD373" s="11"/>
      <c r="AE373" s="11"/>
      <c r="AF373" s="11"/>
    </row>
    <row r="374" spans="1:32" x14ac:dyDescent="0.15">
      <c r="A374" s="11"/>
      <c r="B374" s="32"/>
      <c r="C374" s="11"/>
      <c r="D374" s="13"/>
      <c r="E374" s="13"/>
      <c r="F374" s="11"/>
      <c r="G374" s="11"/>
      <c r="H374" s="11"/>
      <c r="I374" s="11"/>
      <c r="J374" s="11"/>
      <c r="K374" s="11"/>
      <c r="L374" s="11"/>
      <c r="M374" s="11"/>
      <c r="N374" s="11"/>
      <c r="O374" s="11"/>
      <c r="P374" s="11"/>
      <c r="Q374" s="11"/>
      <c r="R374" s="11"/>
      <c r="S374" s="11"/>
      <c r="T374" s="11"/>
      <c r="U374" s="11"/>
      <c r="V374" s="11"/>
      <c r="W374" s="11"/>
      <c r="X374" s="11"/>
      <c r="Y374" s="11"/>
      <c r="Z374" s="11"/>
      <c r="AA374" s="11"/>
      <c r="AB374" s="11"/>
      <c r="AC374" s="11"/>
      <c r="AD374" s="11"/>
      <c r="AE374" s="11"/>
      <c r="AF374" s="11"/>
    </row>
    <row r="375" spans="1:32" x14ac:dyDescent="0.15">
      <c r="A375" s="11"/>
      <c r="B375" s="32"/>
      <c r="C375" s="11"/>
      <c r="D375" s="13"/>
      <c r="E375" s="13"/>
      <c r="F375" s="11"/>
      <c r="G375" s="11"/>
      <c r="H375" s="11"/>
      <c r="I375" s="11"/>
      <c r="J375" s="11"/>
      <c r="K375" s="11"/>
      <c r="L375" s="11"/>
      <c r="M375" s="11"/>
      <c r="N375" s="11"/>
      <c r="O375" s="11"/>
      <c r="P375" s="11"/>
      <c r="Q375" s="11"/>
      <c r="R375" s="11"/>
      <c r="S375" s="11"/>
      <c r="T375" s="11"/>
      <c r="U375" s="11"/>
      <c r="V375" s="11"/>
      <c r="W375" s="11"/>
      <c r="X375" s="11"/>
      <c r="Y375" s="11"/>
      <c r="Z375" s="11"/>
      <c r="AA375" s="11"/>
      <c r="AB375" s="11"/>
      <c r="AC375" s="11"/>
      <c r="AD375" s="11"/>
      <c r="AE375" s="11"/>
      <c r="AF375" s="11"/>
    </row>
    <row r="376" spans="1:32" x14ac:dyDescent="0.15">
      <c r="A376" s="11"/>
      <c r="B376" s="32"/>
      <c r="C376" s="11"/>
      <c r="D376" s="13"/>
      <c r="E376" s="13"/>
      <c r="F376" s="11"/>
      <c r="G376" s="11"/>
      <c r="H376" s="11"/>
      <c r="I376" s="11"/>
      <c r="J376" s="11"/>
      <c r="K376" s="11"/>
      <c r="L376" s="11"/>
      <c r="M376" s="11"/>
      <c r="N376" s="11"/>
      <c r="O376" s="11"/>
      <c r="P376" s="11"/>
      <c r="Q376" s="11"/>
      <c r="R376" s="11"/>
      <c r="S376" s="11"/>
      <c r="T376" s="11"/>
      <c r="U376" s="11"/>
      <c r="V376" s="11"/>
      <c r="W376" s="11"/>
      <c r="X376" s="11"/>
      <c r="Y376" s="11"/>
      <c r="Z376" s="11"/>
      <c r="AA376" s="11"/>
      <c r="AB376" s="11"/>
      <c r="AC376" s="11"/>
      <c r="AD376" s="11"/>
      <c r="AE376" s="11"/>
      <c r="AF376" s="11"/>
    </row>
    <row r="377" spans="1:32" x14ac:dyDescent="0.15">
      <c r="A377" s="11"/>
      <c r="B377" s="32"/>
      <c r="C377" s="11"/>
      <c r="D377" s="13"/>
      <c r="E377" s="13"/>
      <c r="F377" s="11"/>
      <c r="G377" s="11"/>
      <c r="H377" s="11"/>
      <c r="I377" s="11"/>
      <c r="J377" s="11"/>
      <c r="K377" s="11"/>
      <c r="L377" s="11"/>
      <c r="M377" s="11"/>
      <c r="N377" s="11"/>
      <c r="O377" s="11"/>
      <c r="P377" s="11"/>
      <c r="Q377" s="11"/>
      <c r="R377" s="11"/>
      <c r="S377" s="11"/>
      <c r="T377" s="11"/>
      <c r="U377" s="11"/>
      <c r="V377" s="11"/>
      <c r="W377" s="11"/>
      <c r="X377" s="11"/>
      <c r="Y377" s="11"/>
      <c r="Z377" s="11"/>
      <c r="AA377" s="11"/>
      <c r="AB377" s="11"/>
      <c r="AC377" s="11"/>
      <c r="AD377" s="11"/>
      <c r="AE377" s="11"/>
      <c r="AF377" s="11"/>
    </row>
    <row r="378" spans="1:32" x14ac:dyDescent="0.15">
      <c r="A378" s="11"/>
      <c r="B378" s="32"/>
      <c r="C378" s="11"/>
      <c r="D378" s="13"/>
      <c r="E378" s="13"/>
      <c r="F378" s="11"/>
      <c r="G378" s="11"/>
      <c r="H378" s="11"/>
      <c r="I378" s="11"/>
      <c r="J378" s="11"/>
      <c r="K378" s="11"/>
      <c r="L378" s="11"/>
      <c r="M378" s="11"/>
      <c r="N378" s="11"/>
      <c r="O378" s="11"/>
      <c r="P378" s="11"/>
      <c r="Q378" s="11"/>
      <c r="R378" s="11"/>
      <c r="S378" s="11"/>
      <c r="T378" s="11"/>
      <c r="U378" s="11"/>
      <c r="V378" s="11"/>
      <c r="W378" s="11"/>
      <c r="X378" s="11"/>
      <c r="Y378" s="11"/>
      <c r="Z378" s="11"/>
      <c r="AA378" s="11"/>
      <c r="AB378" s="11"/>
      <c r="AC378" s="11"/>
      <c r="AD378" s="11"/>
      <c r="AE378" s="11"/>
      <c r="AF378" s="11"/>
    </row>
    <row r="379" spans="1:32" x14ac:dyDescent="0.15">
      <c r="A379" s="11"/>
      <c r="B379" s="32"/>
      <c r="C379" s="11"/>
      <c r="D379" s="13"/>
      <c r="E379" s="13"/>
      <c r="F379" s="11"/>
      <c r="G379" s="11"/>
      <c r="H379" s="11"/>
      <c r="I379" s="11"/>
      <c r="J379" s="11"/>
      <c r="K379" s="11"/>
      <c r="L379" s="11"/>
      <c r="M379" s="11"/>
      <c r="N379" s="11"/>
      <c r="O379" s="11"/>
      <c r="P379" s="11"/>
      <c r="Q379" s="11"/>
      <c r="R379" s="11"/>
      <c r="S379" s="11"/>
      <c r="T379" s="11"/>
      <c r="U379" s="11"/>
      <c r="V379" s="11"/>
      <c r="W379" s="11"/>
      <c r="X379" s="11"/>
      <c r="Y379" s="11"/>
      <c r="Z379" s="11"/>
      <c r="AA379" s="11"/>
      <c r="AB379" s="11"/>
      <c r="AC379" s="11"/>
      <c r="AD379" s="11"/>
      <c r="AE379" s="11"/>
      <c r="AF379" s="11"/>
    </row>
    <row r="380" spans="1:32" x14ac:dyDescent="0.15">
      <c r="A380" s="11"/>
      <c r="B380" s="32"/>
      <c r="C380" s="11"/>
      <c r="D380" s="13"/>
      <c r="E380" s="13"/>
      <c r="F380" s="11"/>
      <c r="G380" s="11"/>
      <c r="H380" s="11"/>
      <c r="I380" s="11"/>
      <c r="J380" s="11"/>
      <c r="K380" s="11"/>
      <c r="L380" s="11"/>
      <c r="M380" s="11"/>
      <c r="N380" s="11"/>
      <c r="O380" s="11"/>
      <c r="P380" s="11"/>
      <c r="Q380" s="11"/>
      <c r="R380" s="11"/>
      <c r="S380" s="11"/>
      <c r="T380" s="11"/>
      <c r="U380" s="11"/>
      <c r="V380" s="11"/>
      <c r="W380" s="11"/>
      <c r="X380" s="11"/>
      <c r="Y380" s="11"/>
      <c r="Z380" s="11"/>
      <c r="AA380" s="11"/>
      <c r="AB380" s="11"/>
      <c r="AC380" s="11"/>
      <c r="AD380" s="11"/>
      <c r="AE380" s="11"/>
      <c r="AF380" s="11"/>
    </row>
    <row r="381" spans="1:32" x14ac:dyDescent="0.15">
      <c r="A381" s="11"/>
      <c r="B381" s="32"/>
      <c r="C381" s="11"/>
      <c r="D381" s="13"/>
      <c r="E381" s="13"/>
      <c r="F381" s="11"/>
      <c r="G381" s="11"/>
      <c r="H381" s="11"/>
      <c r="I381" s="11"/>
      <c r="J381" s="11"/>
      <c r="K381" s="11"/>
      <c r="L381" s="11"/>
      <c r="M381" s="11"/>
      <c r="N381" s="11"/>
      <c r="O381" s="11"/>
      <c r="P381" s="11"/>
      <c r="Q381" s="11"/>
      <c r="R381" s="11"/>
      <c r="S381" s="11"/>
      <c r="T381" s="11"/>
      <c r="U381" s="11"/>
      <c r="V381" s="11"/>
      <c r="W381" s="11"/>
      <c r="X381" s="11"/>
      <c r="Y381" s="11"/>
      <c r="Z381" s="11"/>
      <c r="AA381" s="11"/>
      <c r="AB381" s="11"/>
      <c r="AC381" s="11"/>
      <c r="AD381" s="11"/>
      <c r="AE381" s="11"/>
      <c r="AF381" s="11"/>
    </row>
    <row r="382" spans="1:32" x14ac:dyDescent="0.15">
      <c r="A382" s="11"/>
      <c r="B382" s="32"/>
      <c r="C382" s="11"/>
      <c r="D382" s="13"/>
      <c r="E382" s="13"/>
      <c r="F382" s="11"/>
      <c r="G382" s="11"/>
      <c r="H382" s="11"/>
      <c r="I382" s="11"/>
      <c r="J382" s="11"/>
      <c r="K382" s="11"/>
      <c r="L382" s="11"/>
      <c r="M382" s="11"/>
      <c r="N382" s="11"/>
      <c r="O382" s="11"/>
      <c r="P382" s="11"/>
      <c r="Q382" s="11"/>
      <c r="R382" s="11"/>
      <c r="S382" s="11"/>
      <c r="T382" s="11"/>
      <c r="U382" s="11"/>
      <c r="V382" s="11"/>
      <c r="W382" s="11"/>
      <c r="X382" s="11"/>
      <c r="Y382" s="11"/>
      <c r="Z382" s="11"/>
      <c r="AA382" s="11"/>
      <c r="AB382" s="11"/>
      <c r="AC382" s="11"/>
      <c r="AD382" s="11"/>
      <c r="AE382" s="11"/>
      <c r="AF382" s="11"/>
    </row>
    <row r="383" spans="1:32" x14ac:dyDescent="0.15">
      <c r="A383" s="11"/>
      <c r="B383" s="32"/>
      <c r="C383" s="11"/>
      <c r="D383" s="13"/>
      <c r="E383" s="13"/>
      <c r="F383" s="11"/>
      <c r="G383" s="11"/>
      <c r="H383" s="11"/>
      <c r="I383" s="11"/>
      <c r="J383" s="11"/>
      <c r="K383" s="11"/>
      <c r="L383" s="11"/>
      <c r="M383" s="11"/>
      <c r="N383" s="11"/>
      <c r="O383" s="11"/>
      <c r="P383" s="11"/>
      <c r="Q383" s="11"/>
      <c r="R383" s="11"/>
      <c r="S383" s="11"/>
      <c r="T383" s="11"/>
      <c r="U383" s="11"/>
      <c r="V383" s="11"/>
      <c r="W383" s="11"/>
      <c r="X383" s="11"/>
      <c r="Y383" s="11"/>
      <c r="Z383" s="11"/>
      <c r="AA383" s="11"/>
      <c r="AB383" s="11"/>
      <c r="AC383" s="11"/>
      <c r="AD383" s="11"/>
      <c r="AE383" s="11"/>
      <c r="AF383" s="11"/>
    </row>
    <row r="384" spans="1:32" x14ac:dyDescent="0.15">
      <c r="A384" s="11"/>
      <c r="B384" s="32"/>
      <c r="C384" s="11"/>
      <c r="D384" s="13"/>
      <c r="E384" s="13"/>
      <c r="F384" s="11"/>
      <c r="G384" s="11"/>
      <c r="H384" s="11"/>
      <c r="I384" s="11"/>
      <c r="J384" s="11"/>
      <c r="K384" s="11"/>
      <c r="L384" s="11"/>
      <c r="M384" s="11"/>
      <c r="N384" s="11"/>
      <c r="O384" s="11"/>
      <c r="P384" s="11"/>
      <c r="Q384" s="11"/>
      <c r="R384" s="11"/>
      <c r="S384" s="11"/>
      <c r="T384" s="11"/>
      <c r="U384" s="11"/>
      <c r="V384" s="11"/>
      <c r="W384" s="11"/>
      <c r="X384" s="11"/>
      <c r="Y384" s="11"/>
      <c r="Z384" s="11"/>
      <c r="AA384" s="11"/>
      <c r="AB384" s="11"/>
      <c r="AC384" s="11"/>
      <c r="AD384" s="11"/>
      <c r="AE384" s="11"/>
      <c r="AF384" s="11"/>
    </row>
    <row r="385" spans="1:32" x14ac:dyDescent="0.15">
      <c r="A385" s="11"/>
      <c r="B385" s="32"/>
      <c r="C385" s="11"/>
      <c r="D385" s="13"/>
      <c r="E385" s="13"/>
      <c r="F385" s="11"/>
      <c r="G385" s="11"/>
      <c r="H385" s="11"/>
      <c r="I385" s="11"/>
      <c r="J385" s="11"/>
      <c r="K385" s="11"/>
      <c r="L385" s="11"/>
      <c r="M385" s="11"/>
      <c r="N385" s="11"/>
      <c r="O385" s="11"/>
      <c r="P385" s="11"/>
      <c r="Q385" s="11"/>
      <c r="R385" s="11"/>
      <c r="S385" s="11"/>
      <c r="T385" s="11"/>
      <c r="U385" s="11"/>
      <c r="V385" s="11"/>
      <c r="W385" s="11"/>
      <c r="X385" s="11"/>
      <c r="Y385" s="11"/>
      <c r="Z385" s="11"/>
      <c r="AA385" s="11"/>
      <c r="AB385" s="11"/>
      <c r="AC385" s="11"/>
      <c r="AD385" s="11"/>
      <c r="AE385" s="11"/>
      <c r="AF385" s="11"/>
    </row>
    <row r="386" spans="1:32" x14ac:dyDescent="0.15">
      <c r="A386" s="11"/>
      <c r="B386" s="32"/>
      <c r="C386" s="11"/>
      <c r="D386" s="13"/>
      <c r="E386" s="13"/>
      <c r="F386" s="11"/>
      <c r="G386" s="11"/>
      <c r="H386" s="11"/>
      <c r="I386" s="11"/>
      <c r="J386" s="11"/>
      <c r="K386" s="11"/>
      <c r="L386" s="11"/>
      <c r="M386" s="11"/>
      <c r="N386" s="11"/>
      <c r="O386" s="11"/>
      <c r="P386" s="11"/>
      <c r="Q386" s="11"/>
      <c r="R386" s="11"/>
      <c r="S386" s="11"/>
      <c r="T386" s="11"/>
      <c r="U386" s="11"/>
      <c r="V386" s="11"/>
      <c r="W386" s="11"/>
      <c r="X386" s="11"/>
      <c r="Y386" s="11"/>
      <c r="Z386" s="11"/>
      <c r="AA386" s="11"/>
      <c r="AB386" s="11"/>
      <c r="AC386" s="11"/>
      <c r="AD386" s="11"/>
      <c r="AE386" s="11"/>
      <c r="AF386" s="11"/>
    </row>
    <row r="387" spans="1:32" x14ac:dyDescent="0.15">
      <c r="A387" s="11"/>
      <c r="B387" s="32"/>
      <c r="C387" s="11"/>
      <c r="D387" s="13"/>
      <c r="E387" s="13"/>
      <c r="F387" s="11"/>
      <c r="G387" s="11"/>
      <c r="H387" s="11"/>
      <c r="I387" s="11"/>
      <c r="J387" s="11"/>
      <c r="K387" s="11"/>
      <c r="L387" s="11"/>
      <c r="M387" s="11"/>
      <c r="N387" s="11"/>
      <c r="O387" s="11"/>
      <c r="P387" s="11"/>
      <c r="Q387" s="11"/>
      <c r="R387" s="11"/>
      <c r="S387" s="11"/>
      <c r="T387" s="11"/>
      <c r="U387" s="11"/>
      <c r="V387" s="11"/>
      <c r="W387" s="11"/>
      <c r="X387" s="11"/>
      <c r="Y387" s="11"/>
      <c r="Z387" s="11"/>
      <c r="AA387" s="11"/>
      <c r="AB387" s="11"/>
      <c r="AC387" s="11"/>
      <c r="AD387" s="11"/>
      <c r="AE387" s="11"/>
      <c r="AF387" s="11"/>
    </row>
    <row r="388" spans="1:32" x14ac:dyDescent="0.15">
      <c r="A388" s="11"/>
      <c r="B388" s="32"/>
      <c r="C388" s="11"/>
      <c r="D388" s="13"/>
      <c r="E388" s="13"/>
      <c r="F388" s="11"/>
      <c r="G388" s="11"/>
      <c r="H388" s="11"/>
      <c r="I388" s="11"/>
      <c r="J388" s="11"/>
      <c r="K388" s="11"/>
      <c r="L388" s="11"/>
      <c r="M388" s="11"/>
      <c r="N388" s="11"/>
      <c r="O388" s="11"/>
      <c r="P388" s="11"/>
      <c r="Q388" s="11"/>
      <c r="R388" s="11"/>
      <c r="S388" s="11"/>
      <c r="T388" s="11"/>
      <c r="U388" s="11"/>
      <c r="V388" s="11"/>
      <c r="W388" s="11"/>
      <c r="X388" s="11"/>
      <c r="Y388" s="11"/>
      <c r="Z388" s="11"/>
      <c r="AA388" s="11"/>
      <c r="AB388" s="11"/>
      <c r="AC388" s="11"/>
      <c r="AD388" s="11"/>
      <c r="AE388" s="11"/>
      <c r="AF388" s="11"/>
    </row>
    <row r="389" spans="1:32" x14ac:dyDescent="0.15">
      <c r="A389" s="11"/>
      <c r="B389" s="32"/>
      <c r="C389" s="11"/>
      <c r="D389" s="13"/>
      <c r="E389" s="13"/>
      <c r="F389" s="11"/>
      <c r="G389" s="11"/>
      <c r="H389" s="11"/>
      <c r="I389" s="11"/>
      <c r="J389" s="11"/>
      <c r="K389" s="11"/>
      <c r="L389" s="11"/>
      <c r="M389" s="11"/>
      <c r="N389" s="11"/>
      <c r="O389" s="11"/>
      <c r="P389" s="11"/>
      <c r="Q389" s="11"/>
      <c r="R389" s="11"/>
      <c r="S389" s="11"/>
      <c r="T389" s="11"/>
      <c r="U389" s="11"/>
      <c r="V389" s="11"/>
      <c r="W389" s="11"/>
      <c r="X389" s="11"/>
      <c r="Y389" s="11"/>
      <c r="Z389" s="11"/>
      <c r="AA389" s="11"/>
      <c r="AB389" s="11"/>
      <c r="AC389" s="11"/>
      <c r="AD389" s="11"/>
      <c r="AE389" s="11"/>
      <c r="AF389" s="11"/>
    </row>
    <row r="390" spans="1:32" x14ac:dyDescent="0.15">
      <c r="A390" s="11"/>
      <c r="B390" s="32"/>
      <c r="C390" s="11"/>
      <c r="D390" s="13"/>
      <c r="E390" s="13"/>
      <c r="F390" s="11"/>
      <c r="G390" s="11"/>
      <c r="H390" s="11"/>
      <c r="I390" s="11"/>
      <c r="J390" s="11"/>
      <c r="K390" s="11"/>
      <c r="L390" s="11"/>
      <c r="M390" s="11"/>
      <c r="N390" s="11"/>
      <c r="O390" s="11"/>
      <c r="P390" s="11"/>
      <c r="Q390" s="11"/>
      <c r="R390" s="11"/>
      <c r="S390" s="11"/>
      <c r="T390" s="11"/>
      <c r="U390" s="11"/>
      <c r="V390" s="11"/>
      <c r="W390" s="11"/>
      <c r="X390" s="11"/>
      <c r="Y390" s="11"/>
      <c r="Z390" s="11"/>
      <c r="AA390" s="11"/>
      <c r="AB390" s="11"/>
      <c r="AC390" s="11"/>
      <c r="AD390" s="11"/>
      <c r="AE390" s="11"/>
      <c r="AF390" s="11"/>
    </row>
    <row r="391" spans="1:32" x14ac:dyDescent="0.15">
      <c r="A391" s="11"/>
      <c r="B391" s="32"/>
      <c r="C391" s="11"/>
      <c r="D391" s="13"/>
      <c r="E391" s="13"/>
      <c r="F391" s="11"/>
      <c r="G391" s="11"/>
      <c r="H391" s="11"/>
      <c r="I391" s="11"/>
      <c r="J391" s="11"/>
      <c r="K391" s="11"/>
      <c r="L391" s="11"/>
      <c r="M391" s="11"/>
      <c r="N391" s="11"/>
      <c r="O391" s="11"/>
      <c r="P391" s="11"/>
      <c r="Q391" s="11"/>
      <c r="R391" s="11"/>
      <c r="S391" s="11"/>
      <c r="T391" s="11"/>
      <c r="U391" s="11"/>
      <c r="V391" s="11"/>
      <c r="W391" s="11"/>
      <c r="X391" s="11"/>
      <c r="Y391" s="11"/>
      <c r="Z391" s="11"/>
      <c r="AA391" s="11"/>
      <c r="AB391" s="11"/>
      <c r="AC391" s="11"/>
      <c r="AD391" s="11"/>
      <c r="AE391" s="11"/>
      <c r="AF391" s="11"/>
    </row>
    <row r="392" spans="1:32" x14ac:dyDescent="0.15">
      <c r="A392" s="11"/>
      <c r="B392" s="32"/>
      <c r="C392" s="11"/>
      <c r="D392" s="13"/>
      <c r="E392" s="13"/>
      <c r="F392" s="11"/>
      <c r="G392" s="11"/>
      <c r="H392" s="11"/>
      <c r="I392" s="11"/>
      <c r="J392" s="11"/>
      <c r="K392" s="11"/>
      <c r="L392" s="11"/>
      <c r="M392" s="11"/>
      <c r="N392" s="11"/>
      <c r="O392" s="11"/>
      <c r="P392" s="11"/>
      <c r="Q392" s="11"/>
      <c r="R392" s="11"/>
      <c r="S392" s="11"/>
      <c r="T392" s="11"/>
      <c r="U392" s="11"/>
      <c r="V392" s="11"/>
      <c r="W392" s="11"/>
      <c r="X392" s="11"/>
      <c r="Y392" s="11"/>
      <c r="Z392" s="11"/>
      <c r="AA392" s="11"/>
      <c r="AB392" s="11"/>
      <c r="AC392" s="11"/>
      <c r="AD392" s="11"/>
      <c r="AE392" s="11"/>
      <c r="AF392" s="11"/>
    </row>
    <row r="393" spans="1:32" x14ac:dyDescent="0.15">
      <c r="A393" s="11"/>
      <c r="B393" s="32"/>
      <c r="C393" s="11"/>
      <c r="D393" s="13"/>
      <c r="E393" s="13"/>
      <c r="F393" s="11"/>
      <c r="G393" s="11"/>
      <c r="H393" s="11"/>
      <c r="I393" s="11"/>
      <c r="J393" s="11"/>
      <c r="K393" s="11"/>
      <c r="L393" s="11"/>
      <c r="M393" s="11"/>
      <c r="N393" s="11"/>
      <c r="O393" s="11"/>
      <c r="P393" s="11"/>
      <c r="Q393" s="11"/>
      <c r="R393" s="11"/>
      <c r="S393" s="11"/>
      <c r="T393" s="11"/>
      <c r="U393" s="11"/>
      <c r="V393" s="11"/>
      <c r="W393" s="11"/>
      <c r="X393" s="11"/>
      <c r="Y393" s="11"/>
      <c r="Z393" s="11"/>
      <c r="AA393" s="11"/>
      <c r="AB393" s="11"/>
      <c r="AC393" s="11"/>
      <c r="AD393" s="11"/>
      <c r="AE393" s="11"/>
      <c r="AF393" s="11"/>
    </row>
    <row r="394" spans="1:32" x14ac:dyDescent="0.15">
      <c r="A394" s="11"/>
      <c r="B394" s="32"/>
      <c r="C394" s="11"/>
      <c r="D394" s="13"/>
      <c r="E394" s="13"/>
      <c r="F394" s="11"/>
      <c r="G394" s="11"/>
      <c r="H394" s="11"/>
      <c r="I394" s="11"/>
      <c r="J394" s="11"/>
      <c r="K394" s="11"/>
      <c r="L394" s="11"/>
      <c r="M394" s="11"/>
      <c r="N394" s="11"/>
      <c r="O394" s="11"/>
      <c r="P394" s="11"/>
      <c r="Q394" s="11"/>
      <c r="R394" s="11"/>
      <c r="S394" s="11"/>
      <c r="T394" s="11"/>
      <c r="U394" s="11"/>
      <c r="V394" s="11"/>
      <c r="W394" s="11"/>
      <c r="X394" s="11"/>
      <c r="Y394" s="11"/>
      <c r="Z394" s="11"/>
      <c r="AA394" s="11"/>
      <c r="AB394" s="11"/>
      <c r="AC394" s="11"/>
      <c r="AD394" s="11"/>
      <c r="AE394" s="11"/>
      <c r="AF394" s="11"/>
    </row>
    <row r="395" spans="1:32" x14ac:dyDescent="0.15">
      <c r="A395" s="11"/>
      <c r="B395" s="32"/>
      <c r="C395" s="11"/>
      <c r="D395" s="13"/>
      <c r="E395" s="13"/>
      <c r="F395" s="11"/>
      <c r="G395" s="11"/>
      <c r="H395" s="11"/>
      <c r="I395" s="11"/>
      <c r="J395" s="11"/>
      <c r="K395" s="11"/>
      <c r="L395" s="11"/>
      <c r="M395" s="11"/>
      <c r="N395" s="11"/>
      <c r="O395" s="11"/>
      <c r="P395" s="11"/>
      <c r="Q395" s="11"/>
      <c r="R395" s="11"/>
      <c r="S395" s="11"/>
      <c r="T395" s="11"/>
      <c r="U395" s="11"/>
      <c r="V395" s="11"/>
      <c r="W395" s="11"/>
      <c r="X395" s="11"/>
      <c r="Y395" s="11"/>
      <c r="Z395" s="11"/>
      <c r="AA395" s="11"/>
      <c r="AB395" s="11"/>
      <c r="AC395" s="11"/>
      <c r="AD395" s="11"/>
      <c r="AE395" s="11"/>
      <c r="AF395" s="11"/>
    </row>
    <row r="396" spans="1:32" x14ac:dyDescent="0.15">
      <c r="A396" s="11"/>
      <c r="B396" s="32"/>
      <c r="C396" s="11"/>
      <c r="D396" s="13"/>
      <c r="E396" s="13"/>
      <c r="F396" s="11"/>
      <c r="G396" s="11"/>
      <c r="H396" s="11"/>
      <c r="I396" s="11"/>
      <c r="J396" s="11"/>
      <c r="K396" s="11"/>
      <c r="L396" s="11"/>
      <c r="M396" s="11"/>
      <c r="N396" s="11"/>
      <c r="O396" s="11"/>
      <c r="P396" s="11"/>
      <c r="Q396" s="11"/>
      <c r="R396" s="11"/>
      <c r="S396" s="11"/>
      <c r="T396" s="11"/>
      <c r="U396" s="11"/>
      <c r="V396" s="11"/>
      <c r="W396" s="11"/>
      <c r="X396" s="11"/>
      <c r="Y396" s="11"/>
      <c r="Z396" s="11"/>
      <c r="AA396" s="11"/>
      <c r="AB396" s="11"/>
      <c r="AC396" s="11"/>
      <c r="AD396" s="11"/>
      <c r="AE396" s="11"/>
      <c r="AF396" s="11"/>
    </row>
    <row r="397" spans="1:32" x14ac:dyDescent="0.15">
      <c r="A397" s="11"/>
      <c r="B397" s="32"/>
      <c r="C397" s="11"/>
      <c r="D397" s="13"/>
      <c r="E397" s="13"/>
      <c r="F397" s="11"/>
      <c r="G397" s="11"/>
      <c r="H397" s="11"/>
      <c r="I397" s="11"/>
      <c r="J397" s="11"/>
      <c r="K397" s="11"/>
      <c r="L397" s="11"/>
      <c r="M397" s="11"/>
      <c r="N397" s="11"/>
      <c r="O397" s="11"/>
      <c r="P397" s="11"/>
      <c r="Q397" s="11"/>
      <c r="R397" s="11"/>
      <c r="S397" s="11"/>
      <c r="T397" s="11"/>
      <c r="U397" s="11"/>
      <c r="V397" s="11"/>
      <c r="W397" s="11"/>
      <c r="X397" s="11"/>
      <c r="Y397" s="11"/>
      <c r="Z397" s="11"/>
      <c r="AA397" s="11"/>
      <c r="AB397" s="11"/>
      <c r="AC397" s="11"/>
      <c r="AD397" s="11"/>
      <c r="AE397" s="11"/>
      <c r="AF397" s="11"/>
    </row>
    <row r="398" spans="1:32" x14ac:dyDescent="0.15">
      <c r="A398" s="11"/>
      <c r="B398" s="32"/>
      <c r="C398" s="11"/>
      <c r="D398" s="13"/>
      <c r="E398" s="13"/>
      <c r="F398" s="11"/>
      <c r="G398" s="11"/>
      <c r="H398" s="11"/>
      <c r="I398" s="11"/>
      <c r="J398" s="11"/>
      <c r="K398" s="11"/>
      <c r="L398" s="11"/>
      <c r="M398" s="11"/>
      <c r="N398" s="11"/>
      <c r="O398" s="11"/>
      <c r="P398" s="11"/>
      <c r="Q398" s="11"/>
      <c r="R398" s="11"/>
      <c r="S398" s="11"/>
      <c r="T398" s="11"/>
      <c r="U398" s="11"/>
      <c r="V398" s="11"/>
      <c r="W398" s="11"/>
      <c r="X398" s="11"/>
      <c r="Y398" s="11"/>
      <c r="Z398" s="11"/>
      <c r="AA398" s="11"/>
      <c r="AB398" s="11"/>
      <c r="AC398" s="11"/>
      <c r="AD398" s="11"/>
      <c r="AE398" s="11"/>
      <c r="AF398" s="11"/>
    </row>
    <row r="399" spans="1:32" x14ac:dyDescent="0.15">
      <c r="A399" s="11"/>
      <c r="B399" s="32"/>
      <c r="C399" s="11"/>
      <c r="D399" s="13"/>
      <c r="E399" s="13"/>
      <c r="F399" s="11"/>
      <c r="G399" s="11"/>
      <c r="H399" s="11"/>
      <c r="I399" s="11"/>
      <c r="J399" s="11"/>
      <c r="K399" s="11"/>
      <c r="L399" s="11"/>
      <c r="M399" s="11"/>
      <c r="N399" s="11"/>
      <c r="O399" s="11"/>
      <c r="P399" s="11"/>
      <c r="Q399" s="11"/>
      <c r="R399" s="11"/>
      <c r="S399" s="11"/>
      <c r="T399" s="11"/>
      <c r="U399" s="11"/>
      <c r="V399" s="11"/>
      <c r="W399" s="11"/>
      <c r="X399" s="11"/>
      <c r="Y399" s="11"/>
      <c r="Z399" s="11"/>
      <c r="AA399" s="11"/>
      <c r="AB399" s="11"/>
      <c r="AC399" s="11"/>
      <c r="AD399" s="11"/>
      <c r="AE399" s="11"/>
      <c r="AF399" s="11"/>
    </row>
    <row r="400" spans="1:32" x14ac:dyDescent="0.15">
      <c r="A400" s="11"/>
      <c r="B400" s="32"/>
      <c r="C400" s="11"/>
      <c r="D400" s="13"/>
      <c r="E400" s="13"/>
      <c r="F400" s="11"/>
      <c r="G400" s="11"/>
      <c r="H400" s="11"/>
      <c r="I400" s="11"/>
      <c r="J400" s="11"/>
      <c r="K400" s="11"/>
      <c r="L400" s="11"/>
      <c r="M400" s="11"/>
      <c r="N400" s="11"/>
      <c r="O400" s="11"/>
      <c r="P400" s="11"/>
      <c r="Q400" s="11"/>
      <c r="R400" s="11"/>
      <c r="S400" s="11"/>
      <c r="T400" s="11"/>
      <c r="U400" s="11"/>
      <c r="V400" s="11"/>
      <c r="W400" s="11"/>
      <c r="X400" s="11"/>
      <c r="Y400" s="11"/>
      <c r="Z400" s="11"/>
      <c r="AA400" s="11"/>
      <c r="AB400" s="11"/>
      <c r="AC400" s="11"/>
      <c r="AD400" s="11"/>
      <c r="AE400" s="11"/>
      <c r="AF400" s="11"/>
    </row>
    <row r="401" spans="1:32" x14ac:dyDescent="0.15">
      <c r="A401" s="11"/>
      <c r="B401" s="32"/>
      <c r="C401" s="11"/>
      <c r="D401" s="13"/>
      <c r="E401" s="13"/>
      <c r="F401" s="11"/>
      <c r="G401" s="11"/>
      <c r="H401" s="11"/>
      <c r="I401" s="11"/>
      <c r="J401" s="11"/>
      <c r="K401" s="11"/>
      <c r="L401" s="11"/>
      <c r="M401" s="11"/>
      <c r="N401" s="11"/>
      <c r="O401" s="11"/>
      <c r="P401" s="11"/>
      <c r="Q401" s="11"/>
      <c r="R401" s="11"/>
      <c r="S401" s="11"/>
      <c r="T401" s="11"/>
      <c r="U401" s="11"/>
      <c r="V401" s="11"/>
      <c r="W401" s="11"/>
      <c r="X401" s="11"/>
      <c r="Y401" s="11"/>
      <c r="Z401" s="11"/>
      <c r="AA401" s="11"/>
      <c r="AB401" s="11"/>
      <c r="AC401" s="11"/>
      <c r="AD401" s="11"/>
      <c r="AE401" s="11"/>
      <c r="AF401" s="11"/>
    </row>
    <row r="402" spans="1:32" x14ac:dyDescent="0.15">
      <c r="A402" s="11"/>
      <c r="B402" s="32"/>
      <c r="C402" s="11"/>
      <c r="D402" s="13"/>
      <c r="E402" s="13"/>
      <c r="F402" s="11"/>
      <c r="G402" s="11"/>
      <c r="H402" s="11"/>
      <c r="I402" s="11"/>
      <c r="J402" s="11"/>
      <c r="K402" s="11"/>
      <c r="L402" s="11"/>
      <c r="M402" s="11"/>
      <c r="N402" s="11"/>
      <c r="O402" s="11"/>
      <c r="P402" s="11"/>
      <c r="Q402" s="11"/>
      <c r="R402" s="11"/>
      <c r="S402" s="11"/>
      <c r="T402" s="11"/>
      <c r="U402" s="11"/>
      <c r="V402" s="11"/>
      <c r="W402" s="11"/>
      <c r="X402" s="11"/>
      <c r="Y402" s="11"/>
      <c r="Z402" s="11"/>
      <c r="AA402" s="11"/>
      <c r="AB402" s="11"/>
      <c r="AC402" s="11"/>
      <c r="AD402" s="11"/>
      <c r="AE402" s="11"/>
      <c r="AF402" s="11"/>
    </row>
    <row r="403" spans="1:32" x14ac:dyDescent="0.15">
      <c r="A403" s="11"/>
      <c r="B403" s="32"/>
      <c r="C403" s="11"/>
      <c r="D403" s="13"/>
      <c r="E403" s="13"/>
      <c r="F403" s="11"/>
      <c r="G403" s="11"/>
      <c r="H403" s="11"/>
      <c r="I403" s="11"/>
      <c r="J403" s="11"/>
      <c r="K403" s="11"/>
      <c r="L403" s="11"/>
      <c r="M403" s="11"/>
      <c r="N403" s="11"/>
      <c r="O403" s="11"/>
      <c r="P403" s="11"/>
      <c r="Q403" s="11"/>
      <c r="R403" s="11"/>
      <c r="S403" s="11"/>
      <c r="T403" s="11"/>
      <c r="U403" s="11"/>
      <c r="V403" s="11"/>
      <c r="W403" s="11"/>
      <c r="X403" s="11"/>
      <c r="Y403" s="11"/>
      <c r="Z403" s="11"/>
      <c r="AA403" s="11"/>
      <c r="AB403" s="11"/>
      <c r="AC403" s="11"/>
      <c r="AD403" s="11"/>
      <c r="AE403" s="11"/>
      <c r="AF403" s="11"/>
    </row>
    <row r="404" spans="1:32" x14ac:dyDescent="0.15">
      <c r="A404" s="11"/>
      <c r="B404" s="32"/>
      <c r="C404" s="11"/>
      <c r="D404" s="13"/>
      <c r="E404" s="13"/>
      <c r="F404" s="11"/>
      <c r="G404" s="11"/>
      <c r="H404" s="11"/>
      <c r="I404" s="11"/>
      <c r="J404" s="11"/>
      <c r="K404" s="11"/>
      <c r="L404" s="11"/>
      <c r="M404" s="11"/>
      <c r="N404" s="11"/>
      <c r="O404" s="11"/>
      <c r="P404" s="11"/>
      <c r="Q404" s="11"/>
      <c r="R404" s="11"/>
      <c r="S404" s="11"/>
      <c r="T404" s="11"/>
      <c r="U404" s="11"/>
      <c r="V404" s="11"/>
      <c r="W404" s="11"/>
      <c r="X404" s="11"/>
      <c r="Y404" s="11"/>
      <c r="Z404" s="11"/>
      <c r="AA404" s="11"/>
      <c r="AB404" s="11"/>
      <c r="AC404" s="11"/>
      <c r="AD404" s="11"/>
      <c r="AE404" s="11"/>
      <c r="AF404" s="11"/>
    </row>
    <row r="405" spans="1:32" x14ac:dyDescent="0.15">
      <c r="A405" s="11"/>
      <c r="B405" s="32"/>
      <c r="C405" s="11"/>
      <c r="D405" s="13"/>
      <c r="E405" s="13"/>
      <c r="F405" s="11"/>
      <c r="G405" s="11"/>
      <c r="H405" s="11"/>
      <c r="I405" s="11"/>
      <c r="J405" s="11"/>
      <c r="K405" s="11"/>
      <c r="L405" s="11"/>
      <c r="M405" s="11"/>
      <c r="N405" s="11"/>
      <c r="O405" s="11"/>
      <c r="P405" s="11"/>
      <c r="Q405" s="11"/>
      <c r="R405" s="11"/>
      <c r="S405" s="11"/>
      <c r="T405" s="11"/>
      <c r="U405" s="11"/>
      <c r="V405" s="11"/>
      <c r="W405" s="11"/>
      <c r="X405" s="11"/>
      <c r="Y405" s="11"/>
      <c r="Z405" s="11"/>
      <c r="AA405" s="11"/>
      <c r="AB405" s="11"/>
      <c r="AC405" s="11"/>
      <c r="AD405" s="11"/>
      <c r="AE405" s="11"/>
      <c r="AF405" s="11"/>
    </row>
    <row r="406" spans="1:32" x14ac:dyDescent="0.15">
      <c r="A406" s="11"/>
      <c r="B406" s="32"/>
      <c r="C406" s="11"/>
      <c r="D406" s="13"/>
      <c r="E406" s="13"/>
      <c r="F406" s="11"/>
      <c r="G406" s="11"/>
      <c r="H406" s="11"/>
      <c r="I406" s="11"/>
      <c r="J406" s="11"/>
      <c r="K406" s="11"/>
      <c r="L406" s="11"/>
      <c r="M406" s="11"/>
      <c r="N406" s="11"/>
      <c r="O406" s="11"/>
      <c r="P406" s="11"/>
      <c r="Q406" s="11"/>
      <c r="R406" s="11"/>
      <c r="S406" s="11"/>
      <c r="T406" s="11"/>
      <c r="U406" s="11"/>
      <c r="V406" s="11"/>
      <c r="W406" s="11"/>
      <c r="X406" s="11"/>
      <c r="Y406" s="11"/>
      <c r="Z406" s="11"/>
      <c r="AA406" s="11"/>
      <c r="AB406" s="11"/>
      <c r="AC406" s="11"/>
      <c r="AD406" s="11"/>
      <c r="AE406" s="11"/>
      <c r="AF406" s="11"/>
    </row>
    <row r="407" spans="1:32" x14ac:dyDescent="0.15">
      <c r="A407" s="11"/>
      <c r="B407" s="32"/>
      <c r="C407" s="11"/>
      <c r="D407" s="13"/>
      <c r="E407" s="13"/>
      <c r="F407" s="11"/>
      <c r="G407" s="11"/>
      <c r="H407" s="11"/>
      <c r="I407" s="11"/>
      <c r="J407" s="11"/>
      <c r="K407" s="11"/>
      <c r="L407" s="11"/>
      <c r="M407" s="11"/>
      <c r="N407" s="11"/>
      <c r="O407" s="11"/>
      <c r="P407" s="11"/>
      <c r="Q407" s="11"/>
      <c r="R407" s="11"/>
      <c r="S407" s="11"/>
      <c r="T407" s="11"/>
      <c r="U407" s="11"/>
      <c r="V407" s="11"/>
      <c r="W407" s="11"/>
      <c r="X407" s="11"/>
      <c r="Y407" s="11"/>
      <c r="Z407" s="11"/>
      <c r="AA407" s="11"/>
      <c r="AB407" s="11"/>
      <c r="AC407" s="11"/>
      <c r="AD407" s="11"/>
      <c r="AE407" s="11"/>
      <c r="AF407" s="11"/>
    </row>
    <row r="408" spans="1:32" x14ac:dyDescent="0.15">
      <c r="A408" s="11"/>
      <c r="B408" s="32"/>
      <c r="C408" s="11"/>
      <c r="D408" s="13"/>
      <c r="E408" s="13"/>
      <c r="F408" s="11"/>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row>
    <row r="409" spans="1:32" x14ac:dyDescent="0.15">
      <c r="A409" s="11"/>
      <c r="B409" s="32"/>
      <c r="C409" s="11"/>
      <c r="D409" s="13"/>
      <c r="E409" s="13"/>
      <c r="F409" s="11"/>
      <c r="G409" s="11"/>
      <c r="H409" s="11"/>
      <c r="I409" s="11"/>
      <c r="J409" s="11"/>
      <c r="K409" s="11"/>
      <c r="L409" s="11"/>
      <c r="M409" s="11"/>
      <c r="N409" s="11"/>
      <c r="O409" s="11"/>
      <c r="P409" s="11"/>
      <c r="Q409" s="11"/>
      <c r="R409" s="11"/>
      <c r="S409" s="11"/>
      <c r="T409" s="11"/>
      <c r="U409" s="11"/>
      <c r="V409" s="11"/>
      <c r="W409" s="11"/>
      <c r="X409" s="11"/>
      <c r="Y409" s="11"/>
      <c r="Z409" s="11"/>
      <c r="AA409" s="11"/>
      <c r="AB409" s="11"/>
      <c r="AC409" s="11"/>
      <c r="AD409" s="11"/>
      <c r="AE409" s="11"/>
      <c r="AF409" s="11"/>
    </row>
    <row r="410" spans="1:32" x14ac:dyDescent="0.15">
      <c r="A410" s="11"/>
      <c r="B410" s="32"/>
      <c r="C410" s="11"/>
      <c r="D410" s="13"/>
      <c r="E410" s="13"/>
      <c r="F410" s="11"/>
      <c r="G410" s="11"/>
      <c r="H410" s="11"/>
      <c r="I410" s="11"/>
      <c r="J410" s="11"/>
      <c r="K410" s="11"/>
      <c r="L410" s="11"/>
      <c r="M410" s="11"/>
      <c r="N410" s="11"/>
      <c r="O410" s="11"/>
      <c r="P410" s="11"/>
      <c r="Q410" s="11"/>
      <c r="R410" s="11"/>
      <c r="S410" s="11"/>
      <c r="T410" s="11"/>
      <c r="U410" s="11"/>
      <c r="V410" s="11"/>
      <c r="W410" s="11"/>
      <c r="X410" s="11"/>
      <c r="Y410" s="11"/>
      <c r="Z410" s="11"/>
      <c r="AA410" s="11"/>
      <c r="AB410" s="11"/>
      <c r="AC410" s="11"/>
      <c r="AD410" s="11"/>
      <c r="AE410" s="11"/>
      <c r="AF410" s="11"/>
    </row>
    <row r="411" spans="1:32" x14ac:dyDescent="0.15">
      <c r="A411" s="11"/>
      <c r="B411" s="32"/>
      <c r="C411" s="11"/>
      <c r="D411" s="13"/>
      <c r="E411" s="13"/>
      <c r="F411" s="11"/>
      <c r="G411" s="11"/>
      <c r="H411" s="11"/>
      <c r="I411" s="11"/>
      <c r="J411" s="11"/>
      <c r="K411" s="11"/>
      <c r="L411" s="11"/>
      <c r="M411" s="11"/>
      <c r="N411" s="11"/>
      <c r="O411" s="11"/>
      <c r="P411" s="11"/>
      <c r="Q411" s="11"/>
      <c r="R411" s="11"/>
      <c r="S411" s="11"/>
      <c r="T411" s="11"/>
      <c r="U411" s="11"/>
      <c r="V411" s="11"/>
      <c r="W411" s="11"/>
      <c r="X411" s="11"/>
      <c r="Y411" s="11"/>
      <c r="Z411" s="11"/>
      <c r="AA411" s="11"/>
      <c r="AB411" s="11"/>
      <c r="AC411" s="11"/>
      <c r="AD411" s="11"/>
      <c r="AE411" s="11"/>
      <c r="AF411" s="11"/>
    </row>
    <row r="412" spans="1:32" x14ac:dyDescent="0.15">
      <c r="A412" s="11"/>
      <c r="B412" s="32"/>
      <c r="C412" s="11"/>
      <c r="D412" s="13"/>
      <c r="E412" s="13"/>
      <c r="F412" s="11"/>
      <c r="G412" s="11"/>
      <c r="H412" s="11"/>
      <c r="I412" s="11"/>
      <c r="J412" s="11"/>
      <c r="K412" s="11"/>
      <c r="L412" s="11"/>
      <c r="M412" s="11"/>
      <c r="N412" s="11"/>
      <c r="O412" s="11"/>
      <c r="P412" s="11"/>
      <c r="Q412" s="11"/>
      <c r="R412" s="11"/>
      <c r="S412" s="11"/>
      <c r="T412" s="11"/>
      <c r="U412" s="11"/>
      <c r="V412" s="11"/>
      <c r="W412" s="11"/>
      <c r="X412" s="11"/>
      <c r="Y412" s="11"/>
      <c r="Z412" s="11"/>
      <c r="AA412" s="11"/>
      <c r="AB412" s="11"/>
      <c r="AC412" s="11"/>
      <c r="AD412" s="11"/>
      <c r="AE412" s="11"/>
      <c r="AF412" s="11"/>
    </row>
    <row r="413" spans="1:32" x14ac:dyDescent="0.15">
      <c r="A413" s="11"/>
      <c r="B413" s="32"/>
      <c r="C413" s="11"/>
      <c r="D413" s="13"/>
      <c r="E413" s="13"/>
      <c r="F413" s="11"/>
      <c r="G413" s="11"/>
      <c r="H413" s="11"/>
      <c r="I413" s="11"/>
      <c r="J413" s="11"/>
      <c r="K413" s="11"/>
      <c r="L413" s="11"/>
      <c r="M413" s="11"/>
      <c r="N413" s="11"/>
      <c r="O413" s="11"/>
      <c r="P413" s="11"/>
      <c r="Q413" s="11"/>
      <c r="R413" s="11"/>
      <c r="S413" s="11"/>
      <c r="T413" s="11"/>
      <c r="U413" s="11"/>
      <c r="V413" s="11"/>
      <c r="W413" s="11"/>
      <c r="X413" s="11"/>
      <c r="Y413" s="11"/>
      <c r="Z413" s="11"/>
      <c r="AA413" s="11"/>
      <c r="AB413" s="11"/>
      <c r="AC413" s="11"/>
      <c r="AD413" s="11"/>
      <c r="AE413" s="11"/>
      <c r="AF413" s="11"/>
    </row>
    <row r="414" spans="1:32" x14ac:dyDescent="0.15">
      <c r="A414" s="11"/>
      <c r="B414" s="32"/>
      <c r="C414" s="11"/>
      <c r="D414" s="13"/>
      <c r="E414" s="13"/>
      <c r="F414" s="11"/>
      <c r="G414" s="11"/>
      <c r="H414" s="11"/>
      <c r="I414" s="11"/>
      <c r="J414" s="11"/>
      <c r="K414" s="11"/>
      <c r="L414" s="11"/>
      <c r="M414" s="11"/>
      <c r="N414" s="11"/>
      <c r="O414" s="11"/>
      <c r="P414" s="11"/>
      <c r="Q414" s="11"/>
      <c r="R414" s="11"/>
      <c r="S414" s="11"/>
      <c r="T414" s="11"/>
      <c r="U414" s="11"/>
      <c r="V414" s="11"/>
      <c r="W414" s="11"/>
      <c r="X414" s="11"/>
      <c r="Y414" s="11"/>
      <c r="Z414" s="11"/>
      <c r="AA414" s="11"/>
      <c r="AB414" s="11"/>
      <c r="AC414" s="11"/>
      <c r="AD414" s="11"/>
      <c r="AE414" s="11"/>
      <c r="AF414" s="11"/>
    </row>
    <row r="415" spans="1:32" x14ac:dyDescent="0.15">
      <c r="A415" s="11"/>
      <c r="B415" s="32"/>
      <c r="C415" s="11"/>
      <c r="D415" s="13"/>
      <c r="E415" s="13"/>
      <c r="F415" s="11"/>
      <c r="G415" s="11"/>
      <c r="H415" s="11"/>
      <c r="I415" s="11"/>
      <c r="J415" s="11"/>
      <c r="K415" s="11"/>
      <c r="L415" s="11"/>
      <c r="M415" s="11"/>
      <c r="N415" s="11"/>
      <c r="O415" s="11"/>
      <c r="P415" s="11"/>
      <c r="Q415" s="11"/>
      <c r="R415" s="11"/>
      <c r="S415" s="11"/>
      <c r="T415" s="11"/>
      <c r="U415" s="11"/>
      <c r="V415" s="11"/>
      <c r="W415" s="11"/>
      <c r="X415" s="11"/>
      <c r="Y415" s="11"/>
      <c r="Z415" s="11"/>
      <c r="AA415" s="11"/>
      <c r="AB415" s="11"/>
      <c r="AC415" s="11"/>
      <c r="AD415" s="11"/>
      <c r="AE415" s="11"/>
      <c r="AF415" s="11"/>
    </row>
    <row r="416" spans="1:32" x14ac:dyDescent="0.15">
      <c r="A416" s="11"/>
      <c r="B416" s="32"/>
      <c r="C416" s="11"/>
      <c r="D416" s="13"/>
      <c r="E416" s="13"/>
      <c r="F416" s="11"/>
      <c r="G416" s="11"/>
      <c r="H416" s="11"/>
      <c r="I416" s="11"/>
      <c r="J416" s="11"/>
      <c r="K416" s="11"/>
      <c r="L416" s="11"/>
      <c r="M416" s="11"/>
      <c r="N416" s="11"/>
      <c r="O416" s="11"/>
      <c r="P416" s="11"/>
      <c r="Q416" s="11"/>
      <c r="R416" s="11"/>
      <c r="S416" s="11"/>
      <c r="T416" s="11"/>
      <c r="U416" s="11"/>
      <c r="V416" s="11"/>
      <c r="W416" s="11"/>
      <c r="X416" s="11"/>
      <c r="Y416" s="11"/>
      <c r="Z416" s="11"/>
      <c r="AA416" s="11"/>
      <c r="AB416" s="11"/>
      <c r="AC416" s="11"/>
      <c r="AD416" s="11"/>
      <c r="AE416" s="11"/>
      <c r="AF416" s="11"/>
    </row>
    <row r="417" spans="1:32" x14ac:dyDescent="0.15">
      <c r="A417" s="11"/>
      <c r="B417" s="32"/>
      <c r="C417" s="11"/>
      <c r="D417" s="13"/>
      <c r="E417" s="13"/>
      <c r="F417" s="11"/>
      <c r="G417" s="11"/>
      <c r="H417" s="11"/>
      <c r="I417" s="11"/>
      <c r="J417" s="11"/>
      <c r="K417" s="11"/>
      <c r="L417" s="11"/>
      <c r="M417" s="11"/>
      <c r="N417" s="11"/>
      <c r="O417" s="11"/>
      <c r="P417" s="11"/>
      <c r="Q417" s="11"/>
      <c r="R417" s="11"/>
      <c r="S417" s="11"/>
      <c r="T417" s="11"/>
      <c r="U417" s="11"/>
      <c r="V417" s="11"/>
      <c r="W417" s="11"/>
      <c r="X417" s="11"/>
      <c r="Y417" s="11"/>
      <c r="Z417" s="11"/>
      <c r="AA417" s="11"/>
      <c r="AB417" s="11"/>
      <c r="AC417" s="11"/>
      <c r="AD417" s="11"/>
      <c r="AE417" s="11"/>
      <c r="AF417" s="11"/>
    </row>
    <row r="418" spans="1:32" x14ac:dyDescent="0.15">
      <c r="A418" s="11"/>
      <c r="B418" s="32"/>
      <c r="C418" s="11"/>
      <c r="D418" s="13"/>
      <c r="E418" s="13"/>
      <c r="F418" s="11"/>
      <c r="G418" s="11"/>
      <c r="H418" s="11"/>
      <c r="I418" s="11"/>
      <c r="J418" s="11"/>
      <c r="K418" s="11"/>
      <c r="L418" s="11"/>
      <c r="M418" s="11"/>
      <c r="N418" s="11"/>
      <c r="O418" s="11"/>
      <c r="P418" s="11"/>
      <c r="Q418" s="11"/>
      <c r="R418" s="11"/>
      <c r="S418" s="11"/>
      <c r="T418" s="11"/>
      <c r="U418" s="11"/>
      <c r="V418" s="11"/>
      <c r="W418" s="11"/>
      <c r="X418" s="11"/>
      <c r="Y418" s="11"/>
      <c r="Z418" s="11"/>
      <c r="AA418" s="11"/>
      <c r="AB418" s="11"/>
      <c r="AC418" s="11"/>
      <c r="AD418" s="11"/>
      <c r="AE418" s="11"/>
      <c r="AF418" s="11"/>
    </row>
    <row r="419" spans="1:32" x14ac:dyDescent="0.15">
      <c r="A419" s="11"/>
      <c r="B419" s="32"/>
      <c r="C419" s="11"/>
      <c r="D419" s="13"/>
      <c r="E419" s="13"/>
      <c r="F419" s="11"/>
      <c r="G419" s="11"/>
      <c r="H419" s="11"/>
      <c r="I419" s="11"/>
      <c r="J419" s="11"/>
      <c r="K419" s="11"/>
      <c r="L419" s="11"/>
      <c r="M419" s="11"/>
      <c r="N419" s="11"/>
      <c r="O419" s="11"/>
      <c r="P419" s="11"/>
      <c r="Q419" s="11"/>
      <c r="R419" s="11"/>
      <c r="S419" s="11"/>
      <c r="T419" s="11"/>
      <c r="U419" s="11"/>
      <c r="V419" s="11"/>
      <c r="W419" s="11"/>
      <c r="X419" s="11"/>
      <c r="Y419" s="11"/>
      <c r="Z419" s="11"/>
      <c r="AA419" s="11"/>
      <c r="AB419" s="11"/>
      <c r="AC419" s="11"/>
      <c r="AD419" s="11"/>
      <c r="AE419" s="11"/>
      <c r="AF419" s="11"/>
    </row>
    <row r="420" spans="1:32" x14ac:dyDescent="0.15">
      <c r="A420" s="11"/>
      <c r="B420" s="32"/>
      <c r="C420" s="11"/>
      <c r="D420" s="13"/>
      <c r="E420" s="13"/>
      <c r="F420" s="11"/>
      <c r="G420" s="11"/>
      <c r="H420" s="11"/>
      <c r="I420" s="11"/>
      <c r="J420" s="11"/>
      <c r="K420" s="11"/>
      <c r="L420" s="11"/>
      <c r="M420" s="11"/>
      <c r="N420" s="11"/>
      <c r="O420" s="11"/>
      <c r="P420" s="11"/>
      <c r="Q420" s="11"/>
      <c r="R420" s="11"/>
      <c r="S420" s="11"/>
      <c r="T420" s="11"/>
      <c r="U420" s="11"/>
      <c r="V420" s="11"/>
      <c r="W420" s="11"/>
      <c r="X420" s="11"/>
      <c r="Y420" s="11"/>
      <c r="Z420" s="11"/>
      <c r="AA420" s="11"/>
      <c r="AB420" s="11"/>
      <c r="AC420" s="11"/>
      <c r="AD420" s="11"/>
      <c r="AE420" s="11"/>
      <c r="AF420" s="11"/>
    </row>
    <row r="421" spans="1:32" x14ac:dyDescent="0.15">
      <c r="A421" s="11"/>
      <c r="B421" s="32"/>
      <c r="C421" s="11"/>
      <c r="D421" s="13"/>
      <c r="E421" s="13"/>
      <c r="F421" s="11"/>
      <c r="G421" s="11"/>
      <c r="H421" s="11"/>
      <c r="I421" s="11"/>
      <c r="J421" s="11"/>
      <c r="K421" s="11"/>
      <c r="L421" s="11"/>
      <c r="M421" s="11"/>
      <c r="N421" s="11"/>
      <c r="O421" s="11"/>
      <c r="P421" s="11"/>
      <c r="Q421" s="11"/>
      <c r="R421" s="11"/>
      <c r="S421" s="11"/>
      <c r="T421" s="11"/>
      <c r="U421" s="11"/>
      <c r="V421" s="11"/>
      <c r="W421" s="11"/>
      <c r="X421" s="11"/>
      <c r="Y421" s="11"/>
      <c r="Z421" s="11"/>
      <c r="AA421" s="11"/>
      <c r="AB421" s="11"/>
      <c r="AC421" s="11"/>
      <c r="AD421" s="11"/>
      <c r="AE421" s="11"/>
      <c r="AF421" s="11"/>
    </row>
    <row r="422" spans="1:32" x14ac:dyDescent="0.15">
      <c r="A422" s="11"/>
      <c r="B422" s="32"/>
      <c r="C422" s="11"/>
      <c r="D422" s="13"/>
      <c r="E422" s="13"/>
      <c r="F422" s="11"/>
      <c r="G422" s="11"/>
      <c r="H422" s="11"/>
      <c r="I422" s="11"/>
      <c r="J422" s="11"/>
      <c r="K422" s="11"/>
      <c r="L422" s="11"/>
      <c r="M422" s="11"/>
      <c r="N422" s="11"/>
      <c r="O422" s="11"/>
      <c r="P422" s="11"/>
      <c r="Q422" s="11"/>
      <c r="R422" s="11"/>
      <c r="S422" s="11"/>
      <c r="T422" s="11"/>
      <c r="U422" s="11"/>
      <c r="V422" s="11"/>
      <c r="W422" s="11"/>
      <c r="X422" s="11"/>
      <c r="Y422" s="11"/>
      <c r="Z422" s="11"/>
      <c r="AA422" s="11"/>
      <c r="AB422" s="11"/>
      <c r="AC422" s="11"/>
      <c r="AD422" s="11"/>
      <c r="AE422" s="11"/>
      <c r="AF422" s="11"/>
    </row>
    <row r="423" spans="1:32" x14ac:dyDescent="0.15">
      <c r="A423" s="11"/>
      <c r="B423" s="32"/>
      <c r="C423" s="11"/>
      <c r="D423" s="13"/>
      <c r="E423" s="13"/>
      <c r="F423" s="11"/>
      <c r="G423" s="11"/>
      <c r="H423" s="11"/>
      <c r="I423" s="11"/>
      <c r="J423" s="11"/>
      <c r="K423" s="11"/>
      <c r="L423" s="11"/>
      <c r="M423" s="11"/>
      <c r="N423" s="11"/>
      <c r="O423" s="11"/>
      <c r="P423" s="11"/>
      <c r="Q423" s="11"/>
      <c r="R423" s="11"/>
      <c r="S423" s="11"/>
      <c r="T423" s="11"/>
      <c r="U423" s="11"/>
      <c r="V423" s="11"/>
      <c r="W423" s="11"/>
      <c r="X423" s="11"/>
      <c r="Y423" s="11"/>
      <c r="Z423" s="11"/>
      <c r="AA423" s="11"/>
      <c r="AB423" s="11"/>
      <c r="AC423" s="11"/>
      <c r="AD423" s="11"/>
      <c r="AE423" s="11"/>
      <c r="AF423" s="11"/>
    </row>
    <row r="424" spans="1:32" x14ac:dyDescent="0.15">
      <c r="A424" s="11"/>
      <c r="B424" s="32"/>
      <c r="C424" s="11"/>
      <c r="D424" s="13"/>
      <c r="E424" s="13"/>
      <c r="F424" s="11"/>
      <c r="G424" s="11"/>
      <c r="H424" s="11"/>
      <c r="I424" s="11"/>
      <c r="J424" s="11"/>
      <c r="K424" s="11"/>
      <c r="L424" s="11"/>
      <c r="M424" s="11"/>
      <c r="N424" s="11"/>
      <c r="O424" s="11"/>
      <c r="P424" s="11"/>
      <c r="Q424" s="11"/>
      <c r="R424" s="11"/>
      <c r="S424" s="11"/>
      <c r="T424" s="11"/>
      <c r="U424" s="11"/>
      <c r="V424" s="11"/>
      <c r="W424" s="11"/>
      <c r="X424" s="11"/>
      <c r="Y424" s="11"/>
      <c r="Z424" s="11"/>
      <c r="AA424" s="11"/>
      <c r="AB424" s="11"/>
      <c r="AC424" s="11"/>
      <c r="AD424" s="11"/>
      <c r="AE424" s="11"/>
      <c r="AF424" s="11"/>
    </row>
    <row r="425" spans="1:32" x14ac:dyDescent="0.15">
      <c r="A425" s="11"/>
      <c r="B425" s="32"/>
      <c r="C425" s="11"/>
      <c r="D425" s="13"/>
      <c r="E425" s="13"/>
      <c r="F425" s="11"/>
      <c r="G425" s="11"/>
      <c r="H425" s="11"/>
      <c r="I425" s="11"/>
      <c r="J425" s="11"/>
      <c r="K425" s="11"/>
      <c r="L425" s="11"/>
      <c r="M425" s="11"/>
      <c r="N425" s="11"/>
      <c r="O425" s="11"/>
      <c r="P425" s="11"/>
      <c r="Q425" s="11"/>
      <c r="R425" s="11"/>
      <c r="S425" s="11"/>
      <c r="T425" s="11"/>
      <c r="U425" s="11"/>
      <c r="V425" s="11"/>
      <c r="W425" s="11"/>
      <c r="X425" s="11"/>
      <c r="Y425" s="11"/>
      <c r="Z425" s="11"/>
      <c r="AA425" s="11"/>
      <c r="AB425" s="11"/>
      <c r="AC425" s="11"/>
      <c r="AD425" s="11"/>
      <c r="AE425" s="11"/>
      <c r="AF425" s="11"/>
    </row>
    <row r="426" spans="1:32" x14ac:dyDescent="0.15">
      <c r="A426" s="11"/>
      <c r="B426" s="32"/>
      <c r="C426" s="11"/>
      <c r="D426" s="13"/>
      <c r="E426" s="13"/>
      <c r="F426" s="11"/>
      <c r="G426" s="11"/>
      <c r="H426" s="11"/>
      <c r="I426" s="11"/>
      <c r="J426" s="11"/>
      <c r="K426" s="11"/>
      <c r="L426" s="11"/>
      <c r="M426" s="11"/>
      <c r="N426" s="11"/>
      <c r="O426" s="11"/>
      <c r="P426" s="11"/>
      <c r="Q426" s="11"/>
      <c r="R426" s="11"/>
      <c r="S426" s="11"/>
      <c r="T426" s="11"/>
      <c r="U426" s="11"/>
      <c r="V426" s="11"/>
      <c r="W426" s="11"/>
      <c r="X426" s="11"/>
      <c r="Y426" s="11"/>
      <c r="Z426" s="11"/>
      <c r="AA426" s="11"/>
      <c r="AB426" s="11"/>
      <c r="AC426" s="11"/>
      <c r="AD426" s="11"/>
      <c r="AE426" s="11"/>
      <c r="AF426" s="11"/>
    </row>
    <row r="427" spans="1:32" x14ac:dyDescent="0.15">
      <c r="A427" s="11"/>
      <c r="B427" s="32"/>
      <c r="C427" s="11"/>
      <c r="D427" s="13"/>
      <c r="E427" s="13"/>
      <c r="F427" s="11"/>
      <c r="G427" s="11"/>
      <c r="H427" s="11"/>
      <c r="I427" s="11"/>
      <c r="J427" s="11"/>
      <c r="K427" s="11"/>
      <c r="L427" s="11"/>
      <c r="M427" s="11"/>
      <c r="N427" s="11"/>
      <c r="O427" s="11"/>
      <c r="P427" s="11"/>
      <c r="Q427" s="11"/>
      <c r="R427" s="11"/>
      <c r="S427" s="11"/>
      <c r="T427" s="11"/>
      <c r="U427" s="11"/>
      <c r="V427" s="11"/>
      <c r="W427" s="11"/>
      <c r="X427" s="11"/>
      <c r="Y427" s="11"/>
      <c r="Z427" s="11"/>
      <c r="AA427" s="11"/>
      <c r="AB427" s="11"/>
      <c r="AC427" s="11"/>
      <c r="AD427" s="11"/>
      <c r="AE427" s="11"/>
      <c r="AF427" s="11"/>
    </row>
    <row r="428" spans="1:32" x14ac:dyDescent="0.15">
      <c r="A428" s="11"/>
      <c r="B428" s="32"/>
      <c r="C428" s="11"/>
      <c r="D428" s="13"/>
      <c r="E428" s="13"/>
      <c r="F428" s="11"/>
      <c r="G428" s="11"/>
      <c r="H428" s="11"/>
      <c r="I428" s="11"/>
      <c r="J428" s="11"/>
      <c r="K428" s="11"/>
      <c r="L428" s="11"/>
      <c r="M428" s="11"/>
      <c r="N428" s="11"/>
      <c r="O428" s="11"/>
      <c r="P428" s="11"/>
      <c r="Q428" s="11"/>
      <c r="R428" s="11"/>
      <c r="S428" s="11"/>
      <c r="T428" s="11"/>
      <c r="U428" s="11"/>
      <c r="V428" s="11"/>
      <c r="W428" s="11"/>
      <c r="X428" s="11"/>
      <c r="Y428" s="11"/>
      <c r="Z428" s="11"/>
      <c r="AA428" s="11"/>
      <c r="AB428" s="11"/>
      <c r="AC428" s="11"/>
      <c r="AD428" s="11"/>
      <c r="AE428" s="11"/>
      <c r="AF428" s="11"/>
    </row>
    <row r="429" spans="1:32" x14ac:dyDescent="0.15">
      <c r="A429" s="11"/>
      <c r="B429" s="32"/>
      <c r="C429" s="11"/>
      <c r="D429" s="13"/>
      <c r="E429" s="13"/>
      <c r="F429" s="11"/>
      <c r="G429" s="11"/>
      <c r="H429" s="11"/>
      <c r="I429" s="11"/>
      <c r="J429" s="11"/>
      <c r="K429" s="11"/>
      <c r="L429" s="11"/>
      <c r="M429" s="11"/>
      <c r="N429" s="11"/>
      <c r="O429" s="11"/>
      <c r="P429" s="11"/>
      <c r="Q429" s="11"/>
      <c r="R429" s="11"/>
      <c r="S429" s="11"/>
      <c r="T429" s="11"/>
      <c r="U429" s="11"/>
      <c r="V429" s="11"/>
      <c r="W429" s="11"/>
      <c r="X429" s="11"/>
      <c r="Y429" s="11"/>
      <c r="Z429" s="11"/>
      <c r="AA429" s="11"/>
      <c r="AB429" s="11"/>
      <c r="AC429" s="11"/>
      <c r="AD429" s="11"/>
      <c r="AE429" s="11"/>
      <c r="AF429" s="11"/>
    </row>
    <row r="430" spans="1:32" x14ac:dyDescent="0.15">
      <c r="A430" s="11"/>
      <c r="B430" s="32"/>
      <c r="C430" s="11"/>
      <c r="D430" s="13"/>
      <c r="E430" s="13"/>
      <c r="F430" s="11"/>
      <c r="G430" s="11"/>
      <c r="H430" s="11"/>
      <c r="I430" s="11"/>
      <c r="J430" s="11"/>
      <c r="K430" s="11"/>
      <c r="L430" s="11"/>
      <c r="M430" s="11"/>
      <c r="N430" s="11"/>
      <c r="O430" s="11"/>
      <c r="P430" s="11"/>
      <c r="Q430" s="11"/>
      <c r="R430" s="11"/>
      <c r="S430" s="11"/>
      <c r="T430" s="11"/>
      <c r="U430" s="11"/>
      <c r="V430" s="11"/>
      <c r="W430" s="11"/>
      <c r="X430" s="11"/>
      <c r="Y430" s="11"/>
      <c r="Z430" s="11"/>
      <c r="AA430" s="11"/>
      <c r="AB430" s="11"/>
      <c r="AC430" s="11"/>
      <c r="AD430" s="11"/>
      <c r="AE430" s="11"/>
      <c r="AF430" s="11"/>
    </row>
    <row r="431" spans="1:32" x14ac:dyDescent="0.15">
      <c r="A431" s="11"/>
      <c r="B431" s="32"/>
      <c r="C431" s="11"/>
      <c r="D431" s="13"/>
      <c r="E431" s="13"/>
      <c r="F431" s="11"/>
      <c r="G431" s="11"/>
      <c r="H431" s="11"/>
      <c r="I431" s="11"/>
      <c r="J431" s="11"/>
      <c r="K431" s="11"/>
      <c r="L431" s="11"/>
      <c r="M431" s="11"/>
      <c r="N431" s="11"/>
      <c r="O431" s="11"/>
      <c r="P431" s="11"/>
      <c r="Q431" s="11"/>
      <c r="R431" s="11"/>
      <c r="S431" s="11"/>
      <c r="T431" s="11"/>
      <c r="U431" s="11"/>
      <c r="V431" s="11"/>
      <c r="W431" s="11"/>
      <c r="X431" s="11"/>
      <c r="Y431" s="11"/>
      <c r="Z431" s="11"/>
      <c r="AA431" s="11"/>
      <c r="AB431" s="11"/>
      <c r="AC431" s="11"/>
      <c r="AD431" s="11"/>
      <c r="AE431" s="11"/>
      <c r="AF431" s="11"/>
    </row>
    <row r="432" spans="1:32" x14ac:dyDescent="0.15">
      <c r="A432" s="11"/>
      <c r="B432" s="32"/>
      <c r="C432" s="11"/>
      <c r="D432" s="13"/>
      <c r="E432" s="13"/>
      <c r="F432" s="11"/>
      <c r="G432" s="11"/>
      <c r="H432" s="11"/>
      <c r="I432" s="11"/>
      <c r="J432" s="11"/>
      <c r="K432" s="11"/>
      <c r="L432" s="11"/>
      <c r="M432" s="11"/>
      <c r="N432" s="11"/>
      <c r="O432" s="11"/>
      <c r="P432" s="11"/>
      <c r="Q432" s="11"/>
      <c r="R432" s="11"/>
      <c r="S432" s="11"/>
      <c r="T432" s="11"/>
      <c r="U432" s="11"/>
      <c r="V432" s="11"/>
      <c r="W432" s="11"/>
      <c r="X432" s="11"/>
      <c r="Y432" s="11"/>
      <c r="Z432" s="11"/>
      <c r="AA432" s="11"/>
      <c r="AB432" s="11"/>
      <c r="AC432" s="11"/>
      <c r="AD432" s="11"/>
      <c r="AE432" s="11"/>
      <c r="AF432" s="11"/>
    </row>
    <row r="433" spans="1:32" x14ac:dyDescent="0.15">
      <c r="A433" s="11"/>
      <c r="B433" s="32"/>
      <c r="C433" s="11"/>
      <c r="D433" s="13"/>
      <c r="E433" s="13"/>
      <c r="F433" s="11"/>
      <c r="G433" s="11"/>
      <c r="H433" s="11"/>
      <c r="I433" s="11"/>
      <c r="J433" s="11"/>
      <c r="K433" s="11"/>
      <c r="L433" s="11"/>
      <c r="M433" s="11"/>
      <c r="N433" s="11"/>
      <c r="O433" s="11"/>
      <c r="P433" s="11"/>
      <c r="Q433" s="11"/>
      <c r="R433" s="11"/>
      <c r="S433" s="11"/>
      <c r="T433" s="11"/>
      <c r="U433" s="11"/>
      <c r="V433" s="11"/>
      <c r="W433" s="11"/>
      <c r="X433" s="11"/>
      <c r="Y433" s="11"/>
      <c r="Z433" s="11"/>
      <c r="AA433" s="11"/>
      <c r="AB433" s="11"/>
      <c r="AC433" s="11"/>
      <c r="AD433" s="11"/>
      <c r="AE433" s="11"/>
      <c r="AF433" s="11"/>
    </row>
    <row r="434" spans="1:32" x14ac:dyDescent="0.15">
      <c r="A434" s="11"/>
      <c r="B434" s="32"/>
      <c r="C434" s="11"/>
      <c r="D434" s="13"/>
      <c r="E434" s="13"/>
      <c r="F434" s="11"/>
      <c r="G434" s="11"/>
      <c r="H434" s="11"/>
      <c r="I434" s="11"/>
      <c r="J434" s="11"/>
      <c r="K434" s="11"/>
      <c r="L434" s="11"/>
      <c r="M434" s="11"/>
      <c r="N434" s="11"/>
      <c r="O434" s="11"/>
      <c r="P434" s="11"/>
      <c r="Q434" s="11"/>
      <c r="R434" s="11"/>
      <c r="S434" s="11"/>
      <c r="T434" s="11"/>
      <c r="U434" s="11"/>
      <c r="V434" s="11"/>
      <c r="W434" s="11"/>
      <c r="X434" s="11"/>
      <c r="Y434" s="11"/>
      <c r="Z434" s="11"/>
      <c r="AA434" s="11"/>
      <c r="AB434" s="11"/>
      <c r="AC434" s="11"/>
      <c r="AD434" s="11"/>
      <c r="AE434" s="11"/>
      <c r="AF434" s="11"/>
    </row>
    <row r="435" spans="1:32" x14ac:dyDescent="0.15">
      <c r="A435" s="11"/>
      <c r="B435" s="32"/>
      <c r="C435" s="11"/>
      <c r="D435" s="13"/>
      <c r="E435" s="13"/>
      <c r="F435" s="11"/>
      <c r="G435" s="11"/>
      <c r="H435" s="11"/>
      <c r="I435" s="11"/>
      <c r="J435" s="11"/>
      <c r="K435" s="11"/>
      <c r="L435" s="11"/>
      <c r="M435" s="11"/>
      <c r="N435" s="11"/>
      <c r="O435" s="11"/>
      <c r="P435" s="11"/>
      <c r="Q435" s="11"/>
      <c r="R435" s="11"/>
      <c r="S435" s="11"/>
      <c r="T435" s="11"/>
      <c r="U435" s="11"/>
      <c r="V435" s="11"/>
      <c r="W435" s="11"/>
      <c r="X435" s="11"/>
      <c r="Y435" s="11"/>
      <c r="Z435" s="11"/>
      <c r="AA435" s="11"/>
      <c r="AB435" s="11"/>
      <c r="AC435" s="11"/>
      <c r="AD435" s="11"/>
      <c r="AE435" s="11"/>
      <c r="AF435" s="11"/>
    </row>
    <row r="436" spans="1:32" x14ac:dyDescent="0.15">
      <c r="A436" s="11"/>
      <c r="B436" s="32"/>
      <c r="C436" s="11"/>
      <c r="D436" s="13"/>
      <c r="E436" s="13"/>
      <c r="F436" s="11"/>
      <c r="G436" s="11"/>
      <c r="H436" s="11"/>
      <c r="I436" s="11"/>
      <c r="J436" s="11"/>
      <c r="K436" s="11"/>
      <c r="L436" s="11"/>
      <c r="M436" s="11"/>
      <c r="N436" s="11"/>
      <c r="O436" s="11"/>
      <c r="P436" s="11"/>
      <c r="Q436" s="11"/>
      <c r="R436" s="11"/>
      <c r="S436" s="11"/>
      <c r="T436" s="11"/>
      <c r="U436" s="11"/>
      <c r="V436" s="11"/>
      <c r="W436" s="11"/>
      <c r="X436" s="11"/>
      <c r="Y436" s="11"/>
      <c r="Z436" s="11"/>
      <c r="AA436" s="11"/>
      <c r="AB436" s="11"/>
      <c r="AC436" s="11"/>
      <c r="AD436" s="11"/>
      <c r="AE436" s="11"/>
      <c r="AF436" s="11"/>
    </row>
    <row r="437" spans="1:32" x14ac:dyDescent="0.15">
      <c r="A437" s="11"/>
      <c r="B437" s="32"/>
      <c r="C437" s="11"/>
      <c r="D437" s="13"/>
      <c r="E437" s="13"/>
      <c r="F437" s="11"/>
      <c r="G437" s="11"/>
      <c r="H437" s="11"/>
      <c r="I437" s="11"/>
      <c r="J437" s="11"/>
      <c r="K437" s="11"/>
      <c r="L437" s="11"/>
      <c r="M437" s="11"/>
      <c r="N437" s="11"/>
      <c r="O437" s="11"/>
      <c r="P437" s="11"/>
      <c r="Q437" s="11"/>
      <c r="R437" s="11"/>
      <c r="S437" s="11"/>
      <c r="T437" s="11"/>
      <c r="U437" s="11"/>
      <c r="V437" s="11"/>
      <c r="W437" s="11"/>
      <c r="X437" s="11"/>
      <c r="Y437" s="11"/>
      <c r="Z437" s="11"/>
      <c r="AA437" s="11"/>
      <c r="AB437" s="11"/>
      <c r="AC437" s="11"/>
      <c r="AD437" s="11"/>
      <c r="AE437" s="11"/>
      <c r="AF437" s="11"/>
    </row>
    <row r="438" spans="1:32" x14ac:dyDescent="0.15">
      <c r="A438" s="11"/>
      <c r="B438" s="32"/>
      <c r="C438" s="11"/>
      <c r="D438" s="13"/>
      <c r="E438" s="13"/>
      <c r="F438" s="11"/>
      <c r="G438" s="11"/>
      <c r="H438" s="11"/>
      <c r="I438" s="11"/>
      <c r="J438" s="11"/>
      <c r="K438" s="11"/>
      <c r="L438" s="11"/>
      <c r="M438" s="11"/>
      <c r="N438" s="11"/>
      <c r="O438" s="11"/>
      <c r="P438" s="11"/>
      <c r="Q438" s="11"/>
      <c r="R438" s="11"/>
      <c r="S438" s="11"/>
      <c r="T438" s="11"/>
      <c r="U438" s="11"/>
      <c r="V438" s="11"/>
      <c r="W438" s="11"/>
      <c r="X438" s="11"/>
      <c r="Y438" s="11"/>
      <c r="Z438" s="11"/>
      <c r="AA438" s="11"/>
      <c r="AB438" s="11"/>
      <c r="AC438" s="11"/>
      <c r="AD438" s="11"/>
      <c r="AE438" s="11"/>
      <c r="AF438" s="11"/>
    </row>
    <row r="439" spans="1:32" x14ac:dyDescent="0.15">
      <c r="A439" s="11"/>
      <c r="B439" s="32"/>
      <c r="C439" s="11"/>
      <c r="D439" s="13"/>
      <c r="E439" s="13"/>
      <c r="F439" s="11"/>
      <c r="G439" s="11"/>
      <c r="H439" s="11"/>
      <c r="I439" s="11"/>
      <c r="J439" s="11"/>
      <c r="K439" s="11"/>
      <c r="L439" s="11"/>
      <c r="M439" s="11"/>
      <c r="N439" s="11"/>
      <c r="O439" s="11"/>
      <c r="P439" s="11"/>
      <c r="Q439" s="11"/>
      <c r="R439" s="11"/>
      <c r="S439" s="11"/>
      <c r="T439" s="11"/>
      <c r="U439" s="11"/>
      <c r="V439" s="11"/>
      <c r="W439" s="11"/>
      <c r="X439" s="11"/>
      <c r="Y439" s="11"/>
      <c r="Z439" s="11"/>
      <c r="AA439" s="11"/>
      <c r="AB439" s="11"/>
      <c r="AC439" s="11"/>
      <c r="AD439" s="11"/>
      <c r="AE439" s="11"/>
      <c r="AF439" s="11"/>
    </row>
    <row r="440" spans="1:32" x14ac:dyDescent="0.15">
      <c r="A440" s="11"/>
      <c r="B440" s="32"/>
      <c r="C440" s="11"/>
      <c r="D440" s="13"/>
      <c r="E440" s="13"/>
      <c r="F440" s="11"/>
      <c r="G440" s="11"/>
      <c r="H440" s="11"/>
      <c r="I440" s="11"/>
      <c r="J440" s="11"/>
      <c r="K440" s="11"/>
      <c r="L440" s="11"/>
      <c r="M440" s="11"/>
      <c r="N440" s="11"/>
      <c r="O440" s="11"/>
      <c r="P440" s="11"/>
      <c r="Q440" s="11"/>
      <c r="R440" s="11"/>
      <c r="S440" s="11"/>
      <c r="T440" s="11"/>
      <c r="U440" s="11"/>
      <c r="V440" s="11"/>
      <c r="W440" s="11"/>
      <c r="X440" s="11"/>
      <c r="Y440" s="11"/>
      <c r="Z440" s="11"/>
      <c r="AA440" s="11"/>
      <c r="AB440" s="11"/>
      <c r="AC440" s="11"/>
      <c r="AD440" s="11"/>
      <c r="AE440" s="11"/>
      <c r="AF440" s="11"/>
    </row>
    <row r="441" spans="1:32" x14ac:dyDescent="0.15">
      <c r="A441" s="11"/>
      <c r="B441" s="32"/>
      <c r="C441" s="11"/>
      <c r="D441" s="13"/>
      <c r="E441" s="13"/>
      <c r="F441" s="11"/>
      <c r="G441" s="11"/>
      <c r="H441" s="11"/>
      <c r="I441" s="11"/>
      <c r="J441" s="11"/>
      <c r="K441" s="11"/>
      <c r="L441" s="11"/>
      <c r="M441" s="11"/>
      <c r="N441" s="11"/>
      <c r="O441" s="11"/>
      <c r="P441" s="11"/>
      <c r="Q441" s="11"/>
      <c r="R441" s="11"/>
      <c r="S441" s="11"/>
      <c r="T441" s="11"/>
      <c r="U441" s="11"/>
      <c r="V441" s="11"/>
      <c r="W441" s="11"/>
      <c r="X441" s="11"/>
      <c r="Y441" s="11"/>
      <c r="Z441" s="11"/>
      <c r="AA441" s="11"/>
      <c r="AB441" s="11"/>
      <c r="AC441" s="11"/>
      <c r="AD441" s="11"/>
      <c r="AE441" s="11"/>
      <c r="AF441" s="11"/>
    </row>
    <row r="442" spans="1:32" x14ac:dyDescent="0.15">
      <c r="A442" s="11"/>
      <c r="B442" s="32"/>
      <c r="C442" s="11"/>
      <c r="D442" s="13"/>
      <c r="E442" s="13"/>
      <c r="F442" s="11"/>
      <c r="G442" s="11"/>
      <c r="H442" s="11"/>
      <c r="I442" s="11"/>
      <c r="J442" s="11"/>
      <c r="K442" s="11"/>
      <c r="L442" s="11"/>
      <c r="M442" s="11"/>
      <c r="N442" s="11"/>
      <c r="O442" s="11"/>
      <c r="P442" s="11"/>
      <c r="Q442" s="11"/>
      <c r="R442" s="11"/>
      <c r="S442" s="11"/>
      <c r="T442" s="11"/>
      <c r="U442" s="11"/>
      <c r="V442" s="11"/>
      <c r="W442" s="11"/>
      <c r="X442" s="11"/>
      <c r="Y442" s="11"/>
      <c r="Z442" s="11"/>
      <c r="AA442" s="11"/>
      <c r="AB442" s="11"/>
      <c r="AC442" s="11"/>
      <c r="AD442" s="11"/>
      <c r="AE442" s="11"/>
      <c r="AF442" s="11"/>
    </row>
    <row r="443" spans="1:32" x14ac:dyDescent="0.15">
      <c r="A443" s="11"/>
      <c r="B443" s="32"/>
      <c r="C443" s="11"/>
      <c r="D443" s="13"/>
      <c r="E443" s="13"/>
      <c r="F443" s="11"/>
      <c r="G443" s="11"/>
      <c r="H443" s="11"/>
      <c r="I443" s="11"/>
      <c r="J443" s="11"/>
      <c r="K443" s="11"/>
      <c r="L443" s="11"/>
      <c r="M443" s="11"/>
      <c r="N443" s="11"/>
      <c r="O443" s="11"/>
      <c r="P443" s="11"/>
      <c r="Q443" s="11"/>
      <c r="R443" s="11"/>
      <c r="S443" s="11"/>
      <c r="T443" s="11"/>
      <c r="U443" s="11"/>
      <c r="V443" s="11"/>
      <c r="W443" s="11"/>
      <c r="X443" s="11"/>
      <c r="Y443" s="11"/>
      <c r="Z443" s="11"/>
      <c r="AA443" s="11"/>
      <c r="AB443" s="11"/>
      <c r="AC443" s="11"/>
      <c r="AD443" s="11"/>
      <c r="AE443" s="11"/>
      <c r="AF443" s="11"/>
    </row>
    <row r="444" spans="1:32" x14ac:dyDescent="0.15">
      <c r="A444" s="11"/>
      <c r="B444" s="32"/>
      <c r="C444" s="11"/>
      <c r="D444" s="13"/>
      <c r="E444" s="13"/>
      <c r="F444" s="11"/>
      <c r="G444" s="11"/>
      <c r="H444" s="11"/>
      <c r="I444" s="11"/>
      <c r="J444" s="11"/>
      <c r="K444" s="11"/>
      <c r="L444" s="11"/>
      <c r="M444" s="11"/>
      <c r="N444" s="11"/>
      <c r="O444" s="11"/>
      <c r="P444" s="11"/>
      <c r="Q444" s="11"/>
      <c r="R444" s="11"/>
      <c r="S444" s="11"/>
      <c r="T444" s="11"/>
      <c r="U444" s="11"/>
      <c r="V444" s="11"/>
      <c r="W444" s="11"/>
      <c r="X444" s="11"/>
      <c r="Y444" s="11"/>
      <c r="Z444" s="11"/>
      <c r="AA444" s="11"/>
      <c r="AB444" s="11"/>
      <c r="AC444" s="11"/>
      <c r="AD444" s="11"/>
      <c r="AE444" s="11"/>
      <c r="AF444" s="11"/>
    </row>
    <row r="445" spans="1:32" x14ac:dyDescent="0.15">
      <c r="A445" s="11"/>
      <c r="B445" s="32"/>
      <c r="C445" s="11"/>
      <c r="D445" s="13"/>
      <c r="E445" s="13"/>
      <c r="F445" s="11"/>
      <c r="G445" s="11"/>
      <c r="H445" s="11"/>
      <c r="I445" s="11"/>
      <c r="J445" s="11"/>
      <c r="K445" s="11"/>
      <c r="L445" s="11"/>
      <c r="M445" s="11"/>
      <c r="N445" s="11"/>
      <c r="O445" s="11"/>
      <c r="P445" s="11"/>
      <c r="Q445" s="11"/>
      <c r="R445" s="11"/>
      <c r="S445" s="11"/>
      <c r="T445" s="11"/>
      <c r="U445" s="11"/>
      <c r="V445" s="11"/>
      <c r="W445" s="11"/>
      <c r="X445" s="11"/>
      <c r="Y445" s="11"/>
      <c r="Z445" s="11"/>
      <c r="AA445" s="11"/>
      <c r="AB445" s="11"/>
      <c r="AC445" s="11"/>
      <c r="AD445" s="11"/>
      <c r="AE445" s="11"/>
      <c r="AF445" s="11"/>
    </row>
    <row r="446" spans="1:32" x14ac:dyDescent="0.15">
      <c r="A446" s="11"/>
      <c r="B446" s="32"/>
      <c r="C446" s="11"/>
      <c r="D446" s="13"/>
      <c r="E446" s="13"/>
      <c r="F446" s="11"/>
      <c r="G446" s="11"/>
      <c r="H446" s="11"/>
      <c r="I446" s="11"/>
      <c r="J446" s="11"/>
      <c r="K446" s="11"/>
      <c r="L446" s="11"/>
      <c r="M446" s="11"/>
      <c r="N446" s="11"/>
      <c r="O446" s="11"/>
      <c r="P446" s="11"/>
      <c r="Q446" s="11"/>
      <c r="R446" s="11"/>
      <c r="S446" s="11"/>
      <c r="T446" s="11"/>
      <c r="U446" s="11"/>
      <c r="V446" s="11"/>
      <c r="W446" s="11"/>
      <c r="X446" s="11"/>
      <c r="Y446" s="11"/>
      <c r="Z446" s="11"/>
      <c r="AA446" s="11"/>
      <c r="AB446" s="11"/>
      <c r="AC446" s="11"/>
      <c r="AD446" s="11"/>
      <c r="AE446" s="11"/>
      <c r="AF446" s="11"/>
    </row>
    <row r="447" spans="1:32" x14ac:dyDescent="0.15">
      <c r="A447" s="11"/>
      <c r="B447" s="32"/>
      <c r="C447" s="11"/>
      <c r="D447" s="13"/>
      <c r="E447" s="13"/>
      <c r="F447" s="11"/>
      <c r="G447" s="11"/>
      <c r="H447" s="11"/>
      <c r="I447" s="11"/>
      <c r="J447" s="11"/>
      <c r="K447" s="11"/>
      <c r="L447" s="11"/>
      <c r="M447" s="11"/>
      <c r="N447" s="11"/>
      <c r="O447" s="11"/>
      <c r="P447" s="11"/>
      <c r="Q447" s="11"/>
      <c r="R447" s="11"/>
      <c r="S447" s="11"/>
      <c r="T447" s="11"/>
      <c r="U447" s="11"/>
      <c r="V447" s="11"/>
      <c r="W447" s="11"/>
      <c r="X447" s="11"/>
      <c r="Y447" s="11"/>
      <c r="Z447" s="11"/>
      <c r="AA447" s="11"/>
      <c r="AB447" s="11"/>
      <c r="AC447" s="11"/>
      <c r="AD447" s="11"/>
      <c r="AE447" s="11"/>
      <c r="AF447" s="11"/>
    </row>
    <row r="448" spans="1:32" x14ac:dyDescent="0.15">
      <c r="A448" s="11"/>
      <c r="B448" s="32"/>
      <c r="C448" s="11"/>
      <c r="D448" s="13"/>
      <c r="E448" s="13"/>
      <c r="F448" s="11"/>
      <c r="G448" s="11"/>
      <c r="H448" s="11"/>
      <c r="I448" s="11"/>
      <c r="J448" s="11"/>
      <c r="K448" s="11"/>
      <c r="L448" s="11"/>
      <c r="M448" s="11"/>
      <c r="N448" s="11"/>
      <c r="O448" s="11"/>
      <c r="P448" s="11"/>
      <c r="Q448" s="11"/>
      <c r="R448" s="11"/>
      <c r="S448" s="11"/>
      <c r="T448" s="11"/>
      <c r="U448" s="11"/>
      <c r="V448" s="11"/>
      <c r="W448" s="11"/>
      <c r="X448" s="11"/>
      <c r="Y448" s="11"/>
      <c r="Z448" s="11"/>
      <c r="AA448" s="11"/>
      <c r="AB448" s="11"/>
      <c r="AC448" s="11"/>
      <c r="AD448" s="11"/>
      <c r="AE448" s="11"/>
      <c r="AF448" s="11"/>
    </row>
    <row r="449" spans="1:32" x14ac:dyDescent="0.15">
      <c r="A449" s="11"/>
      <c r="B449" s="32"/>
      <c r="C449" s="11"/>
      <c r="D449" s="13"/>
      <c r="E449" s="13"/>
      <c r="F449" s="11"/>
      <c r="G449" s="11"/>
      <c r="H449" s="11"/>
      <c r="I449" s="11"/>
      <c r="J449" s="11"/>
      <c r="K449" s="11"/>
      <c r="L449" s="11"/>
      <c r="M449" s="11"/>
      <c r="N449" s="11"/>
      <c r="O449" s="11"/>
      <c r="P449" s="11"/>
      <c r="Q449" s="11"/>
      <c r="R449" s="11"/>
      <c r="S449" s="11"/>
      <c r="T449" s="11"/>
      <c r="U449" s="11"/>
      <c r="V449" s="11"/>
      <c r="W449" s="11"/>
      <c r="X449" s="11"/>
      <c r="Y449" s="11"/>
      <c r="Z449" s="11"/>
      <c r="AA449" s="11"/>
      <c r="AB449" s="11"/>
      <c r="AC449" s="11"/>
      <c r="AD449" s="11"/>
      <c r="AE449" s="11"/>
      <c r="AF449" s="11"/>
    </row>
    <row r="450" spans="1:32" x14ac:dyDescent="0.15">
      <c r="A450" s="11"/>
      <c r="B450" s="32"/>
      <c r="C450" s="11"/>
      <c r="D450" s="13"/>
      <c r="E450" s="13"/>
      <c r="F450" s="11"/>
      <c r="G450" s="11"/>
      <c r="H450" s="11"/>
      <c r="I450" s="11"/>
      <c r="J450" s="11"/>
      <c r="K450" s="11"/>
      <c r="L450" s="11"/>
      <c r="M450" s="11"/>
      <c r="N450" s="11"/>
      <c r="O450" s="11"/>
      <c r="P450" s="11"/>
      <c r="Q450" s="11"/>
      <c r="R450" s="11"/>
      <c r="S450" s="11"/>
      <c r="T450" s="11"/>
      <c r="U450" s="11"/>
      <c r="V450" s="11"/>
      <c r="W450" s="11"/>
      <c r="X450" s="11"/>
      <c r="Y450" s="11"/>
      <c r="Z450" s="11"/>
      <c r="AA450" s="11"/>
      <c r="AB450" s="11"/>
      <c r="AC450" s="11"/>
      <c r="AD450" s="11"/>
      <c r="AE450" s="11"/>
      <c r="AF450" s="11"/>
    </row>
    <row r="451" spans="1:32" x14ac:dyDescent="0.15">
      <c r="A451" s="11"/>
      <c r="B451" s="32"/>
      <c r="C451" s="11"/>
      <c r="D451" s="13"/>
      <c r="E451" s="13"/>
      <c r="F451" s="11"/>
      <c r="G451" s="11"/>
      <c r="H451" s="11"/>
      <c r="I451" s="11"/>
      <c r="J451" s="11"/>
      <c r="K451" s="11"/>
      <c r="L451" s="11"/>
      <c r="M451" s="11"/>
      <c r="N451" s="11"/>
      <c r="O451" s="11"/>
      <c r="P451" s="11"/>
      <c r="Q451" s="11"/>
      <c r="R451" s="11"/>
      <c r="S451" s="11"/>
      <c r="T451" s="11"/>
      <c r="U451" s="11"/>
      <c r="V451" s="11"/>
      <c r="W451" s="11"/>
      <c r="X451" s="11"/>
      <c r="Y451" s="11"/>
      <c r="Z451" s="11"/>
      <c r="AA451" s="11"/>
      <c r="AB451" s="11"/>
      <c r="AC451" s="11"/>
      <c r="AD451" s="11"/>
      <c r="AE451" s="11"/>
      <c r="AF451" s="11"/>
    </row>
    <row r="452" spans="1:32" x14ac:dyDescent="0.15">
      <c r="A452" s="11"/>
      <c r="B452" s="32"/>
      <c r="C452" s="11"/>
      <c r="D452" s="13"/>
      <c r="E452" s="13"/>
      <c r="F452" s="11"/>
      <c r="G452" s="11"/>
      <c r="H452" s="11"/>
      <c r="I452" s="11"/>
      <c r="J452" s="11"/>
      <c r="K452" s="11"/>
      <c r="L452" s="11"/>
      <c r="M452" s="11"/>
      <c r="N452" s="11"/>
      <c r="O452" s="11"/>
      <c r="P452" s="11"/>
      <c r="Q452" s="11"/>
      <c r="R452" s="11"/>
      <c r="S452" s="11"/>
      <c r="T452" s="11"/>
      <c r="U452" s="11"/>
      <c r="V452" s="11"/>
      <c r="W452" s="11"/>
      <c r="X452" s="11"/>
      <c r="Y452" s="11"/>
      <c r="Z452" s="11"/>
      <c r="AA452" s="11"/>
      <c r="AB452" s="11"/>
      <c r="AC452" s="11"/>
      <c r="AD452" s="11"/>
      <c r="AE452" s="11"/>
      <c r="AF452" s="11"/>
    </row>
    <row r="453" spans="1:32" x14ac:dyDescent="0.15">
      <c r="A453" s="11"/>
      <c r="B453" s="32"/>
      <c r="C453" s="11"/>
      <c r="D453" s="13"/>
      <c r="E453" s="13"/>
      <c r="F453" s="11"/>
      <c r="G453" s="11"/>
      <c r="H453" s="11"/>
      <c r="I453" s="11"/>
      <c r="J453" s="11"/>
      <c r="K453" s="11"/>
      <c r="L453" s="11"/>
      <c r="M453" s="11"/>
      <c r="N453" s="11"/>
      <c r="O453" s="11"/>
      <c r="P453" s="11"/>
      <c r="Q453" s="11"/>
      <c r="R453" s="11"/>
      <c r="S453" s="11"/>
      <c r="T453" s="11"/>
      <c r="U453" s="11"/>
      <c r="V453" s="11"/>
      <c r="W453" s="11"/>
      <c r="X453" s="11"/>
      <c r="Y453" s="11"/>
      <c r="Z453" s="11"/>
      <c r="AA453" s="11"/>
      <c r="AB453" s="11"/>
      <c r="AC453" s="11"/>
      <c r="AD453" s="11"/>
      <c r="AE453" s="11"/>
      <c r="AF453" s="11"/>
    </row>
    <row r="454" spans="1:32" x14ac:dyDescent="0.15">
      <c r="A454" s="11"/>
      <c r="B454" s="32"/>
      <c r="C454" s="11"/>
      <c r="D454" s="13"/>
      <c r="E454" s="13"/>
      <c r="F454" s="11"/>
      <c r="G454" s="11"/>
      <c r="H454" s="11"/>
      <c r="I454" s="11"/>
      <c r="J454" s="11"/>
      <c r="K454" s="11"/>
      <c r="L454" s="11"/>
      <c r="M454" s="11"/>
      <c r="N454" s="11"/>
      <c r="O454" s="11"/>
      <c r="P454" s="11"/>
      <c r="Q454" s="11"/>
      <c r="R454" s="11"/>
      <c r="S454" s="11"/>
      <c r="T454" s="11"/>
      <c r="U454" s="11"/>
      <c r="V454" s="11"/>
      <c r="W454" s="11"/>
      <c r="X454" s="11"/>
      <c r="Y454" s="11"/>
      <c r="Z454" s="11"/>
      <c r="AA454" s="11"/>
      <c r="AB454" s="11"/>
      <c r="AC454" s="11"/>
      <c r="AD454" s="11"/>
      <c r="AE454" s="11"/>
      <c r="AF454" s="11"/>
    </row>
    <row r="455" spans="1:32" x14ac:dyDescent="0.15">
      <c r="A455" s="11"/>
      <c r="B455" s="32"/>
      <c r="C455" s="11"/>
      <c r="D455" s="13"/>
      <c r="E455" s="13"/>
      <c r="F455" s="11"/>
      <c r="G455" s="11"/>
      <c r="H455" s="11"/>
      <c r="I455" s="11"/>
      <c r="J455" s="11"/>
      <c r="K455" s="11"/>
      <c r="L455" s="11"/>
      <c r="M455" s="11"/>
      <c r="N455" s="11"/>
      <c r="O455" s="11"/>
      <c r="P455" s="11"/>
      <c r="Q455" s="11"/>
      <c r="R455" s="11"/>
      <c r="S455" s="11"/>
      <c r="T455" s="11"/>
      <c r="U455" s="11"/>
      <c r="V455" s="11"/>
      <c r="W455" s="11"/>
      <c r="X455" s="11"/>
      <c r="Y455" s="11"/>
      <c r="Z455" s="11"/>
      <c r="AA455" s="11"/>
      <c r="AB455" s="11"/>
      <c r="AC455" s="11"/>
      <c r="AD455" s="11"/>
      <c r="AE455" s="11"/>
      <c r="AF455" s="11"/>
    </row>
    <row r="456" spans="1:32" x14ac:dyDescent="0.15">
      <c r="A456" s="11"/>
      <c r="B456" s="32"/>
      <c r="C456" s="11"/>
      <c r="D456" s="13"/>
      <c r="E456" s="13"/>
      <c r="F456" s="11"/>
      <c r="G456" s="11"/>
      <c r="H456" s="11"/>
      <c r="I456" s="11"/>
      <c r="J456" s="11"/>
      <c r="K456" s="11"/>
      <c r="L456" s="11"/>
      <c r="M456" s="11"/>
      <c r="N456" s="11"/>
      <c r="O456" s="11"/>
      <c r="P456" s="11"/>
      <c r="Q456" s="11"/>
      <c r="R456" s="11"/>
      <c r="S456" s="11"/>
      <c r="T456" s="11"/>
      <c r="U456" s="11"/>
      <c r="V456" s="11"/>
      <c r="W456" s="11"/>
      <c r="X456" s="11"/>
      <c r="Y456" s="11"/>
      <c r="Z456" s="11"/>
      <c r="AA456" s="11"/>
      <c r="AB456" s="11"/>
      <c r="AC456" s="11"/>
      <c r="AD456" s="11"/>
      <c r="AE456" s="11"/>
      <c r="AF456" s="11"/>
    </row>
    <row r="457" spans="1:32" x14ac:dyDescent="0.15">
      <c r="A457" s="11"/>
      <c r="B457" s="32"/>
      <c r="C457" s="11"/>
      <c r="D457" s="13"/>
      <c r="E457" s="13"/>
      <c r="F457" s="11"/>
      <c r="G457" s="11"/>
      <c r="H457" s="11"/>
      <c r="I457" s="11"/>
      <c r="J457" s="11"/>
      <c r="K457" s="11"/>
      <c r="L457" s="11"/>
      <c r="M457" s="11"/>
      <c r="N457" s="11"/>
      <c r="O457" s="11"/>
      <c r="P457" s="11"/>
      <c r="Q457" s="11"/>
      <c r="R457" s="11"/>
      <c r="S457" s="11"/>
      <c r="T457" s="11"/>
      <c r="U457" s="11"/>
      <c r="V457" s="11"/>
      <c r="W457" s="11"/>
      <c r="X457" s="11"/>
      <c r="Y457" s="11"/>
      <c r="Z457" s="11"/>
      <c r="AA457" s="11"/>
      <c r="AB457" s="11"/>
      <c r="AC457" s="11"/>
      <c r="AD457" s="11"/>
      <c r="AE457" s="11"/>
      <c r="AF457" s="11"/>
    </row>
    <row r="458" spans="1:32" x14ac:dyDescent="0.15">
      <c r="A458" s="11"/>
      <c r="B458" s="32"/>
      <c r="C458" s="11"/>
      <c r="D458" s="13"/>
      <c r="E458" s="13"/>
      <c r="F458" s="11"/>
      <c r="G458" s="11"/>
      <c r="H458" s="11"/>
      <c r="I458" s="11"/>
      <c r="J458" s="11"/>
      <c r="K458" s="11"/>
      <c r="L458" s="11"/>
      <c r="M458" s="11"/>
      <c r="N458" s="11"/>
      <c r="O458" s="11"/>
      <c r="P458" s="11"/>
      <c r="Q458" s="11"/>
      <c r="R458" s="11"/>
      <c r="S458" s="11"/>
      <c r="T458" s="11"/>
      <c r="U458" s="11"/>
      <c r="V458" s="11"/>
      <c r="W458" s="11"/>
      <c r="X458" s="11"/>
      <c r="Y458" s="11"/>
      <c r="Z458" s="11"/>
      <c r="AA458" s="11"/>
      <c r="AB458" s="11"/>
      <c r="AC458" s="11"/>
      <c r="AD458" s="11"/>
      <c r="AE458" s="11"/>
      <c r="AF458" s="11"/>
    </row>
    <row r="459" spans="1:32" x14ac:dyDescent="0.15">
      <c r="A459" s="11"/>
      <c r="B459" s="32"/>
      <c r="C459" s="11"/>
      <c r="D459" s="13"/>
      <c r="E459" s="13"/>
      <c r="F459" s="11"/>
      <c r="G459" s="11"/>
      <c r="H459" s="11"/>
      <c r="I459" s="11"/>
      <c r="J459" s="11"/>
      <c r="K459" s="11"/>
      <c r="L459" s="11"/>
      <c r="M459" s="11"/>
      <c r="N459" s="11"/>
      <c r="O459" s="11"/>
      <c r="P459" s="11"/>
      <c r="Q459" s="11"/>
      <c r="R459" s="11"/>
      <c r="S459" s="11"/>
      <c r="T459" s="11"/>
      <c r="U459" s="11"/>
      <c r="V459" s="11"/>
      <c r="W459" s="11"/>
      <c r="X459" s="11"/>
      <c r="Y459" s="11"/>
      <c r="Z459" s="11"/>
      <c r="AA459" s="11"/>
      <c r="AB459" s="11"/>
      <c r="AC459" s="11"/>
      <c r="AD459" s="11"/>
      <c r="AE459" s="11"/>
      <c r="AF459" s="11"/>
    </row>
    <row r="460" spans="1:32" x14ac:dyDescent="0.15">
      <c r="A460" s="11"/>
      <c r="B460" s="32"/>
      <c r="C460" s="11"/>
      <c r="D460" s="13"/>
      <c r="E460" s="13"/>
      <c r="F460" s="11"/>
      <c r="G460" s="11"/>
      <c r="H460" s="11"/>
      <c r="I460" s="11"/>
      <c r="J460" s="11"/>
      <c r="K460" s="11"/>
      <c r="L460" s="11"/>
      <c r="M460" s="11"/>
      <c r="N460" s="11"/>
      <c r="O460" s="11"/>
      <c r="P460" s="11"/>
      <c r="Q460" s="11"/>
      <c r="R460" s="11"/>
      <c r="S460" s="11"/>
      <c r="T460" s="11"/>
      <c r="U460" s="11"/>
      <c r="V460" s="11"/>
      <c r="W460" s="11"/>
      <c r="X460" s="11"/>
      <c r="Y460" s="11"/>
      <c r="Z460" s="11"/>
      <c r="AA460" s="11"/>
      <c r="AB460" s="11"/>
      <c r="AC460" s="11"/>
      <c r="AD460" s="11"/>
      <c r="AE460" s="11"/>
      <c r="AF460" s="11"/>
    </row>
    <row r="461" spans="1:32" x14ac:dyDescent="0.15">
      <c r="A461" s="11"/>
      <c r="B461" s="32"/>
      <c r="C461" s="11"/>
      <c r="D461" s="13"/>
      <c r="E461" s="13"/>
      <c r="F461" s="11"/>
      <c r="G461" s="11"/>
      <c r="H461" s="11"/>
      <c r="I461" s="11"/>
      <c r="J461" s="11"/>
      <c r="K461" s="11"/>
      <c r="L461" s="11"/>
      <c r="M461" s="11"/>
      <c r="N461" s="11"/>
      <c r="O461" s="11"/>
      <c r="P461" s="11"/>
      <c r="Q461" s="11"/>
      <c r="R461" s="11"/>
      <c r="S461" s="11"/>
      <c r="T461" s="11"/>
      <c r="U461" s="11"/>
      <c r="V461" s="11"/>
      <c r="W461" s="11"/>
      <c r="X461" s="11"/>
      <c r="Y461" s="11"/>
      <c r="Z461" s="11"/>
      <c r="AA461" s="11"/>
      <c r="AB461" s="11"/>
      <c r="AC461" s="11"/>
      <c r="AD461" s="11"/>
      <c r="AE461" s="11"/>
      <c r="AF461" s="11"/>
    </row>
    <row r="462" spans="1:32" x14ac:dyDescent="0.15">
      <c r="A462" s="11"/>
      <c r="B462" s="32"/>
      <c r="C462" s="11"/>
      <c r="D462" s="13"/>
      <c r="E462" s="13"/>
      <c r="F462" s="11"/>
      <c r="G462" s="11"/>
      <c r="H462" s="11"/>
      <c r="I462" s="11"/>
      <c r="J462" s="11"/>
      <c r="K462" s="11"/>
      <c r="L462" s="11"/>
      <c r="M462" s="11"/>
      <c r="N462" s="11"/>
      <c r="O462" s="11"/>
      <c r="P462" s="11"/>
      <c r="Q462" s="11"/>
      <c r="R462" s="11"/>
      <c r="S462" s="11"/>
      <c r="T462" s="11"/>
      <c r="U462" s="11"/>
      <c r="V462" s="11"/>
      <c r="W462" s="11"/>
      <c r="X462" s="11"/>
      <c r="Y462" s="11"/>
      <c r="Z462" s="11"/>
      <c r="AA462" s="11"/>
      <c r="AB462" s="11"/>
      <c r="AC462" s="11"/>
      <c r="AD462" s="11"/>
      <c r="AE462" s="11"/>
      <c r="AF462" s="11"/>
    </row>
    <row r="463" spans="1:32" x14ac:dyDescent="0.15">
      <c r="A463" s="11"/>
      <c r="B463" s="32"/>
      <c r="C463" s="11"/>
      <c r="D463" s="13"/>
      <c r="E463" s="13"/>
      <c r="F463" s="11"/>
      <c r="G463" s="11"/>
      <c r="H463" s="11"/>
      <c r="I463" s="11"/>
      <c r="J463" s="11"/>
      <c r="K463" s="11"/>
      <c r="L463" s="11"/>
      <c r="M463" s="11"/>
      <c r="N463" s="11"/>
      <c r="O463" s="11"/>
      <c r="P463" s="11"/>
      <c r="Q463" s="11"/>
      <c r="R463" s="11"/>
      <c r="S463" s="11"/>
      <c r="T463" s="11"/>
      <c r="U463" s="11"/>
      <c r="V463" s="11"/>
      <c r="W463" s="11"/>
      <c r="X463" s="11"/>
      <c r="Y463" s="11"/>
      <c r="Z463" s="11"/>
      <c r="AA463" s="11"/>
      <c r="AB463" s="11"/>
      <c r="AC463" s="11"/>
      <c r="AD463" s="11"/>
      <c r="AE463" s="11"/>
      <c r="AF463" s="11"/>
    </row>
    <row r="464" spans="1:32" x14ac:dyDescent="0.15">
      <c r="A464" s="11"/>
      <c r="B464" s="32"/>
      <c r="C464" s="11"/>
      <c r="D464" s="13"/>
      <c r="E464" s="13"/>
      <c r="F464" s="11"/>
      <c r="G464" s="11"/>
      <c r="H464" s="11"/>
      <c r="I464" s="11"/>
      <c r="J464" s="11"/>
      <c r="K464" s="11"/>
      <c r="L464" s="11"/>
      <c r="M464" s="11"/>
      <c r="N464" s="11"/>
      <c r="O464" s="11"/>
      <c r="P464" s="11"/>
      <c r="Q464" s="11"/>
      <c r="R464" s="11"/>
      <c r="S464" s="11"/>
      <c r="T464" s="11"/>
      <c r="U464" s="11"/>
      <c r="V464" s="11"/>
      <c r="W464" s="11"/>
      <c r="X464" s="11"/>
      <c r="Y464" s="11"/>
      <c r="Z464" s="11"/>
      <c r="AA464" s="11"/>
      <c r="AB464" s="11"/>
      <c r="AC464" s="11"/>
      <c r="AD464" s="11"/>
      <c r="AE464" s="11"/>
      <c r="AF464" s="11"/>
    </row>
    <row r="465" spans="1:32" x14ac:dyDescent="0.15">
      <c r="A465" s="11"/>
      <c r="B465" s="32"/>
      <c r="C465" s="11"/>
      <c r="D465" s="13"/>
      <c r="E465" s="13"/>
      <c r="F465" s="11"/>
      <c r="G465" s="11"/>
      <c r="H465" s="11"/>
      <c r="I465" s="11"/>
      <c r="J465" s="11"/>
      <c r="K465" s="11"/>
      <c r="L465" s="11"/>
      <c r="M465" s="11"/>
      <c r="N465" s="11"/>
      <c r="O465" s="11"/>
      <c r="P465" s="11"/>
      <c r="Q465" s="11"/>
      <c r="R465" s="11"/>
      <c r="S465" s="11"/>
      <c r="T465" s="11"/>
      <c r="U465" s="11"/>
      <c r="V465" s="11"/>
      <c r="W465" s="11"/>
      <c r="X465" s="11"/>
      <c r="Y465" s="11"/>
      <c r="Z465" s="11"/>
      <c r="AA465" s="11"/>
      <c r="AB465" s="11"/>
      <c r="AC465" s="11"/>
      <c r="AD465" s="11"/>
      <c r="AE465" s="11"/>
      <c r="AF465" s="11"/>
    </row>
    <row r="466" spans="1:32" x14ac:dyDescent="0.15">
      <c r="A466" s="11"/>
      <c r="B466" s="32"/>
      <c r="C466" s="11"/>
      <c r="D466" s="13"/>
      <c r="E466" s="13"/>
      <c r="F466" s="11"/>
      <c r="G466" s="11"/>
      <c r="H466" s="11"/>
      <c r="I466" s="11"/>
      <c r="J466" s="11"/>
      <c r="K466" s="11"/>
      <c r="L466" s="11"/>
      <c r="M466" s="11"/>
      <c r="N466" s="11"/>
      <c r="O466" s="11"/>
      <c r="P466" s="11"/>
      <c r="Q466" s="11"/>
      <c r="R466" s="11"/>
      <c r="S466" s="11"/>
      <c r="T466" s="11"/>
      <c r="U466" s="11"/>
      <c r="V466" s="11"/>
      <c r="W466" s="11"/>
      <c r="X466" s="11"/>
      <c r="Y466" s="11"/>
      <c r="Z466" s="11"/>
      <c r="AA466" s="11"/>
      <c r="AB466" s="11"/>
      <c r="AC466" s="11"/>
      <c r="AD466" s="11"/>
      <c r="AE466" s="11"/>
      <c r="AF466" s="11"/>
    </row>
    <row r="467" spans="1:32" x14ac:dyDescent="0.15">
      <c r="A467" s="11"/>
      <c r="B467" s="32"/>
      <c r="C467" s="11"/>
      <c r="D467" s="13"/>
      <c r="E467" s="13"/>
      <c r="F467" s="11"/>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row>
    <row r="468" spans="1:32" x14ac:dyDescent="0.15">
      <c r="A468" s="11"/>
      <c r="B468" s="32"/>
      <c r="C468" s="11"/>
      <c r="D468" s="13"/>
      <c r="E468" s="13"/>
      <c r="F468" s="11"/>
      <c r="G468" s="11"/>
      <c r="H468" s="11"/>
      <c r="I468" s="11"/>
      <c r="J468" s="11"/>
      <c r="K468" s="11"/>
      <c r="L468" s="11"/>
      <c r="M468" s="11"/>
      <c r="N468" s="11"/>
      <c r="O468" s="11"/>
      <c r="P468" s="11"/>
      <c r="Q468" s="11"/>
      <c r="R468" s="11"/>
      <c r="S468" s="11"/>
      <c r="T468" s="11"/>
      <c r="U468" s="11"/>
      <c r="V468" s="11"/>
      <c r="W468" s="11"/>
      <c r="X468" s="11"/>
      <c r="Y468" s="11"/>
      <c r="Z468" s="11"/>
      <c r="AA468" s="11"/>
      <c r="AB468" s="11"/>
      <c r="AC468" s="11"/>
      <c r="AD468" s="11"/>
      <c r="AE468" s="11"/>
      <c r="AF468" s="11"/>
    </row>
    <row r="469" spans="1:32" x14ac:dyDescent="0.15">
      <c r="A469" s="11"/>
      <c r="B469" s="32"/>
      <c r="C469" s="11"/>
      <c r="D469" s="13"/>
      <c r="E469" s="13"/>
      <c r="F469" s="11"/>
      <c r="G469" s="11"/>
      <c r="H469" s="11"/>
      <c r="I469" s="11"/>
      <c r="J469" s="11"/>
      <c r="K469" s="11"/>
      <c r="L469" s="11"/>
      <c r="M469" s="11"/>
      <c r="N469" s="11"/>
      <c r="O469" s="11"/>
      <c r="P469" s="11"/>
      <c r="Q469" s="11"/>
      <c r="R469" s="11"/>
      <c r="S469" s="11"/>
      <c r="T469" s="11"/>
      <c r="U469" s="11"/>
      <c r="V469" s="11"/>
      <c r="W469" s="11"/>
      <c r="X469" s="11"/>
      <c r="Y469" s="11"/>
      <c r="Z469" s="11"/>
      <c r="AA469" s="11"/>
      <c r="AB469" s="11"/>
      <c r="AC469" s="11"/>
      <c r="AD469" s="11"/>
      <c r="AE469" s="11"/>
      <c r="AF469" s="11"/>
    </row>
    <row r="470" spans="1:32" x14ac:dyDescent="0.15">
      <c r="A470" s="11"/>
      <c r="B470" s="32"/>
      <c r="C470" s="11"/>
      <c r="D470" s="13"/>
      <c r="E470" s="13"/>
      <c r="F470" s="11"/>
      <c r="G470" s="11"/>
      <c r="H470" s="11"/>
      <c r="I470" s="11"/>
      <c r="J470" s="11"/>
      <c r="K470" s="11"/>
      <c r="L470" s="11"/>
      <c r="M470" s="11"/>
      <c r="N470" s="11"/>
      <c r="O470" s="11"/>
      <c r="P470" s="11"/>
      <c r="Q470" s="11"/>
      <c r="R470" s="11"/>
      <c r="S470" s="11"/>
      <c r="T470" s="11"/>
      <c r="U470" s="11"/>
      <c r="V470" s="11"/>
      <c r="W470" s="11"/>
      <c r="X470" s="11"/>
      <c r="Y470" s="11"/>
      <c r="Z470" s="11"/>
      <c r="AA470" s="11"/>
      <c r="AB470" s="11"/>
      <c r="AC470" s="11"/>
      <c r="AD470" s="11"/>
      <c r="AE470" s="11"/>
      <c r="AF470" s="11"/>
    </row>
    <row r="471" spans="1:32" x14ac:dyDescent="0.15">
      <c r="A471" s="11"/>
      <c r="B471" s="32"/>
      <c r="C471" s="11"/>
      <c r="D471" s="13"/>
      <c r="E471" s="13"/>
      <c r="F471" s="11"/>
      <c r="G471" s="11"/>
      <c r="H471" s="11"/>
      <c r="I471" s="11"/>
      <c r="J471" s="11"/>
      <c r="K471" s="11"/>
      <c r="L471" s="11"/>
      <c r="M471" s="11"/>
      <c r="N471" s="11"/>
      <c r="O471" s="11"/>
      <c r="P471" s="11"/>
      <c r="Q471" s="11"/>
      <c r="R471" s="11"/>
      <c r="S471" s="11"/>
      <c r="T471" s="11"/>
      <c r="U471" s="11"/>
      <c r="V471" s="11"/>
      <c r="W471" s="11"/>
      <c r="X471" s="11"/>
      <c r="Y471" s="11"/>
      <c r="Z471" s="11"/>
      <c r="AA471" s="11"/>
      <c r="AB471" s="11"/>
      <c r="AC471" s="11"/>
      <c r="AD471" s="11"/>
      <c r="AE471" s="11"/>
      <c r="AF471" s="11"/>
    </row>
    <row r="472" spans="1:32" x14ac:dyDescent="0.15">
      <c r="A472" s="11"/>
      <c r="B472" s="32"/>
      <c r="C472" s="11"/>
      <c r="D472" s="13"/>
      <c r="E472" s="13"/>
      <c r="F472" s="11"/>
      <c r="G472" s="11"/>
      <c r="H472" s="11"/>
      <c r="I472" s="11"/>
      <c r="J472" s="11"/>
      <c r="K472" s="11"/>
      <c r="L472" s="11"/>
      <c r="M472" s="11"/>
      <c r="N472" s="11"/>
      <c r="O472" s="11"/>
      <c r="P472" s="11"/>
      <c r="Q472" s="11"/>
      <c r="R472" s="11"/>
      <c r="S472" s="11"/>
      <c r="T472" s="11"/>
      <c r="U472" s="11"/>
      <c r="V472" s="11"/>
      <c r="W472" s="11"/>
      <c r="X472" s="11"/>
      <c r="Y472" s="11"/>
      <c r="Z472" s="11"/>
      <c r="AA472" s="11"/>
      <c r="AB472" s="11"/>
      <c r="AC472" s="11"/>
      <c r="AD472" s="11"/>
      <c r="AE472" s="11"/>
      <c r="AF472" s="11"/>
    </row>
    <row r="473" spans="1:32" x14ac:dyDescent="0.15">
      <c r="A473" s="11"/>
      <c r="B473" s="32"/>
      <c r="C473" s="11"/>
      <c r="D473" s="13"/>
      <c r="E473" s="13"/>
      <c r="F473" s="11"/>
      <c r="G473" s="11"/>
      <c r="H473" s="11"/>
      <c r="I473" s="11"/>
      <c r="J473" s="11"/>
      <c r="K473" s="11"/>
      <c r="L473" s="11"/>
      <c r="M473" s="11"/>
      <c r="N473" s="11"/>
      <c r="O473" s="11"/>
      <c r="P473" s="11"/>
      <c r="Q473" s="11"/>
      <c r="R473" s="11"/>
      <c r="S473" s="11"/>
      <c r="T473" s="11"/>
      <c r="U473" s="11"/>
      <c r="V473" s="11"/>
      <c r="W473" s="11"/>
      <c r="X473" s="11"/>
      <c r="Y473" s="11"/>
      <c r="Z473" s="11"/>
      <c r="AA473" s="11"/>
      <c r="AB473" s="11"/>
      <c r="AC473" s="11"/>
      <c r="AD473" s="11"/>
      <c r="AE473" s="11"/>
      <c r="AF473" s="11"/>
    </row>
    <row r="474" spans="1:32" x14ac:dyDescent="0.15">
      <c r="A474" s="11"/>
      <c r="B474" s="32"/>
      <c r="C474" s="11"/>
      <c r="D474" s="13"/>
      <c r="E474" s="13"/>
      <c r="F474" s="11"/>
      <c r="G474" s="11"/>
      <c r="H474" s="11"/>
      <c r="I474" s="11"/>
      <c r="J474" s="11"/>
      <c r="K474" s="11"/>
      <c r="L474" s="11"/>
      <c r="M474" s="11"/>
      <c r="N474" s="11"/>
      <c r="O474" s="11"/>
      <c r="P474" s="11"/>
      <c r="Q474" s="11"/>
      <c r="R474" s="11"/>
      <c r="S474" s="11"/>
      <c r="T474" s="11"/>
      <c r="U474" s="11"/>
      <c r="V474" s="11"/>
      <c r="W474" s="11"/>
      <c r="X474" s="11"/>
      <c r="Y474" s="11"/>
      <c r="Z474" s="11"/>
      <c r="AA474" s="11"/>
      <c r="AB474" s="11"/>
      <c r="AC474" s="11"/>
      <c r="AD474" s="11"/>
      <c r="AE474" s="11"/>
      <c r="AF474" s="11"/>
    </row>
    <row r="475" spans="1:32" x14ac:dyDescent="0.15">
      <c r="A475" s="11"/>
      <c r="B475" s="32"/>
      <c r="C475" s="11"/>
      <c r="D475" s="13"/>
      <c r="E475" s="13"/>
      <c r="F475" s="11"/>
      <c r="G475" s="11"/>
      <c r="H475" s="11"/>
      <c r="I475" s="11"/>
      <c r="J475" s="11"/>
      <c r="K475" s="11"/>
      <c r="L475" s="11"/>
      <c r="M475" s="11"/>
      <c r="N475" s="11"/>
      <c r="O475" s="11"/>
      <c r="P475" s="11"/>
      <c r="Q475" s="11"/>
      <c r="R475" s="11"/>
      <c r="S475" s="11"/>
      <c r="T475" s="11"/>
      <c r="U475" s="11"/>
      <c r="V475" s="11"/>
      <c r="W475" s="11"/>
      <c r="X475" s="11"/>
      <c r="Y475" s="11"/>
      <c r="Z475" s="11"/>
      <c r="AA475" s="11"/>
      <c r="AB475" s="11"/>
      <c r="AC475" s="11"/>
      <c r="AD475" s="11"/>
      <c r="AE475" s="11"/>
      <c r="AF475" s="11"/>
    </row>
    <row r="476" spans="1:32" x14ac:dyDescent="0.15">
      <c r="A476" s="11"/>
      <c r="B476" s="32"/>
      <c r="C476" s="11"/>
      <c r="D476" s="13"/>
      <c r="E476" s="13"/>
      <c r="F476" s="11"/>
      <c r="G476" s="11"/>
      <c r="H476" s="11"/>
      <c r="I476" s="11"/>
      <c r="J476" s="11"/>
      <c r="K476" s="11"/>
      <c r="L476" s="11"/>
      <c r="M476" s="11"/>
      <c r="N476" s="11"/>
      <c r="O476" s="11"/>
      <c r="P476" s="11"/>
      <c r="Q476" s="11"/>
      <c r="R476" s="11"/>
      <c r="S476" s="11"/>
      <c r="T476" s="11"/>
      <c r="U476" s="11"/>
      <c r="V476" s="11"/>
      <c r="W476" s="11"/>
      <c r="X476" s="11"/>
      <c r="Y476" s="11"/>
      <c r="Z476" s="11"/>
      <c r="AA476" s="11"/>
      <c r="AB476" s="11"/>
      <c r="AC476" s="11"/>
      <c r="AD476" s="11"/>
      <c r="AE476" s="11"/>
      <c r="AF476" s="11"/>
    </row>
    <row r="477" spans="1:32" x14ac:dyDescent="0.15">
      <c r="A477" s="11"/>
      <c r="B477" s="32"/>
      <c r="C477" s="11"/>
      <c r="D477" s="13"/>
      <c r="E477" s="13"/>
      <c r="F477" s="11"/>
      <c r="G477" s="11"/>
      <c r="H477" s="11"/>
      <c r="I477" s="11"/>
      <c r="J477" s="11"/>
      <c r="K477" s="11"/>
      <c r="L477" s="11"/>
      <c r="M477" s="11"/>
      <c r="N477" s="11"/>
      <c r="O477" s="11"/>
      <c r="P477" s="11"/>
      <c r="Q477" s="11"/>
      <c r="R477" s="11"/>
      <c r="S477" s="11"/>
      <c r="T477" s="11"/>
      <c r="U477" s="11"/>
      <c r="V477" s="11"/>
      <c r="W477" s="11"/>
      <c r="X477" s="11"/>
      <c r="Y477" s="11"/>
      <c r="Z477" s="11"/>
      <c r="AA477" s="11"/>
      <c r="AB477" s="11"/>
      <c r="AC477" s="11"/>
      <c r="AD477" s="11"/>
      <c r="AE477" s="11"/>
      <c r="AF477" s="11"/>
    </row>
    <row r="478" spans="1:32" x14ac:dyDescent="0.15">
      <c r="A478" s="11"/>
      <c r="B478" s="32"/>
      <c r="C478" s="11"/>
      <c r="D478" s="13"/>
      <c r="E478" s="13"/>
      <c r="F478" s="11"/>
      <c r="G478" s="11"/>
      <c r="H478" s="11"/>
      <c r="I478" s="11"/>
      <c r="J478" s="11"/>
      <c r="K478" s="11"/>
      <c r="L478" s="11"/>
      <c r="M478" s="11"/>
      <c r="N478" s="11"/>
      <c r="O478" s="11"/>
      <c r="P478" s="11"/>
      <c r="Q478" s="11"/>
      <c r="R478" s="11"/>
      <c r="S478" s="11"/>
      <c r="T478" s="11"/>
      <c r="U478" s="11"/>
      <c r="V478" s="11"/>
      <c r="W478" s="11"/>
      <c r="X478" s="11"/>
      <c r="Y478" s="11"/>
      <c r="Z478" s="11"/>
      <c r="AA478" s="11"/>
      <c r="AB478" s="11"/>
      <c r="AC478" s="11"/>
      <c r="AD478" s="11"/>
      <c r="AE478" s="11"/>
      <c r="AF478" s="11"/>
    </row>
    <row r="479" spans="1:32" x14ac:dyDescent="0.15">
      <c r="A479" s="11"/>
      <c r="B479" s="32"/>
      <c r="C479" s="11"/>
      <c r="D479" s="13"/>
      <c r="E479" s="13"/>
      <c r="F479" s="11"/>
      <c r="G479" s="11"/>
      <c r="H479" s="11"/>
      <c r="I479" s="11"/>
      <c r="J479" s="11"/>
      <c r="K479" s="11"/>
      <c r="L479" s="11"/>
      <c r="M479" s="11"/>
      <c r="N479" s="11"/>
      <c r="O479" s="11"/>
      <c r="P479" s="11"/>
      <c r="Q479" s="11"/>
      <c r="R479" s="11"/>
      <c r="S479" s="11"/>
      <c r="T479" s="11"/>
      <c r="U479" s="11"/>
      <c r="V479" s="11"/>
      <c r="W479" s="11"/>
      <c r="X479" s="11"/>
      <c r="Y479" s="11"/>
      <c r="Z479" s="11"/>
      <c r="AA479" s="11"/>
      <c r="AB479" s="11"/>
      <c r="AC479" s="11"/>
      <c r="AD479" s="11"/>
      <c r="AE479" s="11"/>
      <c r="AF479" s="11"/>
    </row>
    <row r="480" spans="1:32" x14ac:dyDescent="0.15">
      <c r="A480" s="11"/>
      <c r="B480" s="32"/>
      <c r="C480" s="11"/>
      <c r="D480" s="13"/>
      <c r="E480" s="13"/>
      <c r="F480" s="11"/>
      <c r="G480" s="11"/>
      <c r="H480" s="11"/>
      <c r="I480" s="11"/>
      <c r="J480" s="11"/>
      <c r="K480" s="11"/>
      <c r="L480" s="11"/>
      <c r="M480" s="11"/>
      <c r="N480" s="11"/>
      <c r="O480" s="11"/>
      <c r="P480" s="11"/>
      <c r="Q480" s="11"/>
      <c r="R480" s="11"/>
      <c r="S480" s="11"/>
      <c r="T480" s="11"/>
      <c r="U480" s="11"/>
      <c r="V480" s="11"/>
      <c r="W480" s="11"/>
      <c r="X480" s="11"/>
      <c r="Y480" s="11"/>
      <c r="Z480" s="11"/>
      <c r="AA480" s="11"/>
      <c r="AB480" s="11"/>
      <c r="AC480" s="11"/>
      <c r="AD480" s="11"/>
      <c r="AE480" s="11"/>
      <c r="AF480" s="11"/>
    </row>
    <row r="481" spans="1:32" x14ac:dyDescent="0.15">
      <c r="A481" s="11"/>
      <c r="B481" s="32"/>
      <c r="C481" s="11"/>
      <c r="D481" s="13"/>
      <c r="E481" s="13"/>
      <c r="F481" s="11"/>
      <c r="G481" s="11"/>
      <c r="H481" s="11"/>
      <c r="I481" s="11"/>
      <c r="J481" s="11"/>
      <c r="K481" s="11"/>
      <c r="L481" s="11"/>
      <c r="M481" s="11"/>
      <c r="N481" s="11"/>
      <c r="O481" s="11"/>
      <c r="P481" s="11"/>
      <c r="Q481" s="11"/>
      <c r="R481" s="11"/>
      <c r="S481" s="11"/>
      <c r="T481" s="11"/>
      <c r="U481" s="11"/>
      <c r="V481" s="11"/>
      <c r="W481" s="11"/>
      <c r="X481" s="11"/>
      <c r="Y481" s="11"/>
      <c r="Z481" s="11"/>
      <c r="AA481" s="11"/>
      <c r="AB481" s="11"/>
      <c r="AC481" s="11"/>
      <c r="AD481" s="11"/>
      <c r="AE481" s="11"/>
      <c r="AF481" s="11"/>
    </row>
    <row r="482" spans="1:32" x14ac:dyDescent="0.15">
      <c r="A482" s="11"/>
      <c r="B482" s="32"/>
      <c r="C482" s="11"/>
      <c r="D482" s="13"/>
      <c r="E482" s="13"/>
      <c r="F482" s="11"/>
      <c r="G482" s="11"/>
      <c r="H482" s="11"/>
      <c r="I482" s="11"/>
      <c r="J482" s="11"/>
      <c r="K482" s="11"/>
      <c r="L482" s="11"/>
      <c r="M482" s="11"/>
      <c r="N482" s="11"/>
      <c r="O482" s="11"/>
      <c r="P482" s="11"/>
      <c r="Q482" s="11"/>
      <c r="R482" s="11"/>
      <c r="S482" s="11"/>
      <c r="T482" s="11"/>
      <c r="U482" s="11"/>
      <c r="V482" s="11"/>
      <c r="W482" s="11"/>
      <c r="X482" s="11"/>
      <c r="Y482" s="11"/>
      <c r="Z482" s="11"/>
      <c r="AA482" s="11"/>
      <c r="AB482" s="11"/>
      <c r="AC482" s="11"/>
      <c r="AD482" s="11"/>
      <c r="AE482" s="11"/>
      <c r="AF482" s="11"/>
    </row>
    <row r="483" spans="1:32" x14ac:dyDescent="0.15">
      <c r="A483" s="11"/>
      <c r="B483" s="32"/>
      <c r="C483" s="11"/>
      <c r="D483" s="13"/>
      <c r="E483" s="13"/>
      <c r="F483" s="11"/>
      <c r="G483" s="11"/>
      <c r="H483" s="11"/>
      <c r="I483" s="11"/>
      <c r="J483" s="11"/>
      <c r="K483" s="11"/>
      <c r="L483" s="11"/>
      <c r="M483" s="11"/>
      <c r="N483" s="11"/>
      <c r="O483" s="11"/>
      <c r="P483" s="11"/>
      <c r="Q483" s="11"/>
      <c r="R483" s="11"/>
      <c r="S483" s="11"/>
      <c r="T483" s="11"/>
      <c r="U483" s="11"/>
      <c r="V483" s="11"/>
      <c r="W483" s="11"/>
      <c r="X483" s="11"/>
      <c r="Y483" s="11"/>
      <c r="Z483" s="11"/>
      <c r="AA483" s="11"/>
      <c r="AB483" s="11"/>
      <c r="AC483" s="11"/>
      <c r="AD483" s="11"/>
      <c r="AE483" s="11"/>
      <c r="AF483" s="11"/>
    </row>
    <row r="484" spans="1:32" x14ac:dyDescent="0.15">
      <c r="A484" s="11"/>
      <c r="B484" s="32"/>
      <c r="C484" s="11"/>
      <c r="D484" s="13"/>
      <c r="E484" s="13"/>
      <c r="F484" s="11"/>
      <c r="G484" s="11"/>
      <c r="H484" s="11"/>
      <c r="I484" s="11"/>
      <c r="J484" s="11"/>
      <c r="K484" s="11"/>
      <c r="L484" s="11"/>
      <c r="M484" s="11"/>
      <c r="N484" s="11"/>
      <c r="O484" s="11"/>
      <c r="P484" s="11"/>
      <c r="Q484" s="11"/>
      <c r="R484" s="11"/>
      <c r="S484" s="11"/>
      <c r="T484" s="11"/>
      <c r="U484" s="11"/>
      <c r="V484" s="11"/>
      <c r="W484" s="11"/>
      <c r="X484" s="11"/>
      <c r="Y484" s="11"/>
      <c r="Z484" s="11"/>
      <c r="AA484" s="11"/>
      <c r="AB484" s="11"/>
      <c r="AC484" s="11"/>
      <c r="AD484" s="11"/>
      <c r="AE484" s="11"/>
      <c r="AF484" s="11"/>
    </row>
    <row r="485" spans="1:32" x14ac:dyDescent="0.15">
      <c r="A485" s="11"/>
      <c r="B485" s="32"/>
      <c r="C485" s="11"/>
      <c r="D485" s="13"/>
      <c r="E485" s="13"/>
      <c r="F485" s="11"/>
      <c r="G485" s="11"/>
      <c r="H485" s="11"/>
      <c r="I485" s="11"/>
      <c r="J485" s="11"/>
      <c r="K485" s="11"/>
      <c r="L485" s="11"/>
      <c r="M485" s="11"/>
      <c r="N485" s="11"/>
      <c r="O485" s="11"/>
      <c r="P485" s="11"/>
      <c r="Q485" s="11"/>
      <c r="R485" s="11"/>
      <c r="S485" s="11"/>
      <c r="T485" s="11"/>
      <c r="U485" s="11"/>
      <c r="V485" s="11"/>
      <c r="W485" s="11"/>
      <c r="X485" s="11"/>
      <c r="Y485" s="11"/>
      <c r="Z485" s="11"/>
      <c r="AA485" s="11"/>
      <c r="AB485" s="11"/>
      <c r="AC485" s="11"/>
      <c r="AD485" s="11"/>
      <c r="AE485" s="11"/>
      <c r="AF485" s="11"/>
    </row>
    <row r="486" spans="1:32" x14ac:dyDescent="0.15">
      <c r="A486" s="11"/>
      <c r="B486" s="32"/>
      <c r="C486" s="11"/>
      <c r="D486" s="13"/>
      <c r="E486" s="13"/>
      <c r="F486" s="11"/>
      <c r="G486" s="11"/>
      <c r="H486" s="11"/>
      <c r="I486" s="11"/>
      <c r="J486" s="11"/>
      <c r="K486" s="11"/>
      <c r="L486" s="11"/>
      <c r="M486" s="11"/>
      <c r="N486" s="11"/>
      <c r="O486" s="11"/>
      <c r="P486" s="11"/>
      <c r="Q486" s="11"/>
      <c r="R486" s="11"/>
      <c r="S486" s="11"/>
      <c r="T486" s="11"/>
      <c r="U486" s="11"/>
      <c r="V486" s="11"/>
      <c r="W486" s="11"/>
      <c r="X486" s="11"/>
      <c r="Y486" s="11"/>
      <c r="Z486" s="11"/>
      <c r="AA486" s="11"/>
      <c r="AB486" s="11"/>
      <c r="AC486" s="11"/>
      <c r="AD486" s="11"/>
      <c r="AE486" s="11"/>
      <c r="AF486" s="11"/>
    </row>
    <row r="487" spans="1:32" x14ac:dyDescent="0.15">
      <c r="A487" s="11"/>
      <c r="B487" s="32"/>
      <c r="C487" s="11"/>
      <c r="D487" s="13"/>
      <c r="E487" s="13"/>
      <c r="F487" s="11"/>
      <c r="G487" s="11"/>
      <c r="H487" s="11"/>
      <c r="I487" s="11"/>
      <c r="J487" s="11"/>
      <c r="K487" s="11"/>
      <c r="L487" s="11"/>
      <c r="M487" s="11"/>
      <c r="N487" s="11"/>
      <c r="O487" s="11"/>
      <c r="P487" s="11"/>
      <c r="Q487" s="11"/>
      <c r="R487" s="11"/>
      <c r="S487" s="11"/>
      <c r="T487" s="11"/>
      <c r="U487" s="11"/>
      <c r="V487" s="11"/>
      <c r="W487" s="11"/>
      <c r="X487" s="11"/>
      <c r="Y487" s="11"/>
      <c r="Z487" s="11"/>
      <c r="AA487" s="11"/>
      <c r="AB487" s="11"/>
      <c r="AC487" s="11"/>
      <c r="AD487" s="11"/>
      <c r="AE487" s="11"/>
      <c r="AF487" s="11"/>
    </row>
    <row r="488" spans="1:32" x14ac:dyDescent="0.15">
      <c r="A488" s="11"/>
      <c r="B488" s="32"/>
      <c r="C488" s="11"/>
      <c r="D488" s="13"/>
      <c r="E488" s="13"/>
      <c r="F488" s="11"/>
      <c r="G488" s="11"/>
      <c r="H488" s="11"/>
      <c r="I488" s="11"/>
      <c r="J488" s="11"/>
      <c r="K488" s="11"/>
      <c r="L488" s="11"/>
      <c r="M488" s="11"/>
      <c r="N488" s="11"/>
      <c r="O488" s="11"/>
      <c r="P488" s="11"/>
      <c r="Q488" s="11"/>
      <c r="R488" s="11"/>
      <c r="S488" s="11"/>
      <c r="T488" s="11"/>
      <c r="U488" s="11"/>
      <c r="V488" s="11"/>
      <c r="W488" s="11"/>
      <c r="X488" s="11"/>
      <c r="Y488" s="11"/>
      <c r="Z488" s="11"/>
      <c r="AA488" s="11"/>
      <c r="AB488" s="11"/>
      <c r="AC488" s="11"/>
      <c r="AD488" s="11"/>
      <c r="AE488" s="11"/>
      <c r="AF488" s="11"/>
    </row>
    <row r="489" spans="1:32" x14ac:dyDescent="0.15">
      <c r="A489" s="11"/>
      <c r="B489" s="32"/>
      <c r="C489" s="11"/>
      <c r="D489" s="13"/>
      <c r="E489" s="13"/>
      <c r="F489" s="11"/>
      <c r="G489" s="11"/>
      <c r="H489" s="11"/>
      <c r="I489" s="11"/>
      <c r="J489" s="11"/>
      <c r="K489" s="11"/>
      <c r="L489" s="11"/>
      <c r="M489" s="11"/>
      <c r="N489" s="11"/>
      <c r="O489" s="11"/>
      <c r="P489" s="11"/>
      <c r="Q489" s="11"/>
      <c r="R489" s="11"/>
      <c r="S489" s="11"/>
      <c r="T489" s="11"/>
      <c r="U489" s="11"/>
      <c r="V489" s="11"/>
      <c r="W489" s="11"/>
      <c r="X489" s="11"/>
      <c r="Y489" s="11"/>
      <c r="Z489" s="11"/>
      <c r="AA489" s="11"/>
      <c r="AB489" s="11"/>
      <c r="AC489" s="11"/>
      <c r="AD489" s="11"/>
      <c r="AE489" s="11"/>
      <c r="AF489" s="11"/>
    </row>
    <row r="490" spans="1:32" x14ac:dyDescent="0.15">
      <c r="A490" s="11"/>
      <c r="B490" s="32"/>
      <c r="C490" s="11"/>
      <c r="D490" s="13"/>
      <c r="E490" s="13"/>
      <c r="F490" s="11"/>
      <c r="G490" s="11"/>
      <c r="H490" s="11"/>
      <c r="I490" s="11"/>
      <c r="J490" s="11"/>
      <c r="K490" s="11"/>
      <c r="L490" s="11"/>
      <c r="M490" s="11"/>
      <c r="N490" s="11"/>
      <c r="O490" s="11"/>
      <c r="P490" s="11"/>
      <c r="Q490" s="11"/>
      <c r="R490" s="11"/>
      <c r="S490" s="11"/>
      <c r="T490" s="11"/>
      <c r="U490" s="11"/>
      <c r="V490" s="11"/>
      <c r="W490" s="11"/>
      <c r="X490" s="11"/>
      <c r="Y490" s="11"/>
      <c r="Z490" s="11"/>
      <c r="AA490" s="11"/>
      <c r="AB490" s="11"/>
      <c r="AC490" s="11"/>
      <c r="AD490" s="11"/>
      <c r="AE490" s="11"/>
      <c r="AF490" s="11"/>
    </row>
    <row r="491" spans="1:32" x14ac:dyDescent="0.15">
      <c r="A491" s="11"/>
      <c r="B491" s="32"/>
      <c r="C491" s="11"/>
      <c r="D491" s="13"/>
      <c r="E491" s="13"/>
      <c r="F491" s="11"/>
      <c r="G491" s="11"/>
      <c r="H491" s="11"/>
      <c r="I491" s="11"/>
      <c r="J491" s="11"/>
      <c r="K491" s="11"/>
      <c r="L491" s="11"/>
      <c r="M491" s="11"/>
      <c r="N491" s="11"/>
      <c r="O491" s="11"/>
      <c r="P491" s="11"/>
      <c r="Q491" s="11"/>
      <c r="R491" s="11"/>
      <c r="S491" s="11"/>
      <c r="T491" s="11"/>
      <c r="U491" s="11"/>
      <c r="V491" s="11"/>
      <c r="W491" s="11"/>
      <c r="X491" s="11"/>
      <c r="Y491" s="11"/>
      <c r="Z491" s="11"/>
      <c r="AA491" s="11"/>
      <c r="AB491" s="11"/>
      <c r="AC491" s="11"/>
      <c r="AD491" s="11"/>
      <c r="AE491" s="11"/>
      <c r="AF491" s="11"/>
    </row>
    <row r="492" spans="1:32" x14ac:dyDescent="0.15">
      <c r="A492" s="11"/>
      <c r="B492" s="32"/>
      <c r="C492" s="11"/>
      <c r="D492" s="13"/>
      <c r="E492" s="13"/>
      <c r="F492" s="11"/>
      <c r="G492" s="11"/>
      <c r="H492" s="11"/>
      <c r="I492" s="11"/>
      <c r="J492" s="11"/>
      <c r="K492" s="11"/>
      <c r="L492" s="11"/>
      <c r="M492" s="11"/>
      <c r="N492" s="11"/>
      <c r="O492" s="11"/>
      <c r="P492" s="11"/>
      <c r="Q492" s="11"/>
      <c r="R492" s="11"/>
      <c r="S492" s="11"/>
      <c r="T492" s="11"/>
      <c r="U492" s="11"/>
      <c r="V492" s="11"/>
      <c r="W492" s="11"/>
      <c r="X492" s="11"/>
      <c r="Y492" s="11"/>
      <c r="Z492" s="11"/>
      <c r="AA492" s="11"/>
      <c r="AB492" s="11"/>
      <c r="AC492" s="11"/>
      <c r="AD492" s="11"/>
      <c r="AE492" s="11"/>
      <c r="AF492" s="11"/>
    </row>
    <row r="493" spans="1:32" x14ac:dyDescent="0.15">
      <c r="A493" s="11"/>
      <c r="B493" s="32"/>
      <c r="C493" s="11"/>
      <c r="D493" s="13"/>
      <c r="E493" s="13"/>
      <c r="F493" s="11"/>
      <c r="G493" s="11"/>
      <c r="H493" s="11"/>
      <c r="I493" s="11"/>
      <c r="J493" s="11"/>
      <c r="K493" s="11"/>
      <c r="L493" s="11"/>
      <c r="M493" s="11"/>
      <c r="N493" s="11"/>
      <c r="O493" s="11"/>
      <c r="P493" s="11"/>
      <c r="Q493" s="11"/>
      <c r="R493" s="11"/>
      <c r="S493" s="11"/>
      <c r="T493" s="11"/>
      <c r="U493" s="11"/>
      <c r="V493" s="11"/>
      <c r="W493" s="11"/>
      <c r="X493" s="11"/>
      <c r="Y493" s="11"/>
      <c r="Z493" s="11"/>
      <c r="AA493" s="11"/>
      <c r="AB493" s="11"/>
      <c r="AC493" s="11"/>
      <c r="AD493" s="11"/>
      <c r="AE493" s="11"/>
      <c r="AF493" s="11"/>
    </row>
    <row r="494" spans="1:32" x14ac:dyDescent="0.15">
      <c r="A494" s="11"/>
      <c r="B494" s="32"/>
      <c r="C494" s="11"/>
      <c r="D494" s="13"/>
      <c r="E494" s="13"/>
      <c r="F494" s="11"/>
      <c r="G494" s="11"/>
      <c r="H494" s="11"/>
      <c r="I494" s="11"/>
      <c r="J494" s="11"/>
      <c r="K494" s="11"/>
      <c r="L494" s="11"/>
      <c r="M494" s="11"/>
      <c r="N494" s="11"/>
      <c r="O494" s="11"/>
      <c r="P494" s="11"/>
      <c r="Q494" s="11"/>
      <c r="R494" s="11"/>
      <c r="S494" s="11"/>
      <c r="T494" s="11"/>
      <c r="U494" s="11"/>
      <c r="V494" s="11"/>
      <c r="W494" s="11"/>
      <c r="X494" s="11"/>
      <c r="Y494" s="11"/>
      <c r="Z494" s="11"/>
      <c r="AA494" s="11"/>
      <c r="AB494" s="11"/>
      <c r="AC494" s="11"/>
      <c r="AD494" s="11"/>
      <c r="AE494" s="11"/>
      <c r="AF494" s="11"/>
    </row>
    <row r="495" spans="1:32" x14ac:dyDescent="0.15">
      <c r="A495" s="11"/>
      <c r="B495" s="32"/>
      <c r="C495" s="11"/>
      <c r="D495" s="13"/>
      <c r="E495" s="13"/>
      <c r="F495" s="11"/>
      <c r="G495" s="11"/>
      <c r="H495" s="11"/>
      <c r="I495" s="11"/>
      <c r="J495" s="11"/>
      <c r="K495" s="11"/>
      <c r="L495" s="11"/>
      <c r="M495" s="11"/>
      <c r="N495" s="11"/>
      <c r="O495" s="11"/>
      <c r="P495" s="11"/>
      <c r="Q495" s="11"/>
      <c r="R495" s="11"/>
      <c r="S495" s="11"/>
      <c r="T495" s="11"/>
      <c r="U495" s="11"/>
      <c r="V495" s="11"/>
      <c r="W495" s="11"/>
      <c r="X495" s="11"/>
      <c r="Y495" s="11"/>
      <c r="Z495" s="11"/>
      <c r="AA495" s="11"/>
      <c r="AB495" s="11"/>
      <c r="AC495" s="11"/>
      <c r="AD495" s="11"/>
      <c r="AE495" s="11"/>
      <c r="AF495" s="11"/>
    </row>
    <row r="496" spans="1:32" x14ac:dyDescent="0.15">
      <c r="A496" s="11"/>
      <c r="B496" s="32"/>
      <c r="C496" s="11"/>
      <c r="D496" s="13"/>
      <c r="E496" s="13"/>
      <c r="F496" s="11"/>
      <c r="G496" s="11"/>
      <c r="H496" s="11"/>
      <c r="I496" s="11"/>
      <c r="J496" s="11"/>
      <c r="K496" s="11"/>
      <c r="L496" s="11"/>
      <c r="M496" s="11"/>
      <c r="N496" s="11"/>
      <c r="O496" s="11"/>
      <c r="P496" s="11"/>
      <c r="Q496" s="11"/>
      <c r="R496" s="11"/>
      <c r="S496" s="11"/>
      <c r="T496" s="11"/>
      <c r="U496" s="11"/>
      <c r="V496" s="11"/>
      <c r="W496" s="11"/>
      <c r="X496" s="11"/>
      <c r="Y496" s="11"/>
      <c r="Z496" s="11"/>
      <c r="AA496" s="11"/>
      <c r="AB496" s="11"/>
      <c r="AC496" s="11"/>
      <c r="AD496" s="11"/>
      <c r="AE496" s="11"/>
      <c r="AF496" s="11"/>
    </row>
    <row r="497" spans="1:32" x14ac:dyDescent="0.15">
      <c r="A497" s="11"/>
      <c r="B497" s="32"/>
      <c r="C497" s="11"/>
      <c r="D497" s="13"/>
      <c r="E497" s="13"/>
      <c r="F497" s="11"/>
      <c r="G497" s="11"/>
      <c r="H497" s="11"/>
      <c r="I497" s="11"/>
      <c r="J497" s="11"/>
      <c r="K497" s="11"/>
      <c r="L497" s="11"/>
      <c r="M497" s="11"/>
      <c r="N497" s="11"/>
      <c r="O497" s="11"/>
      <c r="P497" s="11"/>
      <c r="Q497" s="11"/>
      <c r="R497" s="11"/>
      <c r="S497" s="11"/>
      <c r="T497" s="11"/>
      <c r="U497" s="11"/>
      <c r="V497" s="11"/>
      <c r="W497" s="11"/>
      <c r="X497" s="11"/>
      <c r="Y497" s="11"/>
      <c r="Z497" s="11"/>
      <c r="AA497" s="11"/>
      <c r="AB497" s="11"/>
      <c r="AC497" s="11"/>
      <c r="AD497" s="11"/>
      <c r="AE497" s="11"/>
      <c r="AF497" s="11"/>
    </row>
    <row r="498" spans="1:32" x14ac:dyDescent="0.15">
      <c r="A498" s="11"/>
      <c r="B498" s="32"/>
      <c r="C498" s="11"/>
      <c r="D498" s="13"/>
      <c r="E498" s="13"/>
      <c r="F498" s="11"/>
      <c r="G498" s="11"/>
      <c r="H498" s="11"/>
      <c r="I498" s="11"/>
      <c r="J498" s="11"/>
      <c r="K498" s="11"/>
      <c r="L498" s="11"/>
      <c r="M498" s="11"/>
      <c r="N498" s="11"/>
      <c r="O498" s="11"/>
      <c r="P498" s="11"/>
      <c r="Q498" s="11"/>
      <c r="R498" s="11"/>
      <c r="S498" s="11"/>
      <c r="T498" s="11"/>
      <c r="U498" s="11"/>
      <c r="V498" s="11"/>
      <c r="W498" s="11"/>
      <c r="X498" s="11"/>
      <c r="Y498" s="11"/>
      <c r="Z498" s="11"/>
      <c r="AA498" s="11"/>
      <c r="AB498" s="11"/>
      <c r="AC498" s="11"/>
      <c r="AD498" s="11"/>
      <c r="AE498" s="11"/>
      <c r="AF498" s="11"/>
    </row>
    <row r="499" spans="1:32" x14ac:dyDescent="0.15">
      <c r="A499" s="11"/>
      <c r="B499" s="32"/>
      <c r="C499" s="11"/>
      <c r="D499" s="13"/>
      <c r="E499" s="13"/>
      <c r="F499" s="11"/>
      <c r="G499" s="11"/>
      <c r="H499" s="11"/>
      <c r="I499" s="11"/>
      <c r="J499" s="11"/>
      <c r="K499" s="11"/>
      <c r="L499" s="11"/>
      <c r="M499" s="11"/>
      <c r="N499" s="11"/>
      <c r="O499" s="11"/>
      <c r="P499" s="11"/>
      <c r="Q499" s="11"/>
      <c r="R499" s="11"/>
      <c r="S499" s="11"/>
      <c r="T499" s="11"/>
      <c r="U499" s="11"/>
      <c r="V499" s="11"/>
      <c r="W499" s="11"/>
      <c r="X499" s="11"/>
      <c r="Y499" s="11"/>
      <c r="Z499" s="11"/>
      <c r="AA499" s="11"/>
      <c r="AB499" s="11"/>
      <c r="AC499" s="11"/>
      <c r="AD499" s="11"/>
      <c r="AE499" s="11"/>
      <c r="AF499" s="11"/>
    </row>
    <row r="500" spans="1:32" x14ac:dyDescent="0.15">
      <c r="A500" s="11"/>
      <c r="B500" s="32"/>
      <c r="C500" s="11"/>
      <c r="D500" s="13"/>
      <c r="E500" s="13"/>
      <c r="F500" s="11"/>
      <c r="G500" s="11"/>
      <c r="H500" s="11"/>
      <c r="I500" s="11"/>
      <c r="J500" s="11"/>
      <c r="K500" s="11"/>
      <c r="L500" s="11"/>
      <c r="M500" s="11"/>
      <c r="N500" s="11"/>
      <c r="O500" s="11"/>
      <c r="P500" s="11"/>
      <c r="Q500" s="11"/>
      <c r="R500" s="11"/>
      <c r="S500" s="11"/>
      <c r="T500" s="11"/>
      <c r="U500" s="11"/>
      <c r="V500" s="11"/>
      <c r="W500" s="11"/>
      <c r="X500" s="11"/>
      <c r="Y500" s="11"/>
      <c r="Z500" s="11"/>
      <c r="AA500" s="11"/>
      <c r="AB500" s="11"/>
      <c r="AC500" s="11"/>
      <c r="AD500" s="11"/>
      <c r="AE500" s="11"/>
      <c r="AF500" s="11"/>
    </row>
    <row r="501" spans="1:32" x14ac:dyDescent="0.15">
      <c r="A501" s="11"/>
      <c r="B501" s="32"/>
      <c r="C501" s="11"/>
      <c r="D501" s="13"/>
      <c r="E501" s="13"/>
      <c r="F501" s="11"/>
      <c r="G501" s="11"/>
      <c r="H501" s="11"/>
      <c r="I501" s="11"/>
      <c r="J501" s="11"/>
      <c r="K501" s="11"/>
      <c r="L501" s="11"/>
      <c r="M501" s="11"/>
      <c r="N501" s="11"/>
      <c r="O501" s="11"/>
      <c r="P501" s="11"/>
      <c r="Q501" s="11"/>
      <c r="R501" s="11"/>
      <c r="S501" s="11"/>
      <c r="T501" s="11"/>
      <c r="U501" s="11"/>
      <c r="V501" s="11"/>
      <c r="W501" s="11"/>
      <c r="X501" s="11"/>
      <c r="Y501" s="11"/>
      <c r="Z501" s="11"/>
      <c r="AA501" s="11"/>
      <c r="AB501" s="11"/>
      <c r="AC501" s="11"/>
      <c r="AD501" s="11"/>
      <c r="AE501" s="11"/>
      <c r="AF501" s="11"/>
    </row>
    <row r="502" spans="1:32" x14ac:dyDescent="0.15">
      <c r="A502" s="11"/>
      <c r="B502" s="32"/>
      <c r="C502" s="11"/>
      <c r="D502" s="13"/>
      <c r="E502" s="13"/>
      <c r="F502" s="11"/>
      <c r="G502" s="11"/>
      <c r="H502" s="11"/>
      <c r="I502" s="11"/>
      <c r="J502" s="11"/>
      <c r="K502" s="11"/>
      <c r="L502" s="11"/>
      <c r="M502" s="11"/>
      <c r="N502" s="11"/>
      <c r="O502" s="11"/>
      <c r="P502" s="11"/>
      <c r="Q502" s="11"/>
      <c r="R502" s="11"/>
      <c r="S502" s="11"/>
      <c r="T502" s="11"/>
      <c r="U502" s="11"/>
      <c r="V502" s="11"/>
      <c r="W502" s="11"/>
      <c r="X502" s="11"/>
      <c r="Y502" s="11"/>
      <c r="Z502" s="11"/>
      <c r="AA502" s="11"/>
      <c r="AB502" s="11"/>
      <c r="AC502" s="11"/>
      <c r="AD502" s="11"/>
      <c r="AE502" s="11"/>
      <c r="AF502" s="11"/>
    </row>
    <row r="503" spans="1:32" x14ac:dyDescent="0.15">
      <c r="A503" s="11"/>
      <c r="B503" s="32"/>
      <c r="C503" s="11"/>
      <c r="D503" s="13"/>
      <c r="E503" s="13"/>
      <c r="F503" s="11"/>
      <c r="G503" s="11"/>
      <c r="H503" s="11"/>
      <c r="I503" s="11"/>
      <c r="J503" s="11"/>
      <c r="K503" s="11"/>
      <c r="L503" s="11"/>
      <c r="M503" s="11"/>
      <c r="N503" s="11"/>
      <c r="O503" s="11"/>
      <c r="P503" s="11"/>
      <c r="Q503" s="11"/>
      <c r="R503" s="11"/>
      <c r="S503" s="11"/>
      <c r="T503" s="11"/>
      <c r="U503" s="11"/>
      <c r="V503" s="11"/>
      <c r="W503" s="11"/>
      <c r="X503" s="11"/>
      <c r="Y503" s="11"/>
      <c r="Z503" s="11"/>
      <c r="AA503" s="11"/>
      <c r="AB503" s="11"/>
      <c r="AC503" s="11"/>
      <c r="AD503" s="11"/>
      <c r="AE503" s="11"/>
      <c r="AF503" s="11"/>
    </row>
    <row r="504" spans="1:32" x14ac:dyDescent="0.15">
      <c r="A504" s="11"/>
      <c r="B504" s="32"/>
      <c r="C504" s="11"/>
      <c r="D504" s="13"/>
      <c r="E504" s="13"/>
      <c r="F504" s="11"/>
      <c r="G504" s="11"/>
      <c r="H504" s="11"/>
      <c r="I504" s="11"/>
      <c r="J504" s="11"/>
      <c r="K504" s="11"/>
      <c r="L504" s="11"/>
      <c r="M504" s="11"/>
      <c r="N504" s="11"/>
      <c r="O504" s="11"/>
      <c r="P504" s="11"/>
      <c r="Q504" s="11"/>
      <c r="R504" s="11"/>
      <c r="S504" s="11"/>
      <c r="T504" s="11"/>
      <c r="U504" s="11"/>
      <c r="V504" s="11"/>
      <c r="W504" s="11"/>
      <c r="X504" s="11"/>
      <c r="Y504" s="11"/>
      <c r="Z504" s="11"/>
      <c r="AA504" s="11"/>
      <c r="AB504" s="11"/>
      <c r="AC504" s="11"/>
      <c r="AD504" s="11"/>
      <c r="AE504" s="11"/>
      <c r="AF504" s="11"/>
    </row>
    <row r="505" spans="1:32" x14ac:dyDescent="0.15">
      <c r="A505" s="11"/>
      <c r="B505" s="32"/>
      <c r="C505" s="11"/>
      <c r="D505" s="13"/>
      <c r="E505" s="13"/>
      <c r="F505" s="11"/>
      <c r="G505" s="11"/>
      <c r="H505" s="11"/>
      <c r="I505" s="11"/>
      <c r="J505" s="11"/>
      <c r="K505" s="11"/>
      <c r="L505" s="11"/>
      <c r="M505" s="11"/>
      <c r="N505" s="11"/>
      <c r="O505" s="11"/>
      <c r="P505" s="11"/>
      <c r="Q505" s="11"/>
      <c r="R505" s="11"/>
      <c r="S505" s="11"/>
      <c r="T505" s="11"/>
      <c r="U505" s="11"/>
      <c r="V505" s="11"/>
      <c r="W505" s="11"/>
      <c r="X505" s="11"/>
      <c r="Y505" s="11"/>
      <c r="Z505" s="11"/>
      <c r="AA505" s="11"/>
      <c r="AB505" s="11"/>
      <c r="AC505" s="11"/>
      <c r="AD505" s="11"/>
      <c r="AE505" s="11"/>
      <c r="AF505" s="11"/>
    </row>
    <row r="506" spans="1:32" x14ac:dyDescent="0.15">
      <c r="A506" s="11"/>
      <c r="B506" s="32"/>
      <c r="C506" s="11"/>
      <c r="D506" s="13"/>
      <c r="E506" s="13"/>
      <c r="F506" s="11"/>
      <c r="G506" s="11"/>
      <c r="H506" s="11"/>
      <c r="I506" s="11"/>
      <c r="J506" s="11"/>
      <c r="K506" s="11"/>
      <c r="L506" s="11"/>
      <c r="M506" s="11"/>
      <c r="N506" s="11"/>
      <c r="O506" s="11"/>
      <c r="P506" s="11"/>
      <c r="Q506" s="11"/>
      <c r="R506" s="11"/>
      <c r="S506" s="11"/>
      <c r="T506" s="11"/>
      <c r="U506" s="11"/>
      <c r="V506" s="11"/>
      <c r="W506" s="11"/>
      <c r="X506" s="11"/>
      <c r="Y506" s="11"/>
      <c r="Z506" s="11"/>
      <c r="AA506" s="11"/>
      <c r="AB506" s="11"/>
      <c r="AC506" s="11"/>
      <c r="AD506" s="11"/>
      <c r="AE506" s="11"/>
      <c r="AF506" s="11"/>
    </row>
    <row r="507" spans="1:32" x14ac:dyDescent="0.15">
      <c r="A507" s="11"/>
      <c r="B507" s="32"/>
      <c r="C507" s="11"/>
      <c r="D507" s="13"/>
      <c r="E507" s="13"/>
      <c r="F507" s="11"/>
      <c r="G507" s="11"/>
      <c r="H507" s="11"/>
      <c r="I507" s="11"/>
      <c r="J507" s="11"/>
      <c r="K507" s="11"/>
      <c r="L507" s="11"/>
      <c r="M507" s="11"/>
      <c r="N507" s="11"/>
      <c r="O507" s="11"/>
      <c r="P507" s="11"/>
      <c r="Q507" s="11"/>
      <c r="R507" s="11"/>
      <c r="S507" s="11"/>
      <c r="T507" s="11"/>
      <c r="U507" s="11"/>
      <c r="V507" s="11"/>
      <c r="W507" s="11"/>
      <c r="X507" s="11"/>
      <c r="Y507" s="11"/>
      <c r="Z507" s="11"/>
      <c r="AA507" s="11"/>
      <c r="AB507" s="11"/>
      <c r="AC507" s="11"/>
      <c r="AD507" s="11"/>
      <c r="AE507" s="11"/>
      <c r="AF507" s="11"/>
    </row>
    <row r="508" spans="1:32" x14ac:dyDescent="0.15">
      <c r="A508" s="11"/>
      <c r="B508" s="32"/>
      <c r="C508" s="11"/>
      <c r="D508" s="13"/>
      <c r="E508" s="13"/>
      <c r="F508" s="11"/>
      <c r="G508" s="11"/>
      <c r="H508" s="11"/>
      <c r="I508" s="11"/>
      <c r="J508" s="11"/>
      <c r="K508" s="11"/>
      <c r="L508" s="11"/>
      <c r="M508" s="11"/>
      <c r="N508" s="11"/>
      <c r="O508" s="11"/>
      <c r="P508" s="11"/>
      <c r="Q508" s="11"/>
      <c r="R508" s="11"/>
      <c r="S508" s="11"/>
      <c r="T508" s="11"/>
      <c r="U508" s="11"/>
      <c r="V508" s="11"/>
      <c r="W508" s="11"/>
      <c r="X508" s="11"/>
      <c r="Y508" s="11"/>
      <c r="Z508" s="11"/>
      <c r="AA508" s="11"/>
      <c r="AB508" s="11"/>
      <c r="AC508" s="11"/>
      <c r="AD508" s="11"/>
      <c r="AE508" s="11"/>
      <c r="AF508" s="11"/>
    </row>
    <row r="509" spans="1:32" x14ac:dyDescent="0.15">
      <c r="A509" s="11"/>
      <c r="B509" s="32"/>
      <c r="C509" s="11"/>
      <c r="D509" s="13"/>
      <c r="E509" s="13"/>
      <c r="F509" s="11"/>
      <c r="G509" s="11"/>
      <c r="H509" s="11"/>
      <c r="I509" s="11"/>
      <c r="J509" s="11"/>
      <c r="K509" s="11"/>
      <c r="L509" s="11"/>
      <c r="M509" s="11"/>
      <c r="N509" s="11"/>
      <c r="O509" s="11"/>
      <c r="P509" s="11"/>
      <c r="Q509" s="11"/>
      <c r="R509" s="11"/>
      <c r="S509" s="11"/>
      <c r="T509" s="11"/>
      <c r="U509" s="11"/>
      <c r="V509" s="11"/>
      <c r="W509" s="11"/>
      <c r="X509" s="11"/>
      <c r="Y509" s="11"/>
      <c r="Z509" s="11"/>
      <c r="AA509" s="11"/>
      <c r="AB509" s="11"/>
      <c r="AC509" s="11"/>
      <c r="AD509" s="11"/>
      <c r="AE509" s="11"/>
      <c r="AF509" s="11"/>
    </row>
    <row r="510" spans="1:32" x14ac:dyDescent="0.15">
      <c r="A510" s="11"/>
      <c r="B510" s="32"/>
      <c r="C510" s="11"/>
      <c r="D510" s="13"/>
      <c r="E510" s="13"/>
      <c r="F510" s="11"/>
      <c r="G510" s="11"/>
      <c r="H510" s="11"/>
      <c r="I510" s="11"/>
      <c r="J510" s="11"/>
      <c r="K510" s="11"/>
      <c r="L510" s="11"/>
      <c r="M510" s="11"/>
      <c r="N510" s="11"/>
      <c r="O510" s="11"/>
      <c r="P510" s="11"/>
      <c r="Q510" s="11"/>
      <c r="R510" s="11"/>
      <c r="S510" s="11"/>
      <c r="T510" s="11"/>
      <c r="U510" s="11"/>
      <c r="V510" s="11"/>
      <c r="W510" s="11"/>
      <c r="X510" s="11"/>
      <c r="Y510" s="11"/>
      <c r="Z510" s="11"/>
      <c r="AA510" s="11"/>
      <c r="AB510" s="11"/>
      <c r="AC510" s="11"/>
      <c r="AD510" s="11"/>
      <c r="AE510" s="11"/>
      <c r="AF510" s="11"/>
    </row>
    <row r="511" spans="1:32" x14ac:dyDescent="0.15">
      <c r="A511" s="11"/>
      <c r="B511" s="32"/>
      <c r="C511" s="11"/>
      <c r="D511" s="13"/>
      <c r="E511" s="13"/>
      <c r="F511" s="11"/>
      <c r="G511" s="11"/>
      <c r="H511" s="11"/>
      <c r="I511" s="11"/>
      <c r="J511" s="11"/>
      <c r="K511" s="11"/>
      <c r="L511" s="11"/>
      <c r="M511" s="11"/>
      <c r="N511" s="11"/>
      <c r="O511" s="11"/>
      <c r="P511" s="11"/>
      <c r="Q511" s="11"/>
      <c r="R511" s="11"/>
      <c r="S511" s="11"/>
      <c r="T511" s="11"/>
      <c r="U511" s="11"/>
      <c r="V511" s="11"/>
      <c r="W511" s="11"/>
      <c r="X511" s="11"/>
      <c r="Y511" s="11"/>
      <c r="Z511" s="11"/>
      <c r="AA511" s="11"/>
      <c r="AB511" s="11"/>
      <c r="AC511" s="11"/>
      <c r="AD511" s="11"/>
      <c r="AE511" s="11"/>
      <c r="AF511" s="11"/>
    </row>
    <row r="512" spans="1:32" x14ac:dyDescent="0.15">
      <c r="A512" s="11"/>
      <c r="B512" s="32"/>
      <c r="C512" s="11"/>
      <c r="D512" s="13"/>
      <c r="E512" s="13"/>
      <c r="F512" s="11"/>
      <c r="G512" s="11"/>
      <c r="H512" s="11"/>
      <c r="I512" s="11"/>
      <c r="J512" s="11"/>
      <c r="K512" s="11"/>
      <c r="L512" s="11"/>
      <c r="M512" s="11"/>
      <c r="N512" s="11"/>
      <c r="O512" s="11"/>
      <c r="P512" s="11"/>
      <c r="Q512" s="11"/>
      <c r="R512" s="11"/>
      <c r="S512" s="11"/>
      <c r="T512" s="11"/>
      <c r="U512" s="11"/>
      <c r="V512" s="11"/>
      <c r="W512" s="11"/>
      <c r="X512" s="11"/>
      <c r="Y512" s="11"/>
      <c r="Z512" s="11"/>
      <c r="AA512" s="11"/>
      <c r="AB512" s="11"/>
      <c r="AC512" s="11"/>
      <c r="AD512" s="11"/>
      <c r="AE512" s="11"/>
      <c r="AF512" s="11"/>
    </row>
    <row r="513" spans="1:32" x14ac:dyDescent="0.15">
      <c r="A513" s="11"/>
      <c r="B513" s="32"/>
      <c r="C513" s="11"/>
      <c r="D513" s="13"/>
      <c r="E513" s="13"/>
      <c r="F513" s="11"/>
      <c r="G513" s="11"/>
      <c r="H513" s="11"/>
      <c r="I513" s="11"/>
      <c r="J513" s="11"/>
      <c r="K513" s="11"/>
      <c r="L513" s="11"/>
      <c r="M513" s="11"/>
      <c r="N513" s="11"/>
      <c r="O513" s="11"/>
      <c r="P513" s="11"/>
      <c r="Q513" s="11"/>
      <c r="R513" s="11"/>
      <c r="S513" s="11"/>
      <c r="T513" s="11"/>
      <c r="U513" s="11"/>
      <c r="V513" s="11"/>
      <c r="W513" s="11"/>
      <c r="X513" s="11"/>
      <c r="Y513" s="11"/>
      <c r="Z513" s="11"/>
      <c r="AA513" s="11"/>
      <c r="AB513" s="11"/>
      <c r="AC513" s="11"/>
      <c r="AD513" s="11"/>
      <c r="AE513" s="11"/>
      <c r="AF513" s="11"/>
    </row>
    <row r="514" spans="1:32" x14ac:dyDescent="0.15">
      <c r="A514" s="11"/>
      <c r="B514" s="32"/>
      <c r="C514" s="11"/>
      <c r="D514" s="13"/>
      <c r="E514" s="13"/>
      <c r="F514" s="11"/>
      <c r="G514" s="11"/>
      <c r="H514" s="11"/>
      <c r="I514" s="11"/>
      <c r="J514" s="11"/>
      <c r="K514" s="11"/>
      <c r="L514" s="11"/>
      <c r="M514" s="11"/>
      <c r="N514" s="11"/>
      <c r="O514" s="11"/>
      <c r="P514" s="11"/>
      <c r="Q514" s="11"/>
      <c r="R514" s="11"/>
      <c r="S514" s="11"/>
      <c r="T514" s="11"/>
      <c r="U514" s="11"/>
      <c r="V514" s="11"/>
      <c r="W514" s="11"/>
      <c r="X514" s="11"/>
      <c r="Y514" s="11"/>
      <c r="Z514" s="11"/>
      <c r="AA514" s="11"/>
      <c r="AB514" s="11"/>
      <c r="AC514" s="11"/>
      <c r="AD514" s="11"/>
      <c r="AE514" s="11"/>
      <c r="AF514" s="11"/>
    </row>
    <row r="515" spans="1:32" x14ac:dyDescent="0.15">
      <c r="A515" s="11"/>
      <c r="B515" s="32"/>
      <c r="C515" s="11"/>
      <c r="D515" s="13"/>
      <c r="E515" s="13"/>
      <c r="F515" s="11"/>
      <c r="G515" s="11"/>
      <c r="H515" s="11"/>
      <c r="I515" s="11"/>
      <c r="J515" s="11"/>
      <c r="K515" s="11"/>
      <c r="L515" s="11"/>
      <c r="M515" s="11"/>
      <c r="N515" s="11"/>
      <c r="O515" s="11"/>
      <c r="P515" s="11"/>
      <c r="Q515" s="11"/>
      <c r="R515" s="11"/>
      <c r="S515" s="11"/>
      <c r="T515" s="11"/>
      <c r="U515" s="11"/>
      <c r="V515" s="11"/>
      <c r="W515" s="11"/>
      <c r="X515" s="11"/>
      <c r="Y515" s="11"/>
      <c r="Z515" s="11"/>
      <c r="AA515" s="11"/>
      <c r="AB515" s="11"/>
      <c r="AC515" s="11"/>
      <c r="AD515" s="11"/>
      <c r="AE515" s="11"/>
      <c r="AF515" s="11"/>
    </row>
    <row r="516" spans="1:32" x14ac:dyDescent="0.15">
      <c r="A516" s="11"/>
      <c r="B516" s="32"/>
      <c r="C516" s="11"/>
      <c r="D516" s="13"/>
      <c r="E516" s="13"/>
      <c r="F516" s="11"/>
      <c r="G516" s="11"/>
      <c r="H516" s="11"/>
      <c r="I516" s="11"/>
      <c r="J516" s="11"/>
      <c r="K516" s="11"/>
      <c r="L516" s="11"/>
      <c r="M516" s="11"/>
      <c r="N516" s="11"/>
      <c r="O516" s="11"/>
      <c r="P516" s="11"/>
      <c r="Q516" s="11"/>
      <c r="R516" s="11"/>
      <c r="S516" s="11"/>
      <c r="T516" s="11"/>
      <c r="U516" s="11"/>
      <c r="V516" s="11"/>
      <c r="W516" s="11"/>
      <c r="X516" s="11"/>
      <c r="Y516" s="11"/>
      <c r="Z516" s="11"/>
      <c r="AA516" s="11"/>
      <c r="AB516" s="11"/>
      <c r="AC516" s="11"/>
      <c r="AD516" s="11"/>
      <c r="AE516" s="11"/>
      <c r="AF516" s="11"/>
    </row>
    <row r="517" spans="1:32" x14ac:dyDescent="0.15">
      <c r="A517" s="11"/>
      <c r="B517" s="32"/>
      <c r="C517" s="11"/>
      <c r="D517" s="13"/>
      <c r="E517" s="13"/>
      <c r="F517" s="11"/>
      <c r="G517" s="11"/>
      <c r="H517" s="11"/>
      <c r="I517" s="11"/>
      <c r="J517" s="11"/>
      <c r="K517" s="11"/>
      <c r="L517" s="11"/>
      <c r="M517" s="11"/>
      <c r="N517" s="11"/>
      <c r="O517" s="11"/>
      <c r="P517" s="11"/>
      <c r="Q517" s="11"/>
      <c r="R517" s="11"/>
      <c r="S517" s="11"/>
      <c r="T517" s="11"/>
      <c r="U517" s="11"/>
      <c r="V517" s="11"/>
      <c r="W517" s="11"/>
      <c r="X517" s="11"/>
      <c r="Y517" s="11"/>
      <c r="Z517" s="11"/>
      <c r="AA517" s="11"/>
      <c r="AB517" s="11"/>
      <c r="AC517" s="11"/>
      <c r="AD517" s="11"/>
      <c r="AE517" s="11"/>
      <c r="AF517" s="11"/>
    </row>
    <row r="518" spans="1:32" x14ac:dyDescent="0.15">
      <c r="A518" s="11"/>
      <c r="B518" s="32"/>
      <c r="C518" s="11"/>
      <c r="D518" s="13"/>
      <c r="E518" s="13"/>
      <c r="F518" s="11"/>
      <c r="G518" s="11"/>
      <c r="H518" s="11"/>
      <c r="I518" s="11"/>
      <c r="J518" s="11"/>
      <c r="K518" s="11"/>
      <c r="L518" s="11"/>
      <c r="M518" s="11"/>
      <c r="N518" s="11"/>
      <c r="O518" s="11"/>
      <c r="P518" s="11"/>
      <c r="Q518" s="11"/>
      <c r="R518" s="11"/>
      <c r="S518" s="11"/>
      <c r="T518" s="11"/>
      <c r="U518" s="11"/>
      <c r="V518" s="11"/>
      <c r="W518" s="11"/>
      <c r="X518" s="11"/>
      <c r="Y518" s="11"/>
      <c r="Z518" s="11"/>
      <c r="AA518" s="11"/>
      <c r="AB518" s="11"/>
      <c r="AC518" s="11"/>
      <c r="AD518" s="11"/>
      <c r="AE518" s="11"/>
      <c r="AF518" s="11"/>
    </row>
    <row r="519" spans="1:32" x14ac:dyDescent="0.15">
      <c r="A519" s="11"/>
      <c r="B519" s="32"/>
      <c r="C519" s="11"/>
      <c r="D519" s="13"/>
      <c r="E519" s="13"/>
      <c r="F519" s="11"/>
      <c r="G519" s="11"/>
      <c r="H519" s="11"/>
      <c r="I519" s="11"/>
      <c r="J519" s="11"/>
      <c r="K519" s="11"/>
      <c r="L519" s="11"/>
      <c r="M519" s="11"/>
      <c r="N519" s="11"/>
      <c r="O519" s="11"/>
      <c r="P519" s="11"/>
      <c r="Q519" s="11"/>
      <c r="R519" s="11"/>
      <c r="S519" s="11"/>
      <c r="T519" s="11"/>
      <c r="U519" s="11"/>
      <c r="V519" s="11"/>
      <c r="W519" s="11"/>
      <c r="X519" s="11"/>
      <c r="Y519" s="11"/>
      <c r="Z519" s="11"/>
      <c r="AA519" s="11"/>
      <c r="AB519" s="11"/>
      <c r="AC519" s="11"/>
      <c r="AD519" s="11"/>
      <c r="AE519" s="11"/>
      <c r="AF519" s="11"/>
    </row>
    <row r="520" spans="1:32" x14ac:dyDescent="0.15">
      <c r="A520" s="11"/>
      <c r="B520" s="32"/>
      <c r="C520" s="11"/>
      <c r="D520" s="13"/>
      <c r="E520" s="13"/>
      <c r="F520" s="11"/>
      <c r="G520" s="11"/>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row>
    <row r="521" spans="1:32" x14ac:dyDescent="0.15">
      <c r="A521" s="11"/>
      <c r="B521" s="32"/>
      <c r="C521" s="11"/>
      <c r="D521" s="13"/>
      <c r="E521" s="13"/>
      <c r="F521" s="11"/>
      <c r="G521" s="11"/>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row>
    <row r="522" spans="1:32" x14ac:dyDescent="0.15">
      <c r="A522" s="11"/>
      <c r="B522" s="32"/>
      <c r="C522" s="11"/>
      <c r="D522" s="13"/>
      <c r="E522" s="13"/>
      <c r="F522" s="11"/>
      <c r="G522" s="11"/>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row>
    <row r="523" spans="1:32" x14ac:dyDescent="0.15">
      <c r="A523" s="11"/>
      <c r="B523" s="32"/>
      <c r="C523" s="11"/>
      <c r="D523" s="13"/>
      <c r="E523" s="13"/>
      <c r="F523" s="11"/>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row>
    <row r="524" spans="1:32" x14ac:dyDescent="0.15">
      <c r="A524" s="11"/>
      <c r="B524" s="32"/>
      <c r="C524" s="11"/>
      <c r="D524" s="13"/>
      <c r="E524" s="13"/>
      <c r="F524" s="11"/>
      <c r="G524" s="11"/>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row>
    <row r="525" spans="1:32" x14ac:dyDescent="0.15">
      <c r="A525" s="11"/>
      <c r="B525" s="32"/>
      <c r="C525" s="11"/>
      <c r="D525" s="13"/>
      <c r="E525" s="13"/>
      <c r="F525" s="11"/>
      <c r="G525" s="11"/>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row>
    <row r="526" spans="1:32" x14ac:dyDescent="0.15">
      <c r="A526" s="11"/>
      <c r="B526" s="32"/>
      <c r="C526" s="11"/>
      <c r="D526" s="13"/>
      <c r="E526" s="13"/>
      <c r="F526" s="11"/>
      <c r="G526" s="11"/>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row>
    <row r="527" spans="1:32" x14ac:dyDescent="0.15">
      <c r="A527" s="11"/>
      <c r="B527" s="32"/>
      <c r="C527" s="11"/>
      <c r="D527" s="13"/>
      <c r="E527" s="13"/>
      <c r="F527" s="11"/>
      <c r="G527" s="11"/>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row>
    <row r="528" spans="1:32" x14ac:dyDescent="0.15">
      <c r="A528" s="11"/>
      <c r="B528" s="32"/>
      <c r="C528" s="11"/>
      <c r="D528" s="13"/>
      <c r="E528" s="13"/>
      <c r="F528" s="11"/>
      <c r="G528" s="11"/>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row>
    <row r="529" spans="1:32" x14ac:dyDescent="0.15">
      <c r="A529" s="11"/>
      <c r="B529" s="32"/>
      <c r="C529" s="11"/>
      <c r="D529" s="13"/>
      <c r="E529" s="13"/>
      <c r="F529" s="11"/>
      <c r="G529" s="11"/>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row>
    <row r="530" spans="1:32" x14ac:dyDescent="0.15">
      <c r="A530" s="11"/>
      <c r="B530" s="32"/>
      <c r="C530" s="11"/>
      <c r="D530" s="13"/>
      <c r="E530" s="13"/>
      <c r="F530" s="11"/>
      <c r="G530" s="11"/>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row>
    <row r="531" spans="1:32" x14ac:dyDescent="0.15">
      <c r="A531" s="11"/>
      <c r="B531" s="32"/>
      <c r="C531" s="11"/>
      <c r="D531" s="13"/>
      <c r="E531" s="13"/>
      <c r="F531" s="11"/>
      <c r="G531" s="11"/>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row>
    <row r="532" spans="1:32" x14ac:dyDescent="0.15">
      <c r="A532" s="11"/>
      <c r="B532" s="32"/>
      <c r="C532" s="11"/>
      <c r="D532" s="13"/>
      <c r="E532" s="13"/>
      <c r="F532" s="11"/>
      <c r="G532" s="11"/>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row>
    <row r="533" spans="1:32" x14ac:dyDescent="0.15">
      <c r="A533" s="11"/>
      <c r="B533" s="32"/>
      <c r="C533" s="11"/>
      <c r="D533" s="13"/>
      <c r="E533" s="13"/>
      <c r="F533" s="11"/>
      <c r="G533" s="11"/>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row>
    <row r="534" spans="1:32" x14ac:dyDescent="0.15">
      <c r="A534" s="11"/>
      <c r="B534" s="32"/>
      <c r="C534" s="11"/>
      <c r="D534" s="13"/>
      <c r="E534" s="13"/>
      <c r="F534" s="11"/>
      <c r="G534" s="11"/>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row>
    <row r="535" spans="1:32" x14ac:dyDescent="0.15">
      <c r="A535" s="11"/>
      <c r="B535" s="32"/>
      <c r="C535" s="11"/>
      <c r="D535" s="13"/>
      <c r="E535" s="13"/>
      <c r="F535" s="11"/>
      <c r="G535" s="11"/>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row>
    <row r="536" spans="1:32" x14ac:dyDescent="0.15">
      <c r="A536" s="11"/>
      <c r="B536" s="32"/>
      <c r="C536" s="11"/>
      <c r="D536" s="13"/>
      <c r="E536" s="13"/>
      <c r="F536" s="11"/>
      <c r="G536" s="11"/>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row>
    <row r="537" spans="1:32" x14ac:dyDescent="0.15">
      <c r="A537" s="11"/>
      <c r="B537" s="32"/>
      <c r="C537" s="11"/>
      <c r="D537" s="13"/>
      <c r="E537" s="13"/>
      <c r="F537" s="11"/>
      <c r="G537" s="11"/>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row>
    <row r="538" spans="1:32" x14ac:dyDescent="0.15">
      <c r="A538" s="11"/>
      <c r="B538" s="32"/>
      <c r="C538" s="11"/>
      <c r="D538" s="13"/>
      <c r="E538" s="13"/>
      <c r="F538" s="11"/>
      <c r="G538" s="11"/>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row>
    <row r="539" spans="1:32" x14ac:dyDescent="0.15">
      <c r="A539" s="11"/>
      <c r="B539" s="32"/>
      <c r="C539" s="11"/>
      <c r="D539" s="13"/>
      <c r="E539" s="13"/>
      <c r="F539" s="11"/>
      <c r="G539" s="11"/>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row>
    <row r="540" spans="1:32" x14ac:dyDescent="0.15">
      <c r="A540" s="11"/>
      <c r="B540" s="32"/>
      <c r="C540" s="11"/>
      <c r="D540" s="13"/>
      <c r="E540" s="13"/>
      <c r="F540" s="11"/>
      <c r="G540" s="11"/>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row>
    <row r="541" spans="1:32" x14ac:dyDescent="0.15">
      <c r="A541" s="11"/>
      <c r="B541" s="32"/>
      <c r="C541" s="11"/>
      <c r="D541" s="13"/>
      <c r="E541" s="13"/>
      <c r="F541" s="11"/>
      <c r="G541" s="11"/>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row>
    <row r="542" spans="1:32" x14ac:dyDescent="0.15">
      <c r="A542" s="11"/>
      <c r="B542" s="32"/>
      <c r="C542" s="11"/>
      <c r="D542" s="13"/>
      <c r="E542" s="13"/>
      <c r="F542" s="11"/>
      <c r="G542" s="11"/>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row>
    <row r="543" spans="1:32" x14ac:dyDescent="0.15">
      <c r="A543" s="11"/>
      <c r="B543" s="32"/>
      <c r="C543" s="11"/>
      <c r="D543" s="13"/>
      <c r="E543" s="13"/>
      <c r="F543" s="11"/>
      <c r="G543" s="11"/>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row>
    <row r="544" spans="1:32" x14ac:dyDescent="0.15">
      <c r="A544" s="11"/>
      <c r="B544" s="32"/>
      <c r="C544" s="11"/>
      <c r="D544" s="13"/>
      <c r="E544" s="13"/>
      <c r="F544" s="11"/>
      <c r="G544" s="11"/>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row>
    <row r="545" spans="1:32" x14ac:dyDescent="0.15">
      <c r="A545" s="11"/>
      <c r="B545" s="32"/>
      <c r="C545" s="11"/>
      <c r="D545" s="13"/>
      <c r="E545" s="13"/>
      <c r="F545" s="11"/>
      <c r="G545" s="11"/>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row>
    <row r="546" spans="1:32" x14ac:dyDescent="0.15">
      <c r="A546" s="11"/>
      <c r="B546" s="32"/>
      <c r="C546" s="11"/>
      <c r="D546" s="13"/>
      <c r="E546" s="13"/>
      <c r="F546" s="11"/>
      <c r="G546" s="11"/>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row>
    <row r="547" spans="1:32" x14ac:dyDescent="0.15">
      <c r="A547" s="11"/>
      <c r="B547" s="32"/>
      <c r="C547" s="11"/>
      <c r="D547" s="13"/>
      <c r="E547" s="13"/>
      <c r="F547" s="11"/>
      <c r="G547" s="11"/>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row>
    <row r="548" spans="1:32" x14ac:dyDescent="0.15">
      <c r="A548" s="11"/>
      <c r="B548" s="32"/>
      <c r="C548" s="11"/>
      <c r="D548" s="13"/>
      <c r="E548" s="13"/>
      <c r="F548" s="11"/>
      <c r="G548" s="11"/>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row>
    <row r="549" spans="1:32" x14ac:dyDescent="0.15">
      <c r="A549" s="11"/>
      <c r="B549" s="32"/>
      <c r="C549" s="11"/>
      <c r="D549" s="13"/>
      <c r="E549" s="13"/>
      <c r="F549" s="11"/>
      <c r="G549" s="11"/>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row>
    <row r="550" spans="1:32" x14ac:dyDescent="0.15">
      <c r="A550" s="11"/>
      <c r="B550" s="32"/>
      <c r="C550" s="11"/>
      <c r="D550" s="13"/>
      <c r="E550" s="13"/>
      <c r="F550" s="11"/>
      <c r="G550" s="11"/>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row>
    <row r="551" spans="1:32" x14ac:dyDescent="0.15">
      <c r="A551" s="11"/>
      <c r="B551" s="32"/>
      <c r="C551" s="11"/>
      <c r="D551" s="13"/>
      <c r="E551" s="13"/>
      <c r="F551" s="11"/>
      <c r="G551" s="11"/>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row>
    <row r="552" spans="1:32" x14ac:dyDescent="0.15">
      <c r="A552" s="11"/>
      <c r="B552" s="32"/>
      <c r="C552" s="11"/>
      <c r="D552" s="13"/>
      <c r="E552" s="13"/>
      <c r="F552" s="11"/>
      <c r="G552" s="11"/>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row>
    <row r="553" spans="1:32" x14ac:dyDescent="0.15">
      <c r="A553" s="11"/>
      <c r="B553" s="32"/>
      <c r="C553" s="11"/>
      <c r="D553" s="13"/>
      <c r="E553" s="13"/>
      <c r="F553" s="11"/>
      <c r="G553" s="11"/>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row>
    <row r="554" spans="1:32" x14ac:dyDescent="0.15">
      <c r="A554" s="11"/>
      <c r="B554" s="32"/>
      <c r="C554" s="11"/>
      <c r="D554" s="13"/>
      <c r="E554" s="13"/>
      <c r="F554" s="11"/>
      <c r="G554" s="11"/>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row>
    <row r="555" spans="1:32" x14ac:dyDescent="0.15">
      <c r="A555" s="11"/>
      <c r="B555" s="32"/>
      <c r="C555" s="11"/>
      <c r="D555" s="13"/>
      <c r="E555" s="13"/>
      <c r="F555" s="11"/>
      <c r="G555" s="11"/>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row>
    <row r="556" spans="1:32" x14ac:dyDescent="0.15">
      <c r="A556" s="11"/>
      <c r="B556" s="32"/>
      <c r="C556" s="11"/>
      <c r="D556" s="13"/>
      <c r="E556" s="13"/>
      <c r="F556" s="11"/>
      <c r="G556" s="11"/>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row>
    <row r="557" spans="1:32" x14ac:dyDescent="0.15">
      <c r="A557" s="11"/>
      <c r="B557" s="32"/>
      <c r="C557" s="11"/>
      <c r="D557" s="13"/>
      <c r="E557" s="13"/>
      <c r="F557" s="11"/>
      <c r="G557" s="11"/>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row>
    <row r="558" spans="1:32" x14ac:dyDescent="0.15">
      <c r="A558" s="11"/>
      <c r="B558" s="32"/>
      <c r="C558" s="11"/>
      <c r="D558" s="13"/>
      <c r="E558" s="13"/>
      <c r="F558" s="11"/>
      <c r="G558" s="11"/>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row>
    <row r="559" spans="1:32" x14ac:dyDescent="0.15">
      <c r="A559" s="11"/>
      <c r="B559" s="32"/>
      <c r="C559" s="11"/>
      <c r="D559" s="13"/>
      <c r="E559" s="13"/>
      <c r="F559" s="11"/>
      <c r="G559" s="11"/>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row>
    <row r="560" spans="1:32" x14ac:dyDescent="0.15">
      <c r="A560" s="11"/>
      <c r="B560" s="32"/>
      <c r="C560" s="11"/>
      <c r="D560" s="13"/>
      <c r="E560" s="13"/>
      <c r="F560" s="11"/>
      <c r="G560" s="11"/>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row>
    <row r="561" spans="1:32" x14ac:dyDescent="0.15">
      <c r="A561" s="11"/>
      <c r="B561" s="32"/>
      <c r="C561" s="11"/>
      <c r="D561" s="13"/>
      <c r="E561" s="13"/>
      <c r="F561" s="11"/>
      <c r="G561" s="11"/>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row>
    <row r="562" spans="1:32" x14ac:dyDescent="0.15">
      <c r="A562" s="11"/>
      <c r="B562" s="32"/>
      <c r="C562" s="11"/>
      <c r="D562" s="13"/>
      <c r="E562" s="13"/>
      <c r="F562" s="11"/>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row>
    <row r="563" spans="1:32" x14ac:dyDescent="0.15">
      <c r="A563" s="11"/>
      <c r="B563" s="32"/>
      <c r="C563" s="11"/>
      <c r="D563" s="13"/>
      <c r="E563" s="13"/>
      <c r="F563" s="11"/>
      <c r="G563" s="11"/>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row>
    <row r="564" spans="1:32" x14ac:dyDescent="0.15">
      <c r="A564" s="11"/>
      <c r="B564" s="32"/>
      <c r="C564" s="11"/>
      <c r="D564" s="13"/>
      <c r="E564" s="13"/>
      <c r="F564" s="11"/>
      <c r="G564" s="11"/>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row>
    <row r="565" spans="1:32" x14ac:dyDescent="0.15">
      <c r="A565" s="11"/>
      <c r="B565" s="32"/>
      <c r="C565" s="11"/>
      <c r="D565" s="13"/>
      <c r="E565" s="13"/>
      <c r="F565" s="11"/>
      <c r="G565" s="11"/>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row>
    <row r="566" spans="1:32" x14ac:dyDescent="0.15">
      <c r="A566" s="11"/>
      <c r="B566" s="32"/>
      <c r="C566" s="11"/>
      <c r="D566" s="13"/>
      <c r="E566" s="13"/>
      <c r="F566" s="11"/>
      <c r="G566" s="11"/>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row>
    <row r="567" spans="1:32" x14ac:dyDescent="0.15">
      <c r="A567" s="11"/>
      <c r="B567" s="32"/>
      <c r="C567" s="11"/>
      <c r="D567" s="13"/>
      <c r="E567" s="13"/>
      <c r="F567" s="11"/>
      <c r="G567" s="11"/>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row>
    <row r="568" spans="1:32" x14ac:dyDescent="0.15">
      <c r="A568" s="11"/>
      <c r="B568" s="32"/>
      <c r="C568" s="11"/>
      <c r="D568" s="13"/>
      <c r="E568" s="13"/>
      <c r="F568" s="11"/>
      <c r="G568" s="11"/>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row>
    <row r="569" spans="1:32" x14ac:dyDescent="0.15">
      <c r="A569" s="11"/>
      <c r="B569" s="32"/>
      <c r="C569" s="11"/>
      <c r="D569" s="13"/>
      <c r="E569" s="13"/>
      <c r="F569" s="11"/>
      <c r="G569" s="11"/>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row>
    <row r="570" spans="1:32" x14ac:dyDescent="0.15">
      <c r="A570" s="11"/>
      <c r="B570" s="32"/>
      <c r="C570" s="11"/>
      <c r="D570" s="13"/>
      <c r="E570" s="13"/>
      <c r="F570" s="11"/>
      <c r="G570" s="11"/>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row>
    <row r="571" spans="1:32" x14ac:dyDescent="0.15">
      <c r="A571" s="11"/>
      <c r="B571" s="32"/>
      <c r="C571" s="11"/>
      <c r="D571" s="13"/>
      <c r="E571" s="13"/>
      <c r="F571" s="11"/>
      <c r="G571" s="11"/>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row>
    <row r="572" spans="1:32" x14ac:dyDescent="0.15">
      <c r="A572" s="11"/>
      <c r="B572" s="32"/>
      <c r="C572" s="11"/>
      <c r="D572" s="13"/>
      <c r="E572" s="13"/>
      <c r="F572" s="11"/>
      <c r="G572" s="11"/>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row>
    <row r="573" spans="1:32" x14ac:dyDescent="0.15">
      <c r="A573" s="11"/>
      <c r="B573" s="32"/>
      <c r="C573" s="11"/>
      <c r="D573" s="13"/>
      <c r="E573" s="13"/>
      <c r="F573" s="11"/>
      <c r="G573" s="11"/>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row>
    <row r="574" spans="1:32" x14ac:dyDescent="0.15">
      <c r="A574" s="11"/>
      <c r="B574" s="32"/>
      <c r="C574" s="11"/>
      <c r="D574" s="13"/>
      <c r="E574" s="13"/>
      <c r="F574" s="11"/>
      <c r="G574" s="11"/>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row>
    <row r="575" spans="1:32" x14ac:dyDescent="0.15">
      <c r="A575" s="11"/>
      <c r="B575" s="32"/>
      <c r="C575" s="11"/>
      <c r="D575" s="13"/>
      <c r="E575" s="13"/>
      <c r="F575" s="11"/>
      <c r="G575" s="11"/>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row>
    <row r="576" spans="1:32" x14ac:dyDescent="0.15">
      <c r="A576" s="11"/>
      <c r="B576" s="32"/>
      <c r="C576" s="11"/>
      <c r="D576" s="13"/>
      <c r="E576" s="13"/>
      <c r="F576" s="11"/>
      <c r="G576" s="11"/>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row>
    <row r="577" spans="1:32" x14ac:dyDescent="0.15">
      <c r="A577" s="11"/>
      <c r="B577" s="32"/>
      <c r="C577" s="11"/>
      <c r="D577" s="13"/>
      <c r="E577" s="13"/>
      <c r="F577" s="11"/>
      <c r="G577" s="11"/>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row>
    <row r="578" spans="1:32" x14ac:dyDescent="0.15">
      <c r="A578" s="11"/>
      <c r="B578" s="32"/>
      <c r="C578" s="11"/>
      <c r="D578" s="13"/>
      <c r="E578" s="13"/>
      <c r="F578" s="11"/>
      <c r="G578" s="11"/>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row>
    <row r="579" spans="1:32" x14ac:dyDescent="0.15">
      <c r="A579" s="11"/>
      <c r="B579" s="32"/>
      <c r="C579" s="11"/>
      <c r="D579" s="13"/>
      <c r="E579" s="13"/>
      <c r="F579" s="11"/>
      <c r="G579" s="11"/>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row>
    <row r="580" spans="1:32" x14ac:dyDescent="0.15">
      <c r="A580" s="11"/>
      <c r="B580" s="32"/>
      <c r="C580" s="11"/>
      <c r="D580" s="13"/>
      <c r="E580" s="13"/>
      <c r="F580" s="11"/>
      <c r="G580" s="11"/>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row>
    <row r="581" spans="1:32" x14ac:dyDescent="0.15">
      <c r="A581" s="11"/>
      <c r="B581" s="32"/>
      <c r="C581" s="11"/>
      <c r="D581" s="13"/>
      <c r="E581" s="13"/>
      <c r="F581" s="11"/>
      <c r="G581" s="11"/>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row>
    <row r="582" spans="1:32" x14ac:dyDescent="0.15">
      <c r="A582" s="11"/>
      <c r="B582" s="32"/>
      <c r="C582" s="11"/>
      <c r="D582" s="13"/>
      <c r="E582" s="13"/>
      <c r="F582" s="11"/>
      <c r="G582" s="11"/>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row>
    <row r="583" spans="1:32" x14ac:dyDescent="0.15">
      <c r="A583" s="11"/>
      <c r="B583" s="32"/>
      <c r="C583" s="11"/>
      <c r="D583" s="13"/>
      <c r="E583" s="13"/>
      <c r="F583" s="11"/>
      <c r="G583" s="11"/>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row>
    <row r="584" spans="1:32" x14ac:dyDescent="0.15">
      <c r="A584" s="11"/>
      <c r="B584" s="32"/>
      <c r="C584" s="11"/>
      <c r="D584" s="13"/>
      <c r="E584" s="13"/>
      <c r="F584" s="11"/>
      <c r="G584" s="11"/>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row>
    <row r="585" spans="1:32" x14ac:dyDescent="0.15">
      <c r="A585" s="11"/>
      <c r="B585" s="32"/>
      <c r="C585" s="11"/>
      <c r="D585" s="13"/>
      <c r="E585" s="13"/>
      <c r="F585" s="11"/>
      <c r="G585" s="11"/>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row>
    <row r="586" spans="1:32" x14ac:dyDescent="0.15">
      <c r="A586" s="11"/>
      <c r="B586" s="32"/>
      <c r="C586" s="11"/>
      <c r="D586" s="13"/>
      <c r="E586" s="13"/>
      <c r="F586" s="11"/>
      <c r="G586" s="11"/>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row>
    <row r="587" spans="1:32" x14ac:dyDescent="0.15">
      <c r="A587" s="11"/>
      <c r="B587" s="32"/>
      <c r="C587" s="11"/>
      <c r="D587" s="13"/>
      <c r="E587" s="13"/>
      <c r="F587" s="11"/>
      <c r="G587" s="11"/>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row>
    <row r="588" spans="1:32" x14ac:dyDescent="0.15">
      <c r="A588" s="11"/>
      <c r="B588" s="32"/>
      <c r="C588" s="11"/>
      <c r="D588" s="13"/>
      <c r="E588" s="13"/>
      <c r="F588" s="11"/>
      <c r="G588" s="11"/>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row>
    <row r="589" spans="1:32" x14ac:dyDescent="0.15">
      <c r="A589" s="11"/>
      <c r="B589" s="32"/>
      <c r="C589" s="11"/>
      <c r="D589" s="13"/>
      <c r="E589" s="13"/>
      <c r="F589" s="11"/>
      <c r="G589" s="11"/>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row>
    <row r="590" spans="1:32" x14ac:dyDescent="0.15">
      <c r="A590" s="11"/>
      <c r="B590" s="32"/>
      <c r="C590" s="11"/>
      <c r="D590" s="13"/>
      <c r="E590" s="13"/>
      <c r="F590" s="11"/>
      <c r="G590" s="11"/>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row>
    <row r="591" spans="1:32" x14ac:dyDescent="0.15">
      <c r="A591" s="11"/>
      <c r="B591" s="32"/>
      <c r="C591" s="11"/>
      <c r="D591" s="13"/>
      <c r="E591" s="13"/>
      <c r="F591" s="11"/>
      <c r="G591" s="11"/>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row>
    <row r="592" spans="1:32" x14ac:dyDescent="0.15">
      <c r="A592" s="11"/>
      <c r="B592" s="32"/>
      <c r="C592" s="11"/>
      <c r="D592" s="13"/>
      <c r="E592" s="13"/>
      <c r="F592" s="11"/>
      <c r="G592" s="11"/>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row>
    <row r="593" spans="1:32" x14ac:dyDescent="0.15">
      <c r="A593" s="11"/>
      <c r="B593" s="32"/>
      <c r="C593" s="11"/>
      <c r="D593" s="13"/>
      <c r="E593" s="13"/>
      <c r="F593" s="11"/>
      <c r="G593" s="11"/>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row>
    <row r="594" spans="1:32" x14ac:dyDescent="0.15">
      <c r="A594" s="11"/>
      <c r="B594" s="32"/>
      <c r="C594" s="11"/>
      <c r="D594" s="13"/>
      <c r="E594" s="13"/>
      <c r="F594" s="11"/>
      <c r="G594" s="11"/>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row>
    <row r="595" spans="1:32" x14ac:dyDescent="0.15">
      <c r="A595" s="11"/>
      <c r="B595" s="32"/>
      <c r="C595" s="11"/>
      <c r="D595" s="13"/>
      <c r="E595" s="13"/>
      <c r="F595" s="11"/>
      <c r="G595" s="11"/>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row>
    <row r="596" spans="1:32" x14ac:dyDescent="0.15">
      <c r="A596" s="11"/>
      <c r="B596" s="32"/>
      <c r="C596" s="11"/>
      <c r="D596" s="13"/>
      <c r="E596" s="13"/>
      <c r="F596" s="11"/>
      <c r="G596" s="11"/>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row>
    <row r="597" spans="1:32" x14ac:dyDescent="0.15">
      <c r="A597" s="11"/>
      <c r="B597" s="32"/>
      <c r="C597" s="11"/>
      <c r="D597" s="13"/>
      <c r="E597" s="13"/>
      <c r="F597" s="11"/>
      <c r="G597" s="11"/>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row>
    <row r="598" spans="1:32" x14ac:dyDescent="0.15">
      <c r="A598" s="11"/>
      <c r="B598" s="32"/>
      <c r="C598" s="11"/>
      <c r="D598" s="13"/>
      <c r="E598" s="13"/>
      <c r="F598" s="11"/>
      <c r="G598" s="11"/>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row>
    <row r="599" spans="1:32" x14ac:dyDescent="0.15">
      <c r="A599" s="11"/>
      <c r="B599" s="32"/>
      <c r="C599" s="11"/>
      <c r="D599" s="13"/>
      <c r="E599" s="13"/>
      <c r="F599" s="11"/>
      <c r="G599" s="11"/>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row>
    <row r="600" spans="1:32" x14ac:dyDescent="0.15">
      <c r="A600" s="11"/>
      <c r="B600" s="32"/>
      <c r="C600" s="11"/>
      <c r="D600" s="13"/>
      <c r="E600" s="13"/>
      <c r="F600" s="11"/>
      <c r="G600" s="11"/>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row>
    <row r="601" spans="1:32" x14ac:dyDescent="0.15">
      <c r="A601" s="11"/>
      <c r="B601" s="32"/>
      <c r="C601" s="11"/>
      <c r="D601" s="13"/>
      <c r="E601" s="13"/>
      <c r="F601" s="11"/>
      <c r="G601" s="11"/>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row>
    <row r="602" spans="1:32" x14ac:dyDescent="0.15">
      <c r="A602" s="11"/>
      <c r="B602" s="32"/>
      <c r="C602" s="11"/>
      <c r="D602" s="13"/>
      <c r="E602" s="13"/>
      <c r="F602" s="11"/>
      <c r="G602" s="11"/>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row>
    <row r="603" spans="1:32" x14ac:dyDescent="0.15">
      <c r="A603" s="11"/>
      <c r="B603" s="32"/>
      <c r="C603" s="11"/>
      <c r="D603" s="13"/>
      <c r="E603" s="13"/>
      <c r="F603" s="11"/>
      <c r="G603" s="11"/>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row>
    <row r="604" spans="1:32" x14ac:dyDescent="0.15">
      <c r="A604" s="11"/>
      <c r="B604" s="32"/>
      <c r="C604" s="11"/>
      <c r="D604" s="13"/>
      <c r="E604" s="13"/>
      <c r="F604" s="11"/>
      <c r="G604" s="11"/>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row>
    <row r="605" spans="1:32" x14ac:dyDescent="0.15">
      <c r="A605" s="11"/>
      <c r="B605" s="32"/>
      <c r="C605" s="11"/>
      <c r="D605" s="13"/>
      <c r="E605" s="13"/>
      <c r="F605" s="11"/>
      <c r="G605" s="11"/>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row>
    <row r="606" spans="1:32" x14ac:dyDescent="0.15">
      <c r="A606" s="11"/>
      <c r="B606" s="32"/>
      <c r="C606" s="11"/>
      <c r="D606" s="13"/>
      <c r="E606" s="13"/>
      <c r="F606" s="11"/>
      <c r="G606" s="11"/>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row>
    <row r="607" spans="1:32" x14ac:dyDescent="0.15">
      <c r="A607" s="11"/>
      <c r="B607" s="32"/>
      <c r="C607" s="11"/>
      <c r="D607" s="13"/>
      <c r="E607" s="13"/>
      <c r="F607" s="11"/>
      <c r="G607" s="11"/>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row>
    <row r="608" spans="1:32" x14ac:dyDescent="0.15">
      <c r="A608" s="11"/>
      <c r="B608" s="32"/>
      <c r="C608" s="11"/>
      <c r="D608" s="13"/>
      <c r="E608" s="13"/>
      <c r="F608" s="11"/>
      <c r="G608" s="11"/>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row>
    <row r="609" spans="1:32" x14ac:dyDescent="0.15">
      <c r="A609" s="11"/>
      <c r="B609" s="32"/>
      <c r="C609" s="11"/>
      <c r="D609" s="13"/>
      <c r="E609" s="13"/>
      <c r="F609" s="11"/>
      <c r="G609" s="11"/>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row>
    <row r="610" spans="1:32" x14ac:dyDescent="0.15">
      <c r="A610" s="11"/>
      <c r="B610" s="32"/>
      <c r="C610" s="11"/>
      <c r="D610" s="13"/>
      <c r="E610" s="13"/>
      <c r="F610" s="11"/>
      <c r="G610" s="11"/>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row>
    <row r="611" spans="1:32" x14ac:dyDescent="0.15">
      <c r="A611" s="11"/>
      <c r="B611" s="32"/>
      <c r="C611" s="11"/>
      <c r="D611" s="13"/>
      <c r="E611" s="13"/>
      <c r="F611" s="11"/>
      <c r="G611" s="11"/>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row>
    <row r="612" spans="1:32" x14ac:dyDescent="0.15">
      <c r="A612" s="11"/>
      <c r="B612" s="32"/>
      <c r="C612" s="11"/>
      <c r="D612" s="13"/>
      <c r="E612" s="13"/>
      <c r="F612" s="11"/>
      <c r="G612" s="11"/>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row>
    <row r="613" spans="1:32" x14ac:dyDescent="0.15">
      <c r="A613" s="11"/>
      <c r="B613" s="32"/>
      <c r="C613" s="11"/>
      <c r="D613" s="13"/>
      <c r="E613" s="13"/>
      <c r="F613" s="11"/>
      <c r="G613" s="11"/>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row>
    <row r="614" spans="1:32" x14ac:dyDescent="0.15">
      <c r="A614" s="11"/>
      <c r="B614" s="32"/>
      <c r="C614" s="11"/>
      <c r="D614" s="13"/>
      <c r="E614" s="13"/>
      <c r="F614" s="11"/>
      <c r="G614" s="11"/>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row>
    <row r="615" spans="1:32" x14ac:dyDescent="0.15">
      <c r="A615" s="11"/>
      <c r="B615" s="32"/>
      <c r="C615" s="11"/>
      <c r="D615" s="13"/>
      <c r="E615" s="13"/>
      <c r="F615" s="11"/>
      <c r="G615" s="11"/>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row>
    <row r="616" spans="1:32" x14ac:dyDescent="0.15">
      <c r="A616" s="11"/>
      <c r="B616" s="32"/>
      <c r="C616" s="11"/>
      <c r="D616" s="13"/>
      <c r="E616" s="13"/>
      <c r="F616" s="11"/>
      <c r="G616" s="11"/>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row>
    <row r="617" spans="1:32" x14ac:dyDescent="0.15">
      <c r="A617" s="11"/>
      <c r="B617" s="32"/>
      <c r="C617" s="11"/>
      <c r="D617" s="13"/>
      <c r="E617" s="13"/>
      <c r="F617" s="11"/>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row>
    <row r="618" spans="1:32" x14ac:dyDescent="0.15">
      <c r="A618" s="11"/>
      <c r="B618" s="32"/>
      <c r="C618" s="11"/>
      <c r="D618" s="13"/>
      <c r="E618" s="13"/>
      <c r="F618" s="11"/>
      <c r="G618" s="11"/>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row>
    <row r="619" spans="1:32" x14ac:dyDescent="0.15">
      <c r="A619" s="11"/>
      <c r="B619" s="32"/>
      <c r="C619" s="11"/>
      <c r="D619" s="13"/>
      <c r="E619" s="13"/>
      <c r="F619" s="11"/>
      <c r="G619" s="11"/>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row>
    <row r="620" spans="1:32" x14ac:dyDescent="0.15">
      <c r="A620" s="11"/>
      <c r="B620" s="32"/>
      <c r="C620" s="11"/>
      <c r="D620" s="13"/>
      <c r="E620" s="13"/>
      <c r="F620" s="11"/>
      <c r="G620" s="11"/>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row>
    <row r="621" spans="1:32" x14ac:dyDescent="0.15">
      <c r="A621" s="11"/>
      <c r="B621" s="32"/>
      <c r="C621" s="11"/>
      <c r="D621" s="13"/>
      <c r="E621" s="13"/>
      <c r="F621" s="11"/>
      <c r="G621" s="11"/>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row>
    <row r="622" spans="1:32" x14ac:dyDescent="0.15">
      <c r="A622" s="11"/>
      <c r="B622" s="32"/>
      <c r="C622" s="11"/>
      <c r="D622" s="13"/>
      <c r="E622" s="13"/>
      <c r="F622" s="11"/>
      <c r="G622" s="11"/>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row>
    <row r="623" spans="1:32" x14ac:dyDescent="0.15">
      <c r="A623" s="11"/>
      <c r="B623" s="32"/>
      <c r="C623" s="11"/>
      <c r="D623" s="13"/>
      <c r="E623" s="13"/>
      <c r="F623" s="11"/>
      <c r="G623" s="11"/>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row>
    <row r="624" spans="1:32" x14ac:dyDescent="0.15">
      <c r="A624" s="11"/>
      <c r="B624" s="32"/>
      <c r="C624" s="11"/>
      <c r="D624" s="13"/>
      <c r="E624" s="13"/>
      <c r="F624" s="11"/>
      <c r="G624" s="11"/>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row>
    <row r="625" spans="1:32" x14ac:dyDescent="0.15">
      <c r="A625" s="11"/>
      <c r="B625" s="32"/>
      <c r="C625" s="11"/>
      <c r="D625" s="13"/>
      <c r="E625" s="13"/>
      <c r="F625" s="11"/>
      <c r="G625" s="11"/>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row>
    <row r="626" spans="1:32" x14ac:dyDescent="0.15">
      <c r="A626" s="11"/>
      <c r="B626" s="32"/>
      <c r="C626" s="11"/>
      <c r="D626" s="13"/>
      <c r="E626" s="13"/>
      <c r="F626" s="11"/>
      <c r="G626" s="11"/>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row>
    <row r="627" spans="1:32" x14ac:dyDescent="0.15">
      <c r="A627" s="11"/>
      <c r="B627" s="32"/>
      <c r="C627" s="11"/>
      <c r="D627" s="13"/>
      <c r="E627" s="13"/>
      <c r="F627" s="11"/>
      <c r="G627" s="11"/>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row>
    <row r="628" spans="1:32" x14ac:dyDescent="0.15">
      <c r="A628" s="11"/>
      <c r="B628" s="32"/>
      <c r="C628" s="11"/>
      <c r="D628" s="13"/>
      <c r="E628" s="13"/>
      <c r="F628" s="11"/>
      <c r="G628" s="11"/>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row>
    <row r="629" spans="1:32" x14ac:dyDescent="0.15">
      <c r="A629" s="11"/>
      <c r="B629" s="32"/>
      <c r="C629" s="11"/>
      <c r="D629" s="13"/>
      <c r="E629" s="13"/>
      <c r="F629" s="11"/>
      <c r="G629" s="11"/>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row>
    <row r="630" spans="1:32" x14ac:dyDescent="0.15">
      <c r="A630" s="11"/>
      <c r="B630" s="32"/>
      <c r="C630" s="11"/>
      <c r="D630" s="13"/>
      <c r="E630" s="13"/>
      <c r="F630" s="11"/>
      <c r="G630" s="11"/>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row>
    <row r="631" spans="1:32" x14ac:dyDescent="0.15">
      <c r="A631" s="11"/>
      <c r="B631" s="32"/>
      <c r="C631" s="11"/>
      <c r="D631" s="13"/>
      <c r="E631" s="13"/>
      <c r="F631" s="11"/>
      <c r="G631" s="11"/>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row>
    <row r="632" spans="1:32" x14ac:dyDescent="0.15">
      <c r="A632" s="11"/>
      <c r="B632" s="32"/>
      <c r="C632" s="11"/>
      <c r="D632" s="13"/>
      <c r="E632" s="13"/>
      <c r="F632" s="11"/>
      <c r="G632" s="11"/>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row>
    <row r="633" spans="1:32" x14ac:dyDescent="0.15">
      <c r="A633" s="11"/>
      <c r="B633" s="32"/>
      <c r="C633" s="11"/>
      <c r="D633" s="13"/>
      <c r="E633" s="13"/>
      <c r="F633" s="11"/>
      <c r="G633" s="11"/>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row>
    <row r="634" spans="1:32" x14ac:dyDescent="0.15">
      <c r="A634" s="11"/>
      <c r="B634" s="32"/>
      <c r="C634" s="11"/>
      <c r="D634" s="13"/>
      <c r="E634" s="13"/>
      <c r="F634" s="11"/>
      <c r="G634" s="11"/>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row>
    <row r="635" spans="1:32" x14ac:dyDescent="0.15">
      <c r="A635" s="11"/>
      <c r="B635" s="32"/>
      <c r="C635" s="11"/>
      <c r="D635" s="13"/>
      <c r="E635" s="13"/>
      <c r="F635" s="11"/>
      <c r="G635" s="11"/>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row>
    <row r="636" spans="1:32" x14ac:dyDescent="0.15">
      <c r="A636" s="11"/>
      <c r="B636" s="32"/>
      <c r="C636" s="11"/>
      <c r="D636" s="13"/>
      <c r="E636" s="13"/>
      <c r="F636" s="11"/>
      <c r="G636" s="11"/>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row>
    <row r="637" spans="1:32" x14ac:dyDescent="0.15">
      <c r="A637" s="11"/>
      <c r="B637" s="32"/>
      <c r="C637" s="11"/>
      <c r="D637" s="13"/>
      <c r="E637" s="13"/>
      <c r="F637" s="11"/>
      <c r="G637" s="11"/>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row>
    <row r="638" spans="1:32" x14ac:dyDescent="0.15">
      <c r="A638" s="11"/>
      <c r="B638" s="32"/>
      <c r="C638" s="11"/>
      <c r="D638" s="13"/>
      <c r="E638" s="13"/>
      <c r="F638" s="11"/>
      <c r="G638" s="11"/>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row>
    <row r="639" spans="1:32" x14ac:dyDescent="0.15">
      <c r="A639" s="11"/>
      <c r="B639" s="32"/>
      <c r="C639" s="11"/>
      <c r="D639" s="13"/>
      <c r="E639" s="13"/>
      <c r="F639" s="11"/>
      <c r="G639" s="11"/>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row>
    <row r="640" spans="1:32" x14ac:dyDescent="0.15">
      <c r="A640" s="11"/>
      <c r="B640" s="32"/>
      <c r="C640" s="11"/>
      <c r="D640" s="13"/>
      <c r="E640" s="13"/>
      <c r="F640" s="11"/>
      <c r="G640" s="11"/>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row>
    <row r="641" spans="1:32" x14ac:dyDescent="0.15">
      <c r="A641" s="11"/>
      <c r="B641" s="32"/>
      <c r="C641" s="11"/>
      <c r="D641" s="13"/>
      <c r="E641" s="13"/>
      <c r="F641" s="11"/>
      <c r="G641" s="11"/>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row>
    <row r="642" spans="1:32" x14ac:dyDescent="0.15">
      <c r="A642" s="11"/>
      <c r="B642" s="32"/>
      <c r="C642" s="11"/>
      <c r="D642" s="13"/>
      <c r="E642" s="13"/>
      <c r="F642" s="11"/>
      <c r="G642" s="11"/>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row>
    <row r="643" spans="1:32" x14ac:dyDescent="0.15">
      <c r="A643" s="11"/>
      <c r="B643" s="32"/>
      <c r="C643" s="11"/>
      <c r="D643" s="13"/>
      <c r="E643" s="13"/>
      <c r="F643" s="11"/>
      <c r="G643" s="11"/>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row>
    <row r="644" spans="1:32" x14ac:dyDescent="0.15">
      <c r="A644" s="11"/>
      <c r="B644" s="32"/>
      <c r="C644" s="11"/>
      <c r="D644" s="13"/>
      <c r="E644" s="13"/>
      <c r="F644" s="11"/>
      <c r="G644" s="11"/>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row>
    <row r="645" spans="1:32" x14ac:dyDescent="0.15">
      <c r="A645" s="11"/>
      <c r="B645" s="32"/>
      <c r="C645" s="11"/>
      <c r="D645" s="13"/>
      <c r="E645" s="13"/>
      <c r="F645" s="11"/>
      <c r="G645" s="11"/>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row>
    <row r="646" spans="1:32" x14ac:dyDescent="0.15">
      <c r="A646" s="11"/>
      <c r="B646" s="32"/>
      <c r="C646" s="11"/>
      <c r="D646" s="13"/>
      <c r="E646" s="13"/>
      <c r="F646" s="11"/>
      <c r="G646" s="11"/>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row>
    <row r="647" spans="1:32" x14ac:dyDescent="0.15">
      <c r="A647" s="11"/>
      <c r="B647" s="32"/>
      <c r="C647" s="11"/>
      <c r="D647" s="13"/>
      <c r="E647" s="13"/>
      <c r="F647" s="11"/>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row>
    <row r="648" spans="1:32" x14ac:dyDescent="0.15">
      <c r="A648" s="11"/>
      <c r="B648" s="32"/>
      <c r="C648" s="11"/>
      <c r="D648" s="13"/>
      <c r="E648" s="13"/>
      <c r="F648" s="11"/>
      <c r="G648" s="11"/>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row>
    <row r="649" spans="1:32" x14ac:dyDescent="0.15">
      <c r="A649" s="11"/>
      <c r="B649" s="32"/>
      <c r="C649" s="11"/>
      <c r="D649" s="13"/>
      <c r="E649" s="13"/>
      <c r="F649" s="11"/>
      <c r="G649" s="11"/>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row>
    <row r="650" spans="1:32" x14ac:dyDescent="0.15">
      <c r="A650" s="11"/>
      <c r="B650" s="32"/>
      <c r="C650" s="11"/>
      <c r="D650" s="13"/>
      <c r="E650" s="13"/>
      <c r="F650" s="11"/>
      <c r="G650" s="11"/>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row>
    <row r="651" spans="1:32" x14ac:dyDescent="0.15">
      <c r="A651" s="11"/>
      <c r="B651" s="32"/>
      <c r="C651" s="11"/>
      <c r="D651" s="13"/>
      <c r="E651" s="13"/>
      <c r="F651" s="11"/>
      <c r="G651" s="11"/>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row>
    <row r="652" spans="1:32" x14ac:dyDescent="0.15">
      <c r="A652" s="11"/>
      <c r="B652" s="32"/>
      <c r="C652" s="11"/>
      <c r="D652" s="13"/>
      <c r="E652" s="13"/>
      <c r="F652" s="11"/>
      <c r="G652" s="11"/>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row>
    <row r="653" spans="1:32" x14ac:dyDescent="0.15">
      <c r="A653" s="11"/>
      <c r="B653" s="32"/>
      <c r="C653" s="11"/>
      <c r="D653" s="13"/>
      <c r="E653" s="13"/>
      <c r="F653" s="11"/>
      <c r="G653" s="11"/>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row>
    <row r="654" spans="1:32" x14ac:dyDescent="0.15">
      <c r="A654" s="11"/>
      <c r="B654" s="32"/>
      <c r="C654" s="11"/>
      <c r="D654" s="13"/>
      <c r="E654" s="13"/>
      <c r="F654" s="11"/>
      <c r="G654" s="11"/>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row>
    <row r="655" spans="1:32" x14ac:dyDescent="0.15">
      <c r="A655" s="11"/>
      <c r="B655" s="32"/>
      <c r="C655" s="11"/>
      <c r="D655" s="13"/>
      <c r="E655" s="13"/>
      <c r="F655" s="11"/>
      <c r="G655" s="11"/>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row>
    <row r="656" spans="1:32" x14ac:dyDescent="0.15">
      <c r="A656" s="11"/>
      <c r="B656" s="32"/>
      <c r="C656" s="11"/>
      <c r="D656" s="13"/>
      <c r="E656" s="13"/>
      <c r="F656" s="11"/>
      <c r="G656" s="11"/>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row>
    <row r="657" spans="1:32" x14ac:dyDescent="0.15">
      <c r="A657" s="11"/>
      <c r="B657" s="32"/>
      <c r="C657" s="11"/>
      <c r="D657" s="13"/>
      <c r="E657" s="13"/>
      <c r="F657" s="11"/>
      <c r="G657" s="11"/>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row>
    <row r="658" spans="1:32" x14ac:dyDescent="0.15">
      <c r="A658" s="11"/>
      <c r="B658" s="32"/>
      <c r="C658" s="11"/>
      <c r="D658" s="13"/>
      <c r="E658" s="13"/>
      <c r="F658" s="11"/>
      <c r="G658" s="11"/>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row>
    <row r="659" spans="1:32" x14ac:dyDescent="0.15">
      <c r="A659" s="11"/>
      <c r="B659" s="32"/>
      <c r="C659" s="11"/>
      <c r="D659" s="13"/>
      <c r="E659" s="13"/>
      <c r="F659" s="11"/>
      <c r="G659" s="11"/>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row>
    <row r="660" spans="1:32" x14ac:dyDescent="0.15">
      <c r="A660" s="11"/>
      <c r="B660" s="32"/>
      <c r="C660" s="11"/>
      <c r="D660" s="13"/>
      <c r="E660" s="13"/>
      <c r="F660" s="11"/>
      <c r="G660" s="11"/>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row>
    <row r="661" spans="1:32" x14ac:dyDescent="0.15">
      <c r="A661" s="11"/>
      <c r="B661" s="32"/>
      <c r="C661" s="11"/>
      <c r="D661" s="13"/>
      <c r="E661" s="13"/>
      <c r="F661" s="11"/>
      <c r="G661" s="11"/>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row>
    <row r="662" spans="1:32" x14ac:dyDescent="0.15">
      <c r="A662" s="11"/>
      <c r="B662" s="32"/>
      <c r="C662" s="11"/>
      <c r="D662" s="13"/>
      <c r="E662" s="13"/>
      <c r="F662" s="11"/>
      <c r="G662" s="11"/>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row>
    <row r="663" spans="1:32" x14ac:dyDescent="0.15">
      <c r="A663" s="11"/>
      <c r="B663" s="32"/>
      <c r="C663" s="11"/>
      <c r="D663" s="13"/>
      <c r="E663" s="13"/>
      <c r="F663" s="11"/>
      <c r="G663" s="11"/>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row>
    <row r="664" spans="1:32" x14ac:dyDescent="0.15">
      <c r="A664" s="11"/>
      <c r="B664" s="32"/>
      <c r="C664" s="11"/>
      <c r="D664" s="13"/>
      <c r="E664" s="13"/>
      <c r="F664" s="11"/>
      <c r="G664" s="11"/>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row>
    <row r="665" spans="1:32" x14ac:dyDescent="0.15">
      <c r="A665" s="11"/>
      <c r="B665" s="32"/>
      <c r="C665" s="11"/>
      <c r="D665" s="13"/>
      <c r="E665" s="13"/>
      <c r="F665" s="11"/>
      <c r="G665" s="11"/>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row>
    <row r="666" spans="1:32" x14ac:dyDescent="0.15">
      <c r="A666" s="11"/>
      <c r="B666" s="32"/>
      <c r="C666" s="11"/>
      <c r="D666" s="13"/>
      <c r="E666" s="13"/>
      <c r="F666" s="11"/>
      <c r="G666" s="11"/>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row>
    <row r="667" spans="1:32" x14ac:dyDescent="0.15">
      <c r="A667" s="11"/>
      <c r="B667" s="32"/>
      <c r="C667" s="11"/>
      <c r="D667" s="13"/>
      <c r="E667" s="13"/>
      <c r="F667" s="11"/>
      <c r="G667" s="11"/>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row>
    <row r="668" spans="1:32" x14ac:dyDescent="0.15">
      <c r="A668" s="11"/>
      <c r="B668" s="32"/>
      <c r="C668" s="11"/>
      <c r="D668" s="13"/>
      <c r="E668" s="13"/>
      <c r="F668" s="11"/>
      <c r="G668" s="11"/>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row>
    <row r="669" spans="1:32" x14ac:dyDescent="0.15">
      <c r="A669" s="11"/>
      <c r="B669" s="32"/>
      <c r="C669" s="11"/>
      <c r="D669" s="13"/>
      <c r="E669" s="13"/>
      <c r="F669" s="11"/>
      <c r="G669" s="11"/>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row>
    <row r="670" spans="1:32" x14ac:dyDescent="0.15">
      <c r="A670" s="11"/>
      <c r="B670" s="32"/>
      <c r="C670" s="11"/>
      <c r="D670" s="13"/>
      <c r="E670" s="13"/>
      <c r="F670" s="11"/>
      <c r="G670" s="11"/>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row>
    <row r="671" spans="1:32" x14ac:dyDescent="0.15">
      <c r="A671" s="11"/>
      <c r="B671" s="32"/>
      <c r="C671" s="11"/>
      <c r="D671" s="13"/>
      <c r="E671" s="13"/>
      <c r="F671" s="11"/>
      <c r="G671" s="11"/>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row>
    <row r="672" spans="1:32" x14ac:dyDescent="0.15">
      <c r="A672" s="11"/>
      <c r="B672" s="32"/>
      <c r="C672" s="11"/>
      <c r="D672" s="13"/>
      <c r="E672" s="13"/>
      <c r="F672" s="11"/>
      <c r="G672" s="11"/>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row>
    <row r="673" spans="1:32" x14ac:dyDescent="0.15">
      <c r="A673" s="11"/>
      <c r="B673" s="32"/>
      <c r="C673" s="11"/>
      <c r="D673" s="13"/>
      <c r="E673" s="13"/>
      <c r="F673" s="11"/>
      <c r="G673" s="11"/>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row>
    <row r="674" spans="1:32" x14ac:dyDescent="0.15">
      <c r="A674" s="11"/>
      <c r="B674" s="32"/>
      <c r="C674" s="11"/>
      <c r="D674" s="13"/>
      <c r="E674" s="13"/>
      <c r="F674" s="11"/>
      <c r="G674" s="11"/>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row>
    <row r="675" spans="1:32" x14ac:dyDescent="0.15">
      <c r="A675" s="11"/>
      <c r="B675" s="32"/>
      <c r="C675" s="11"/>
      <c r="D675" s="13"/>
      <c r="E675" s="13"/>
      <c r="F675" s="11"/>
      <c r="G675" s="11"/>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row>
    <row r="676" spans="1:32" x14ac:dyDescent="0.15">
      <c r="A676" s="11"/>
      <c r="B676" s="32"/>
      <c r="C676" s="11"/>
      <c r="D676" s="13"/>
      <c r="E676" s="13"/>
      <c r="F676" s="11"/>
      <c r="G676" s="11"/>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row>
    <row r="677" spans="1:32" x14ac:dyDescent="0.15">
      <c r="A677" s="11"/>
      <c r="B677" s="32"/>
      <c r="C677" s="11"/>
      <c r="D677" s="13"/>
      <c r="E677" s="13"/>
      <c r="F677" s="11"/>
      <c r="G677" s="11"/>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row>
    <row r="678" spans="1:32" x14ac:dyDescent="0.15">
      <c r="A678" s="11"/>
      <c r="B678" s="32"/>
      <c r="C678" s="11"/>
      <c r="D678" s="13"/>
      <c r="E678" s="13"/>
      <c r="F678" s="11"/>
      <c r="G678" s="11"/>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row>
    <row r="679" spans="1:32" x14ac:dyDescent="0.15">
      <c r="A679" s="11"/>
      <c r="B679" s="32"/>
      <c r="C679" s="11"/>
      <c r="D679" s="13"/>
      <c r="E679" s="13"/>
      <c r="F679" s="11"/>
      <c r="G679" s="11"/>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row>
    <row r="680" spans="1:32" x14ac:dyDescent="0.15">
      <c r="A680" s="11"/>
      <c r="B680" s="32"/>
      <c r="C680" s="11"/>
      <c r="D680" s="13"/>
      <c r="E680" s="13"/>
      <c r="F680" s="11"/>
      <c r="G680" s="11"/>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row>
    <row r="681" spans="1:32" x14ac:dyDescent="0.15">
      <c r="A681" s="11"/>
      <c r="B681" s="32"/>
      <c r="C681" s="11"/>
      <c r="D681" s="13"/>
      <c r="E681" s="13"/>
      <c r="F681" s="11"/>
      <c r="G681" s="11"/>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row>
    <row r="682" spans="1:32" x14ac:dyDescent="0.15">
      <c r="A682" s="11"/>
      <c r="B682" s="32"/>
      <c r="C682" s="11"/>
      <c r="D682" s="13"/>
      <c r="E682" s="13"/>
      <c r="F682" s="11"/>
      <c r="G682" s="11"/>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row>
    <row r="683" spans="1:32" x14ac:dyDescent="0.15">
      <c r="A683" s="11"/>
      <c r="B683" s="32"/>
      <c r="C683" s="11"/>
      <c r="D683" s="13"/>
      <c r="E683" s="13"/>
      <c r="F683" s="11"/>
      <c r="G683" s="11"/>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row>
    <row r="684" spans="1:32" x14ac:dyDescent="0.15">
      <c r="A684" s="11"/>
      <c r="B684" s="32"/>
      <c r="C684" s="11"/>
      <c r="D684" s="13"/>
      <c r="E684" s="13"/>
      <c r="F684" s="11"/>
      <c r="G684" s="11"/>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row>
    <row r="685" spans="1:32" x14ac:dyDescent="0.15">
      <c r="A685" s="11"/>
      <c r="B685" s="32"/>
      <c r="C685" s="11"/>
      <c r="D685" s="13"/>
      <c r="E685" s="13"/>
      <c r="F685" s="11"/>
      <c r="G685" s="11"/>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row>
    <row r="686" spans="1:32" x14ac:dyDescent="0.15">
      <c r="A686" s="11"/>
      <c r="B686" s="32"/>
      <c r="C686" s="11"/>
      <c r="D686" s="13"/>
      <c r="E686" s="13"/>
      <c r="F686" s="11"/>
      <c r="G686" s="11"/>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row>
    <row r="687" spans="1:32" x14ac:dyDescent="0.15">
      <c r="A687" s="11"/>
      <c r="B687" s="32"/>
      <c r="C687" s="11"/>
      <c r="D687" s="13"/>
      <c r="E687" s="13"/>
      <c r="F687" s="11"/>
      <c r="G687" s="11"/>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row>
    <row r="688" spans="1:32" x14ac:dyDescent="0.15">
      <c r="A688" s="11"/>
      <c r="B688" s="32"/>
      <c r="C688" s="11"/>
      <c r="D688" s="13"/>
      <c r="E688" s="13"/>
      <c r="F688" s="11"/>
      <c r="G688" s="11"/>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row>
    <row r="689" spans="1:32" x14ac:dyDescent="0.15">
      <c r="A689" s="11"/>
      <c r="B689" s="32"/>
      <c r="C689" s="11"/>
      <c r="D689" s="13"/>
      <c r="E689" s="13"/>
      <c r="F689" s="11"/>
      <c r="G689" s="11"/>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row>
    <row r="690" spans="1:32" x14ac:dyDescent="0.15">
      <c r="A690" s="11"/>
      <c r="B690" s="32"/>
      <c r="C690" s="11"/>
      <c r="D690" s="13"/>
      <c r="E690" s="13"/>
      <c r="F690" s="11"/>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row>
    <row r="691" spans="1:32" x14ac:dyDescent="0.15">
      <c r="A691" s="11"/>
      <c r="B691" s="32"/>
      <c r="C691" s="11"/>
      <c r="D691" s="13"/>
      <c r="E691" s="13"/>
      <c r="F691" s="11"/>
      <c r="G691" s="11"/>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row>
    <row r="692" spans="1:32" x14ac:dyDescent="0.15">
      <c r="A692" s="11"/>
      <c r="B692" s="32"/>
      <c r="C692" s="11"/>
      <c r="D692" s="13"/>
      <c r="E692" s="13"/>
      <c r="F692" s="11"/>
      <c r="G692" s="11"/>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row>
    <row r="693" spans="1:32" x14ac:dyDescent="0.15">
      <c r="A693" s="11"/>
      <c r="B693" s="32"/>
      <c r="C693" s="11"/>
      <c r="D693" s="13"/>
      <c r="E693" s="13"/>
      <c r="F693" s="11"/>
      <c r="G693" s="11"/>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row>
    <row r="694" spans="1:32" x14ac:dyDescent="0.15">
      <c r="A694" s="11"/>
      <c r="B694" s="32"/>
      <c r="C694" s="11"/>
      <c r="D694" s="13"/>
      <c r="E694" s="13"/>
      <c r="F694" s="11"/>
      <c r="G694" s="11"/>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row>
    <row r="695" spans="1:32" x14ac:dyDescent="0.15">
      <c r="A695" s="11"/>
      <c r="B695" s="32"/>
      <c r="C695" s="11"/>
      <c r="D695" s="13"/>
      <c r="E695" s="13"/>
      <c r="F695" s="11"/>
      <c r="G695" s="11"/>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row>
    <row r="696" spans="1:32" x14ac:dyDescent="0.15">
      <c r="A696" s="11"/>
      <c r="B696" s="32"/>
      <c r="C696" s="11"/>
      <c r="D696" s="13"/>
      <c r="E696" s="13"/>
      <c r="F696" s="11"/>
      <c r="G696" s="11"/>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row>
    <row r="697" spans="1:32" x14ac:dyDescent="0.15">
      <c r="A697" s="11"/>
      <c r="B697" s="32"/>
      <c r="C697" s="11"/>
      <c r="D697" s="13"/>
      <c r="E697" s="13"/>
      <c r="F697" s="11"/>
      <c r="G697" s="11"/>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row>
    <row r="698" spans="1:32" x14ac:dyDescent="0.15">
      <c r="A698" s="11"/>
      <c r="B698" s="32"/>
      <c r="C698" s="11"/>
      <c r="D698" s="13"/>
      <c r="E698" s="13"/>
      <c r="F698" s="11"/>
      <c r="G698" s="11"/>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row>
    <row r="699" spans="1:32" x14ac:dyDescent="0.15">
      <c r="A699" s="11"/>
      <c r="B699" s="32"/>
      <c r="C699" s="11"/>
      <c r="D699" s="13"/>
      <c r="E699" s="13"/>
      <c r="F699" s="11"/>
      <c r="G699" s="11"/>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row>
    <row r="700" spans="1:32" x14ac:dyDescent="0.15">
      <c r="A700" s="11"/>
      <c r="B700" s="32"/>
      <c r="C700" s="11"/>
      <c r="D700" s="13"/>
      <c r="E700" s="13"/>
      <c r="F700" s="11"/>
      <c r="G700" s="11"/>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row>
    <row r="701" spans="1:32" x14ac:dyDescent="0.15">
      <c r="A701" s="11"/>
      <c r="B701" s="32"/>
      <c r="C701" s="11"/>
      <c r="D701" s="13"/>
      <c r="E701" s="13"/>
      <c r="F701" s="11"/>
      <c r="G701" s="11"/>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row>
    <row r="702" spans="1:32" x14ac:dyDescent="0.15">
      <c r="A702" s="11"/>
      <c r="B702" s="32"/>
      <c r="C702" s="11"/>
      <c r="D702" s="13"/>
      <c r="E702" s="13"/>
      <c r="F702" s="11"/>
      <c r="G702" s="11"/>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row>
    <row r="703" spans="1:32" x14ac:dyDescent="0.15">
      <c r="A703" s="11"/>
      <c r="B703" s="32"/>
      <c r="C703" s="11"/>
      <c r="D703" s="13"/>
      <c r="E703" s="13"/>
      <c r="F703" s="11"/>
      <c r="G703" s="11"/>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row>
    <row r="704" spans="1:32" x14ac:dyDescent="0.15">
      <c r="A704" s="11"/>
      <c r="B704" s="32"/>
      <c r="C704" s="11"/>
      <c r="D704" s="13"/>
      <c r="E704" s="13"/>
      <c r="F704" s="11"/>
      <c r="G704" s="11"/>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row>
    <row r="705" spans="1:32" x14ac:dyDescent="0.15">
      <c r="A705" s="11"/>
      <c r="B705" s="32"/>
      <c r="C705" s="11"/>
      <c r="D705" s="13"/>
      <c r="E705" s="13"/>
      <c r="F705" s="11"/>
      <c r="G705" s="11"/>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row>
    <row r="706" spans="1:32" x14ac:dyDescent="0.15">
      <c r="A706" s="11"/>
      <c r="B706" s="32"/>
      <c r="C706" s="11"/>
      <c r="D706" s="13"/>
      <c r="E706" s="13"/>
      <c r="F706" s="11"/>
      <c r="G706" s="11"/>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row>
    <row r="707" spans="1:32" x14ac:dyDescent="0.15">
      <c r="A707" s="11"/>
      <c r="B707" s="32"/>
      <c r="C707" s="11"/>
      <c r="D707" s="13"/>
      <c r="E707" s="13"/>
      <c r="F707" s="11"/>
      <c r="G707" s="11"/>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row>
    <row r="708" spans="1:32" x14ac:dyDescent="0.15">
      <c r="A708" s="11"/>
      <c r="B708" s="32"/>
      <c r="C708" s="11"/>
      <c r="D708" s="13"/>
      <c r="E708" s="13"/>
      <c r="F708" s="11"/>
      <c r="G708" s="11"/>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row>
    <row r="709" spans="1:32" x14ac:dyDescent="0.15">
      <c r="A709" s="11"/>
      <c r="B709" s="32"/>
      <c r="C709" s="11"/>
      <c r="D709" s="13"/>
      <c r="E709" s="13"/>
      <c r="F709" s="11"/>
      <c r="G709" s="11"/>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row>
    <row r="710" spans="1:32" x14ac:dyDescent="0.15">
      <c r="A710" s="11"/>
      <c r="B710" s="32"/>
      <c r="C710" s="11"/>
      <c r="D710" s="13"/>
      <c r="E710" s="13"/>
      <c r="F710" s="11"/>
      <c r="G710" s="11"/>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row>
    <row r="711" spans="1:32" x14ac:dyDescent="0.15">
      <c r="A711" s="11"/>
      <c r="B711" s="32"/>
      <c r="C711" s="11"/>
      <c r="D711" s="13"/>
      <c r="E711" s="13"/>
      <c r="F711" s="11"/>
      <c r="G711" s="11"/>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row>
    <row r="712" spans="1:32" x14ac:dyDescent="0.15">
      <c r="A712" s="11"/>
      <c r="B712" s="32"/>
      <c r="C712" s="11"/>
      <c r="D712" s="13"/>
      <c r="E712" s="13"/>
      <c r="F712" s="11"/>
      <c r="G712" s="11"/>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row>
    <row r="713" spans="1:32" x14ac:dyDescent="0.15">
      <c r="A713" s="11"/>
      <c r="B713" s="32"/>
      <c r="C713" s="11"/>
      <c r="D713" s="13"/>
      <c r="E713" s="13"/>
      <c r="F713" s="11"/>
      <c r="G713" s="11"/>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row>
    <row r="714" spans="1:32" x14ac:dyDescent="0.15">
      <c r="A714" s="11"/>
      <c r="B714" s="32"/>
      <c r="C714" s="11"/>
      <c r="D714" s="13"/>
      <c r="E714" s="13"/>
      <c r="F714" s="11"/>
      <c r="G714" s="11"/>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row>
    <row r="715" spans="1:32" x14ac:dyDescent="0.15">
      <c r="A715" s="11"/>
      <c r="B715" s="32"/>
      <c r="C715" s="11"/>
      <c r="D715" s="13"/>
      <c r="E715" s="13"/>
      <c r="F715" s="11"/>
      <c r="G715" s="11"/>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row>
    <row r="716" spans="1:32" x14ac:dyDescent="0.15">
      <c r="A716" s="11"/>
      <c r="B716" s="32"/>
      <c r="C716" s="11"/>
      <c r="D716" s="13"/>
      <c r="E716" s="13"/>
      <c r="F716" s="11"/>
      <c r="G716" s="11"/>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row>
    <row r="717" spans="1:32" x14ac:dyDescent="0.15">
      <c r="A717" s="11"/>
      <c r="B717" s="32"/>
      <c r="C717" s="11"/>
      <c r="D717" s="13"/>
      <c r="E717" s="13"/>
      <c r="F717" s="11"/>
      <c r="G717" s="11"/>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row>
    <row r="718" spans="1:32" x14ac:dyDescent="0.15">
      <c r="A718" s="11"/>
      <c r="B718" s="32"/>
      <c r="C718" s="11"/>
      <c r="D718" s="13"/>
      <c r="E718" s="13"/>
      <c r="F718" s="11"/>
      <c r="G718" s="11"/>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row>
    <row r="719" spans="1:32" x14ac:dyDescent="0.15">
      <c r="A719" s="11"/>
      <c r="B719" s="32"/>
      <c r="C719" s="11"/>
      <c r="D719" s="13"/>
      <c r="E719" s="13"/>
      <c r="F719" s="11"/>
      <c r="G719" s="11"/>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row>
    <row r="720" spans="1:32" x14ac:dyDescent="0.15">
      <c r="A720" s="11"/>
      <c r="B720" s="32"/>
      <c r="C720" s="11"/>
      <c r="D720" s="13"/>
      <c r="E720" s="13"/>
      <c r="F720" s="11"/>
      <c r="G720" s="11"/>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row>
    <row r="721" spans="1:32" x14ac:dyDescent="0.15">
      <c r="A721" s="11"/>
      <c r="B721" s="32"/>
      <c r="C721" s="11"/>
      <c r="D721" s="13"/>
      <c r="E721" s="13"/>
      <c r="F721" s="11"/>
      <c r="G721" s="11"/>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row>
    <row r="722" spans="1:32" x14ac:dyDescent="0.15">
      <c r="A722" s="11"/>
      <c r="B722" s="32"/>
      <c r="C722" s="11"/>
      <c r="D722" s="13"/>
      <c r="E722" s="13"/>
      <c r="F722" s="11"/>
      <c r="G722" s="11"/>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row>
    <row r="723" spans="1:32" x14ac:dyDescent="0.15">
      <c r="A723" s="11"/>
      <c r="B723" s="32"/>
      <c r="C723" s="11"/>
      <c r="D723" s="13"/>
      <c r="E723" s="13"/>
      <c r="F723" s="11"/>
      <c r="G723" s="11"/>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row>
    <row r="724" spans="1:32" x14ac:dyDescent="0.15">
      <c r="A724" s="11"/>
      <c r="B724" s="32"/>
      <c r="C724" s="11"/>
      <c r="D724" s="13"/>
      <c r="E724" s="13"/>
      <c r="F724" s="11"/>
      <c r="G724" s="11"/>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row>
    <row r="725" spans="1:32" x14ac:dyDescent="0.15">
      <c r="A725" s="11"/>
      <c r="B725" s="32"/>
      <c r="C725" s="11"/>
      <c r="D725" s="13"/>
      <c r="E725" s="13"/>
      <c r="F725" s="11"/>
      <c r="G725" s="11"/>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row>
    <row r="726" spans="1:32" x14ac:dyDescent="0.15">
      <c r="A726" s="11"/>
      <c r="B726" s="32"/>
      <c r="C726" s="11"/>
      <c r="D726" s="13"/>
      <c r="E726" s="13"/>
      <c r="F726" s="11"/>
      <c r="G726" s="11"/>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row>
    <row r="727" spans="1:32" x14ac:dyDescent="0.15">
      <c r="A727" s="11"/>
      <c r="B727" s="32"/>
      <c r="C727" s="11"/>
      <c r="D727" s="13"/>
      <c r="E727" s="13"/>
      <c r="F727" s="11"/>
      <c r="G727" s="11"/>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row>
    <row r="728" spans="1:32" x14ac:dyDescent="0.15">
      <c r="A728" s="11"/>
      <c r="B728" s="32"/>
      <c r="C728" s="11"/>
      <c r="D728" s="13"/>
      <c r="E728" s="13"/>
      <c r="F728" s="11"/>
      <c r="G728" s="11"/>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row>
    <row r="729" spans="1:32" x14ac:dyDescent="0.15">
      <c r="A729" s="11"/>
      <c r="B729" s="32"/>
      <c r="C729" s="11"/>
      <c r="D729" s="13"/>
      <c r="E729" s="13"/>
      <c r="F729" s="11"/>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row>
    <row r="730" spans="1:32" x14ac:dyDescent="0.15">
      <c r="A730" s="11"/>
      <c r="B730" s="32"/>
      <c r="C730" s="11"/>
      <c r="D730" s="13"/>
      <c r="E730" s="13"/>
      <c r="F730" s="11"/>
      <c r="G730" s="11"/>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row>
    <row r="731" spans="1:32" x14ac:dyDescent="0.15">
      <c r="A731" s="11"/>
      <c r="B731" s="32"/>
      <c r="C731" s="11"/>
      <c r="D731" s="13"/>
      <c r="E731" s="13"/>
      <c r="F731" s="11"/>
      <c r="G731" s="11"/>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row>
    <row r="732" spans="1:32" x14ac:dyDescent="0.15">
      <c r="A732" s="11"/>
      <c r="B732" s="32"/>
      <c r="C732" s="11"/>
      <c r="D732" s="13"/>
      <c r="E732" s="13"/>
      <c r="F732" s="11"/>
      <c r="G732" s="11"/>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row>
    <row r="733" spans="1:32" x14ac:dyDescent="0.15">
      <c r="A733" s="11"/>
      <c r="B733" s="32"/>
      <c r="C733" s="11"/>
      <c r="D733" s="13"/>
      <c r="E733" s="13"/>
      <c r="F733" s="11"/>
      <c r="G733" s="11"/>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row>
    <row r="734" spans="1:32" x14ac:dyDescent="0.15">
      <c r="A734" s="11"/>
      <c r="B734" s="32"/>
      <c r="C734" s="11"/>
      <c r="D734" s="13"/>
      <c r="E734" s="13"/>
      <c r="F734" s="11"/>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row>
    <row r="735" spans="1:32" x14ac:dyDescent="0.15">
      <c r="A735" s="11"/>
      <c r="B735" s="32"/>
      <c r="C735" s="11"/>
      <c r="D735" s="13"/>
      <c r="E735" s="13"/>
      <c r="F735" s="11"/>
      <c r="G735" s="11"/>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row>
    <row r="736" spans="1:32" x14ac:dyDescent="0.15">
      <c r="A736" s="11"/>
      <c r="B736" s="32"/>
      <c r="C736" s="11"/>
      <c r="D736" s="13"/>
      <c r="E736" s="13"/>
      <c r="F736" s="11"/>
      <c r="G736" s="11"/>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row>
    <row r="737" spans="1:32" x14ac:dyDescent="0.15">
      <c r="A737" s="11"/>
      <c r="B737" s="32"/>
      <c r="C737" s="11"/>
      <c r="D737" s="13"/>
      <c r="E737" s="13"/>
      <c r="F737" s="11"/>
      <c r="G737" s="11"/>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row>
    <row r="738" spans="1:32" x14ac:dyDescent="0.15">
      <c r="A738" s="11"/>
      <c r="B738" s="32"/>
      <c r="C738" s="11"/>
      <c r="D738" s="13"/>
      <c r="E738" s="13"/>
      <c r="F738" s="11"/>
      <c r="G738" s="11"/>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row>
    <row r="739" spans="1:32" x14ac:dyDescent="0.15">
      <c r="A739" s="11"/>
      <c r="B739" s="32"/>
      <c r="C739" s="11"/>
      <c r="D739" s="13"/>
      <c r="E739" s="13"/>
      <c r="F739" s="11"/>
      <c r="G739" s="11"/>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row>
    <row r="740" spans="1:32" x14ac:dyDescent="0.15">
      <c r="A740" s="11"/>
      <c r="B740" s="32"/>
      <c r="C740" s="11"/>
      <c r="D740" s="13"/>
      <c r="E740" s="13"/>
      <c r="F740" s="11"/>
      <c r="G740" s="11"/>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row>
    <row r="741" spans="1:32" x14ac:dyDescent="0.15">
      <c r="A741" s="11"/>
      <c r="B741" s="32"/>
      <c r="C741" s="11"/>
      <c r="D741" s="13"/>
      <c r="E741" s="13"/>
      <c r="F741" s="11"/>
      <c r="G741" s="11"/>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row>
    <row r="742" spans="1:32" x14ac:dyDescent="0.15">
      <c r="A742" s="11"/>
      <c r="B742" s="32"/>
      <c r="C742" s="11"/>
      <c r="D742" s="13"/>
      <c r="E742" s="13"/>
      <c r="F742" s="11"/>
      <c r="G742" s="11"/>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row>
    <row r="743" spans="1:32" x14ac:dyDescent="0.15">
      <c r="A743" s="11"/>
      <c r="B743" s="32"/>
      <c r="C743" s="11"/>
      <c r="D743" s="13"/>
      <c r="E743" s="13"/>
      <c r="F743" s="11"/>
      <c r="G743" s="11"/>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row>
    <row r="744" spans="1:32" x14ac:dyDescent="0.15">
      <c r="A744" s="11"/>
      <c r="B744" s="32"/>
      <c r="C744" s="11"/>
      <c r="D744" s="13"/>
      <c r="E744" s="13"/>
      <c r="F744" s="11"/>
      <c r="G744" s="11"/>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row>
    <row r="745" spans="1:32" x14ac:dyDescent="0.15">
      <c r="A745" s="11"/>
      <c r="B745" s="32"/>
      <c r="C745" s="11"/>
      <c r="D745" s="13"/>
      <c r="E745" s="13"/>
      <c r="F745" s="11"/>
      <c r="G745" s="11"/>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row>
    <row r="746" spans="1:32" x14ac:dyDescent="0.15">
      <c r="A746" s="11"/>
      <c r="B746" s="32"/>
      <c r="C746" s="11"/>
      <c r="D746" s="13"/>
      <c r="E746" s="13"/>
      <c r="F746" s="11"/>
      <c r="G746" s="11"/>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row>
    <row r="747" spans="1:32" x14ac:dyDescent="0.15">
      <c r="A747" s="11"/>
      <c r="B747" s="32"/>
      <c r="C747" s="11"/>
      <c r="D747" s="13"/>
      <c r="E747" s="13"/>
      <c r="F747" s="11"/>
      <c r="G747" s="11"/>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row>
    <row r="748" spans="1:32" x14ac:dyDescent="0.15">
      <c r="A748" s="11"/>
      <c r="B748" s="32"/>
      <c r="C748" s="11"/>
      <c r="D748" s="13"/>
      <c r="E748" s="13"/>
      <c r="F748" s="11"/>
      <c r="G748" s="11"/>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row>
    <row r="749" spans="1:32" x14ac:dyDescent="0.15">
      <c r="A749" s="11"/>
      <c r="B749" s="32"/>
      <c r="C749" s="11"/>
      <c r="D749" s="13"/>
      <c r="E749" s="13"/>
      <c r="F749" s="11"/>
      <c r="G749" s="11"/>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row>
    <row r="750" spans="1:32" x14ac:dyDescent="0.15">
      <c r="A750" s="11"/>
      <c r="B750" s="32"/>
      <c r="C750" s="11"/>
      <c r="D750" s="13"/>
      <c r="E750" s="13"/>
      <c r="F750" s="11"/>
      <c r="G750" s="11"/>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row>
    <row r="751" spans="1:32" x14ac:dyDescent="0.15">
      <c r="A751" s="11"/>
      <c r="B751" s="32"/>
      <c r="C751" s="11"/>
      <c r="D751" s="13"/>
      <c r="E751" s="13"/>
      <c r="F751" s="11"/>
      <c r="G751" s="11"/>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row>
    <row r="752" spans="1:32" x14ac:dyDescent="0.15">
      <c r="A752" s="11"/>
      <c r="B752" s="32"/>
      <c r="C752" s="11"/>
      <c r="D752" s="13"/>
      <c r="E752" s="13"/>
      <c r="F752" s="11"/>
      <c r="G752" s="11"/>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row>
    <row r="753" spans="1:32" x14ac:dyDescent="0.15">
      <c r="A753" s="11"/>
      <c r="B753" s="32"/>
      <c r="C753" s="11"/>
      <c r="D753" s="13"/>
      <c r="E753" s="13"/>
      <c r="F753" s="11"/>
      <c r="G753" s="11"/>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row>
    <row r="754" spans="1:32" x14ac:dyDescent="0.15">
      <c r="A754" s="11"/>
      <c r="B754" s="32"/>
      <c r="C754" s="11"/>
      <c r="D754" s="13"/>
      <c r="E754" s="13"/>
      <c r="F754" s="11"/>
      <c r="G754" s="11"/>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row>
    <row r="755" spans="1:32" x14ac:dyDescent="0.15">
      <c r="A755" s="11"/>
      <c r="B755" s="32"/>
      <c r="C755" s="11"/>
      <c r="D755" s="13"/>
      <c r="E755" s="13"/>
      <c r="F755" s="11"/>
      <c r="G755" s="11"/>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row>
    <row r="756" spans="1:32" x14ac:dyDescent="0.15">
      <c r="A756" s="11"/>
      <c r="B756" s="32"/>
      <c r="C756" s="11"/>
      <c r="D756" s="13"/>
      <c r="E756" s="13"/>
      <c r="F756" s="11"/>
      <c r="G756" s="11"/>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row>
    <row r="757" spans="1:32" x14ac:dyDescent="0.15">
      <c r="A757" s="11"/>
      <c r="B757" s="32"/>
      <c r="C757" s="11"/>
      <c r="D757" s="13"/>
      <c r="E757" s="13"/>
      <c r="F757" s="11"/>
      <c r="G757" s="11"/>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row>
    <row r="758" spans="1:32" x14ac:dyDescent="0.15">
      <c r="A758" s="11"/>
      <c r="B758" s="32"/>
      <c r="C758" s="11"/>
      <c r="D758" s="13"/>
      <c r="E758" s="13"/>
      <c r="F758" s="11"/>
      <c r="G758" s="11"/>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row>
    <row r="759" spans="1:32" x14ac:dyDescent="0.15">
      <c r="A759" s="11"/>
      <c r="B759" s="32"/>
      <c r="C759" s="11"/>
      <c r="D759" s="13"/>
      <c r="E759" s="13"/>
      <c r="F759" s="11"/>
      <c r="G759" s="11"/>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row>
    <row r="760" spans="1:32" x14ac:dyDescent="0.15">
      <c r="A760" s="11"/>
      <c r="B760" s="32"/>
      <c r="C760" s="11"/>
      <c r="D760" s="13"/>
      <c r="E760" s="13"/>
      <c r="F760" s="11"/>
      <c r="G760" s="11"/>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row>
    <row r="761" spans="1:32" x14ac:dyDescent="0.15">
      <c r="A761" s="11"/>
      <c r="B761" s="32"/>
      <c r="C761" s="11"/>
      <c r="D761" s="13"/>
      <c r="E761" s="13"/>
      <c r="F761" s="11"/>
      <c r="G761" s="11"/>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row>
    <row r="762" spans="1:32" x14ac:dyDescent="0.15">
      <c r="A762" s="11"/>
      <c r="B762" s="32"/>
      <c r="C762" s="11"/>
      <c r="D762" s="13"/>
      <c r="E762" s="13"/>
      <c r="F762" s="11"/>
      <c r="G762" s="11"/>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row>
    <row r="763" spans="1:32" x14ac:dyDescent="0.15">
      <c r="A763" s="11"/>
      <c r="B763" s="32"/>
      <c r="C763" s="11"/>
      <c r="D763" s="13"/>
      <c r="E763" s="13"/>
      <c r="F763" s="11"/>
      <c r="G763" s="11"/>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row>
    <row r="764" spans="1:32" x14ac:dyDescent="0.15">
      <c r="A764" s="11"/>
      <c r="B764" s="32"/>
      <c r="C764" s="11"/>
      <c r="D764" s="13"/>
      <c r="E764" s="13"/>
      <c r="F764" s="11"/>
      <c r="G764" s="11"/>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row>
    <row r="765" spans="1:32" x14ac:dyDescent="0.15">
      <c r="A765" s="11"/>
      <c r="B765" s="32"/>
      <c r="C765" s="11"/>
      <c r="D765" s="13"/>
      <c r="E765" s="13"/>
      <c r="F765" s="11"/>
      <c r="G765" s="11"/>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row>
    <row r="766" spans="1:32" x14ac:dyDescent="0.15">
      <c r="A766" s="11"/>
      <c r="B766" s="32"/>
      <c r="C766" s="11"/>
      <c r="D766" s="13"/>
      <c r="E766" s="13"/>
      <c r="F766" s="11"/>
      <c r="G766" s="11"/>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row>
    <row r="767" spans="1:32" x14ac:dyDescent="0.15">
      <c r="A767" s="11"/>
      <c r="B767" s="32"/>
      <c r="C767" s="11"/>
      <c r="D767" s="13"/>
      <c r="E767" s="13"/>
      <c r="F767" s="11"/>
      <c r="G767" s="11"/>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row>
    <row r="768" spans="1:32" x14ac:dyDescent="0.15">
      <c r="A768" s="11"/>
      <c r="B768" s="32"/>
      <c r="C768" s="11"/>
      <c r="D768" s="13"/>
      <c r="E768" s="13"/>
      <c r="F768" s="11"/>
      <c r="G768" s="11"/>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row>
    <row r="769" spans="1:32" x14ac:dyDescent="0.15">
      <c r="A769" s="11"/>
      <c r="B769" s="32"/>
      <c r="C769" s="11"/>
      <c r="D769" s="13"/>
      <c r="E769" s="13"/>
      <c r="F769" s="11"/>
      <c r="G769" s="11"/>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row>
    <row r="770" spans="1:32" x14ac:dyDescent="0.15">
      <c r="A770" s="11"/>
      <c r="B770" s="32"/>
      <c r="C770" s="11"/>
      <c r="D770" s="13"/>
      <c r="E770" s="13"/>
      <c r="F770" s="11"/>
      <c r="G770" s="11"/>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row>
    <row r="771" spans="1:32" x14ac:dyDescent="0.15">
      <c r="A771" s="11"/>
      <c r="B771" s="32"/>
      <c r="C771" s="11"/>
      <c r="D771" s="13"/>
      <c r="E771" s="13"/>
      <c r="F771" s="11"/>
      <c r="G771" s="11"/>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row>
    <row r="772" spans="1:32" x14ac:dyDescent="0.15">
      <c r="A772" s="11"/>
      <c r="B772" s="32"/>
      <c r="C772" s="11"/>
      <c r="D772" s="13"/>
      <c r="E772" s="13"/>
      <c r="F772" s="11"/>
      <c r="G772" s="11"/>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row>
    <row r="773" spans="1:32" x14ac:dyDescent="0.15">
      <c r="A773" s="11"/>
      <c r="B773" s="32"/>
      <c r="C773" s="11"/>
      <c r="D773" s="13"/>
      <c r="E773" s="13"/>
      <c r="F773" s="11"/>
      <c r="G773" s="11"/>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row>
    <row r="774" spans="1:32" x14ac:dyDescent="0.15">
      <c r="A774" s="11"/>
      <c r="B774" s="32"/>
      <c r="C774" s="11"/>
      <c r="D774" s="13"/>
      <c r="E774" s="13"/>
      <c r="F774" s="11"/>
      <c r="G774" s="11"/>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row>
    <row r="775" spans="1:32" x14ac:dyDescent="0.15">
      <c r="A775" s="11"/>
      <c r="B775" s="32"/>
      <c r="C775" s="11"/>
      <c r="D775" s="13"/>
      <c r="E775" s="13"/>
      <c r="F775" s="11"/>
      <c r="G775" s="11"/>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row>
    <row r="776" spans="1:32" x14ac:dyDescent="0.15">
      <c r="A776" s="11"/>
      <c r="B776" s="32"/>
      <c r="C776" s="11"/>
      <c r="D776" s="13"/>
      <c r="E776" s="13"/>
      <c r="F776" s="11"/>
      <c r="G776" s="11"/>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row>
    <row r="777" spans="1:32" x14ac:dyDescent="0.15">
      <c r="A777" s="11"/>
      <c r="B777" s="32"/>
      <c r="C777" s="11"/>
      <c r="D777" s="13"/>
      <c r="E777" s="13"/>
      <c r="F777" s="11"/>
      <c r="G777" s="11"/>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row>
    <row r="778" spans="1:32" x14ac:dyDescent="0.15">
      <c r="A778" s="11"/>
      <c r="B778" s="32"/>
      <c r="C778" s="11"/>
      <c r="D778" s="13"/>
      <c r="E778" s="13"/>
      <c r="F778" s="11"/>
      <c r="G778" s="11"/>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row>
    <row r="779" spans="1:32" x14ac:dyDescent="0.15">
      <c r="A779" s="11"/>
      <c r="B779" s="32"/>
      <c r="C779" s="11"/>
      <c r="D779" s="13"/>
      <c r="E779" s="13"/>
      <c r="F779" s="11"/>
      <c r="G779" s="11"/>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row>
    <row r="780" spans="1:32" x14ac:dyDescent="0.15">
      <c r="A780" s="11"/>
      <c r="B780" s="32"/>
      <c r="C780" s="11"/>
      <c r="D780" s="13"/>
      <c r="E780" s="13"/>
      <c r="F780" s="11"/>
      <c r="G780" s="11"/>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row>
    <row r="781" spans="1:32" x14ac:dyDescent="0.15">
      <c r="A781" s="11"/>
      <c r="B781" s="32"/>
      <c r="C781" s="11"/>
      <c r="D781" s="13"/>
      <c r="E781" s="13"/>
      <c r="F781" s="11"/>
      <c r="G781" s="11"/>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row>
    <row r="782" spans="1:32" x14ac:dyDescent="0.15">
      <c r="A782" s="11"/>
      <c r="B782" s="32"/>
      <c r="C782" s="11"/>
      <c r="D782" s="13"/>
      <c r="E782" s="13"/>
      <c r="F782" s="11"/>
      <c r="G782" s="11"/>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row>
    <row r="783" spans="1:32" x14ac:dyDescent="0.15">
      <c r="A783" s="11"/>
      <c r="B783" s="32"/>
      <c r="C783" s="11"/>
      <c r="D783" s="13"/>
      <c r="E783" s="13"/>
      <c r="F783" s="11"/>
      <c r="G783" s="11"/>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row>
    <row r="784" spans="1:32" x14ac:dyDescent="0.15">
      <c r="A784" s="11"/>
      <c r="B784" s="32"/>
      <c r="C784" s="11"/>
      <c r="D784" s="13"/>
      <c r="E784" s="13"/>
      <c r="F784" s="11"/>
      <c r="G784" s="11"/>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row>
    <row r="785" spans="1:32" x14ac:dyDescent="0.15">
      <c r="A785" s="11"/>
      <c r="B785" s="32"/>
      <c r="C785" s="11"/>
      <c r="D785" s="13"/>
      <c r="E785" s="13"/>
      <c r="F785" s="11"/>
      <c r="G785" s="11"/>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row>
    <row r="786" spans="1:32" x14ac:dyDescent="0.15">
      <c r="A786" s="11"/>
      <c r="B786" s="32"/>
      <c r="C786" s="11"/>
      <c r="D786" s="13"/>
      <c r="E786" s="13"/>
      <c r="F786" s="11"/>
      <c r="G786" s="11"/>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row>
    <row r="787" spans="1:32" x14ac:dyDescent="0.15">
      <c r="A787" s="11"/>
      <c r="B787" s="32"/>
      <c r="C787" s="11"/>
      <c r="D787" s="13"/>
      <c r="E787" s="13"/>
      <c r="F787" s="11"/>
      <c r="G787" s="11"/>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row>
    <row r="788" spans="1:32" x14ac:dyDescent="0.15">
      <c r="A788" s="11"/>
      <c r="B788" s="32"/>
      <c r="C788" s="11"/>
      <c r="D788" s="13"/>
      <c r="E788" s="13"/>
      <c r="F788" s="11"/>
      <c r="G788" s="11"/>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row>
    <row r="789" spans="1:32" x14ac:dyDescent="0.15">
      <c r="A789" s="11"/>
      <c r="B789" s="32"/>
      <c r="C789" s="11"/>
      <c r="D789" s="13"/>
      <c r="E789" s="13"/>
      <c r="F789" s="11"/>
      <c r="G789" s="11"/>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row>
    <row r="790" spans="1:32" x14ac:dyDescent="0.15">
      <c r="A790" s="11"/>
      <c r="B790" s="32"/>
      <c r="C790" s="11"/>
      <c r="D790" s="13"/>
      <c r="E790" s="13"/>
      <c r="F790" s="11"/>
      <c r="G790" s="11"/>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row>
    <row r="791" spans="1:32" x14ac:dyDescent="0.15">
      <c r="A791" s="11"/>
      <c r="B791" s="32"/>
      <c r="C791" s="11"/>
      <c r="D791" s="13"/>
      <c r="E791" s="13"/>
      <c r="F791" s="11"/>
      <c r="G791" s="11"/>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row>
    <row r="792" spans="1:32" x14ac:dyDescent="0.15">
      <c r="A792" s="11"/>
      <c r="B792" s="32"/>
      <c r="C792" s="11"/>
      <c r="D792" s="13"/>
      <c r="E792" s="13"/>
      <c r="F792" s="11"/>
      <c r="G792" s="11"/>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row>
    <row r="793" spans="1:32" x14ac:dyDescent="0.15">
      <c r="A793" s="11"/>
      <c r="B793" s="32"/>
      <c r="C793" s="11"/>
      <c r="D793" s="13"/>
      <c r="E793" s="13"/>
      <c r="F793" s="11"/>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row>
    <row r="794" spans="1:32" x14ac:dyDescent="0.15">
      <c r="A794" s="11"/>
      <c r="B794" s="32"/>
      <c r="C794" s="11"/>
      <c r="D794" s="13"/>
      <c r="E794" s="13"/>
      <c r="F794" s="11"/>
      <c r="G794" s="11"/>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row>
    <row r="795" spans="1:32" x14ac:dyDescent="0.15">
      <c r="A795" s="11"/>
      <c r="B795" s="32"/>
      <c r="C795" s="11"/>
      <c r="D795" s="13"/>
      <c r="E795" s="13"/>
      <c r="F795" s="11"/>
      <c r="G795" s="11"/>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row>
    <row r="796" spans="1:32" x14ac:dyDescent="0.15">
      <c r="A796" s="11"/>
      <c r="B796" s="32"/>
      <c r="C796" s="11"/>
      <c r="D796" s="13"/>
      <c r="E796" s="13"/>
      <c r="F796" s="11"/>
      <c r="G796" s="11"/>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row>
    <row r="797" spans="1:32" x14ac:dyDescent="0.15">
      <c r="A797" s="11"/>
      <c r="B797" s="32"/>
      <c r="C797" s="11"/>
      <c r="D797" s="13"/>
      <c r="E797" s="13"/>
      <c r="F797" s="11"/>
      <c r="G797" s="11"/>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row>
    <row r="798" spans="1:32" x14ac:dyDescent="0.15">
      <c r="A798" s="11"/>
      <c r="B798" s="32"/>
      <c r="C798" s="11"/>
      <c r="D798" s="13"/>
      <c r="E798" s="13"/>
      <c r="F798" s="11"/>
      <c r="G798" s="11"/>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row>
    <row r="799" spans="1:32" x14ac:dyDescent="0.15">
      <c r="A799" s="11"/>
      <c r="B799" s="32"/>
      <c r="C799" s="11"/>
      <c r="D799" s="13"/>
      <c r="E799" s="13"/>
      <c r="F799" s="11"/>
      <c r="G799" s="11"/>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row>
    <row r="800" spans="1:32" x14ac:dyDescent="0.15">
      <c r="A800" s="11"/>
      <c r="B800" s="32"/>
      <c r="C800" s="11"/>
      <c r="D800" s="13"/>
      <c r="E800" s="13"/>
      <c r="F800" s="11"/>
      <c r="G800" s="11"/>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row>
    <row r="801" spans="1:32" x14ac:dyDescent="0.15">
      <c r="A801" s="11"/>
      <c r="B801" s="32"/>
      <c r="C801" s="11"/>
      <c r="D801" s="13"/>
      <c r="E801" s="13"/>
      <c r="F801" s="11"/>
      <c r="G801" s="11"/>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row>
    <row r="802" spans="1:32" x14ac:dyDescent="0.15">
      <c r="A802" s="11"/>
      <c r="B802" s="32"/>
      <c r="C802" s="11"/>
      <c r="D802" s="13"/>
      <c r="E802" s="13"/>
      <c r="F802" s="11"/>
      <c r="G802" s="11"/>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row>
    <row r="803" spans="1:32" x14ac:dyDescent="0.15">
      <c r="A803" s="11"/>
      <c r="B803" s="32"/>
      <c r="C803" s="11"/>
      <c r="D803" s="13"/>
      <c r="E803" s="13"/>
      <c r="F803" s="11"/>
      <c r="G803" s="11"/>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row>
    <row r="804" spans="1:32" x14ac:dyDescent="0.15">
      <c r="A804" s="11"/>
      <c r="B804" s="32"/>
      <c r="C804" s="11"/>
      <c r="D804" s="13"/>
      <c r="E804" s="13"/>
      <c r="F804" s="11"/>
      <c r="G804" s="11"/>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row>
    <row r="805" spans="1:32" x14ac:dyDescent="0.15">
      <c r="A805" s="11"/>
      <c r="B805" s="32"/>
      <c r="C805" s="11"/>
      <c r="D805" s="13"/>
      <c r="E805" s="13"/>
      <c r="F805" s="11"/>
      <c r="G805" s="11"/>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row>
    <row r="806" spans="1:32" x14ac:dyDescent="0.15">
      <c r="A806" s="11"/>
      <c r="B806" s="32"/>
      <c r="C806" s="11"/>
      <c r="D806" s="13"/>
      <c r="E806" s="13"/>
      <c r="F806" s="11"/>
      <c r="G806" s="11"/>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row>
    <row r="807" spans="1:32" x14ac:dyDescent="0.15">
      <c r="A807" s="11"/>
      <c r="B807" s="32"/>
      <c r="C807" s="11"/>
      <c r="D807" s="13"/>
      <c r="E807" s="13"/>
      <c r="F807" s="11"/>
      <c r="G807" s="11"/>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row>
    <row r="808" spans="1:32" x14ac:dyDescent="0.15">
      <c r="A808" s="11"/>
      <c r="B808" s="32"/>
      <c r="C808" s="11"/>
      <c r="D808" s="13"/>
      <c r="E808" s="13"/>
      <c r="F808" s="11"/>
      <c r="G808" s="11"/>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row>
    <row r="809" spans="1:32" x14ac:dyDescent="0.15">
      <c r="A809" s="11"/>
      <c r="B809" s="32"/>
      <c r="C809" s="11"/>
      <c r="D809" s="13"/>
      <c r="E809" s="13"/>
      <c r="F809" s="11"/>
      <c r="G809" s="11"/>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row>
    <row r="810" spans="1:32" x14ac:dyDescent="0.15">
      <c r="A810" s="11"/>
      <c r="B810" s="32"/>
      <c r="C810" s="11"/>
      <c r="D810" s="13"/>
      <c r="E810" s="13"/>
      <c r="F810" s="11"/>
      <c r="G810" s="11"/>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row>
    <row r="811" spans="1:32" x14ac:dyDescent="0.15">
      <c r="A811" s="11"/>
      <c r="B811" s="32"/>
      <c r="C811" s="11"/>
      <c r="D811" s="13"/>
      <c r="E811" s="13"/>
      <c r="F811" s="11"/>
      <c r="G811" s="11"/>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row>
    <row r="812" spans="1:32" x14ac:dyDescent="0.15">
      <c r="A812" s="11"/>
      <c r="B812" s="32"/>
      <c r="C812" s="11"/>
      <c r="D812" s="13"/>
      <c r="E812" s="13"/>
      <c r="F812" s="11"/>
      <c r="G812" s="11"/>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row>
    <row r="813" spans="1:32" x14ac:dyDescent="0.15">
      <c r="A813" s="11"/>
      <c r="B813" s="32"/>
      <c r="C813" s="11"/>
      <c r="D813" s="13"/>
      <c r="E813" s="13"/>
      <c r="F813" s="11"/>
      <c r="G813" s="11"/>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row>
    <row r="814" spans="1:32" x14ac:dyDescent="0.15">
      <c r="A814" s="11"/>
      <c r="B814" s="32"/>
      <c r="C814" s="11"/>
      <c r="D814" s="13"/>
      <c r="E814" s="13"/>
      <c r="F814" s="11"/>
      <c r="G814" s="11"/>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row>
    <row r="815" spans="1:32" x14ac:dyDescent="0.15">
      <c r="A815" s="11"/>
      <c r="B815" s="32"/>
      <c r="C815" s="11"/>
      <c r="D815" s="13"/>
      <c r="E815" s="13"/>
      <c r="F815" s="11"/>
      <c r="G815" s="11"/>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row>
    <row r="816" spans="1:32" x14ac:dyDescent="0.15">
      <c r="A816" s="11"/>
      <c r="B816" s="32"/>
      <c r="C816" s="11"/>
      <c r="D816" s="13"/>
      <c r="E816" s="13"/>
      <c r="F816" s="11"/>
      <c r="G816" s="11"/>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row>
    <row r="817" spans="1:32" x14ac:dyDescent="0.15">
      <c r="A817" s="11"/>
      <c r="B817" s="32"/>
      <c r="C817" s="11"/>
      <c r="D817" s="13"/>
      <c r="E817" s="13"/>
      <c r="F817" s="11"/>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row>
    <row r="818" spans="1:32" x14ac:dyDescent="0.15">
      <c r="A818" s="11"/>
      <c r="B818" s="32"/>
      <c r="C818" s="11"/>
      <c r="D818" s="13"/>
      <c r="E818" s="13"/>
      <c r="F818" s="11"/>
      <c r="G818" s="11"/>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row>
    <row r="819" spans="1:32" x14ac:dyDescent="0.15">
      <c r="A819" s="11"/>
      <c r="B819" s="32"/>
      <c r="C819" s="11"/>
      <c r="D819" s="13"/>
      <c r="E819" s="13"/>
      <c r="F819" s="11"/>
      <c r="G819" s="11"/>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row>
    <row r="820" spans="1:32" x14ac:dyDescent="0.15">
      <c r="A820" s="11"/>
      <c r="B820" s="32"/>
      <c r="C820" s="11"/>
      <c r="D820" s="13"/>
      <c r="E820" s="13"/>
      <c r="F820" s="11"/>
      <c r="G820" s="11"/>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row>
    <row r="821" spans="1:32" x14ac:dyDescent="0.15">
      <c r="A821" s="11"/>
      <c r="B821" s="32"/>
      <c r="C821" s="11"/>
      <c r="D821" s="13"/>
      <c r="E821" s="13"/>
      <c r="F821" s="11"/>
      <c r="G821" s="11"/>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row>
    <row r="822" spans="1:32" x14ac:dyDescent="0.15">
      <c r="A822" s="11"/>
      <c r="B822" s="32"/>
      <c r="C822" s="11"/>
      <c r="D822" s="13"/>
      <c r="E822" s="13"/>
      <c r="F822" s="11"/>
      <c r="G822" s="11"/>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row>
    <row r="823" spans="1:32" x14ac:dyDescent="0.15">
      <c r="A823" s="11"/>
      <c r="B823" s="32"/>
      <c r="C823" s="11"/>
      <c r="D823" s="13"/>
      <c r="E823" s="13"/>
      <c r="F823" s="11"/>
      <c r="G823" s="11"/>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row>
    <row r="824" spans="1:32" x14ac:dyDescent="0.15">
      <c r="A824" s="11"/>
      <c r="B824" s="32"/>
      <c r="C824" s="11"/>
      <c r="D824" s="13"/>
      <c r="E824" s="13"/>
      <c r="F824" s="11"/>
      <c r="G824" s="11"/>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row>
    <row r="825" spans="1:32" x14ac:dyDescent="0.15">
      <c r="A825" s="11"/>
      <c r="B825" s="32"/>
      <c r="C825" s="11"/>
      <c r="D825" s="13"/>
      <c r="E825" s="13"/>
      <c r="F825" s="11"/>
      <c r="G825" s="11"/>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row>
    <row r="826" spans="1:32" x14ac:dyDescent="0.15">
      <c r="A826" s="11"/>
      <c r="B826" s="32"/>
      <c r="C826" s="11"/>
      <c r="D826" s="13"/>
      <c r="E826" s="13"/>
      <c r="F826" s="11"/>
      <c r="G826" s="11"/>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row>
    <row r="827" spans="1:32" x14ac:dyDescent="0.15">
      <c r="A827" s="11"/>
      <c r="B827" s="32"/>
      <c r="C827" s="11"/>
      <c r="D827" s="13"/>
      <c r="E827" s="13"/>
      <c r="F827" s="11"/>
      <c r="G827" s="11"/>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row>
    <row r="828" spans="1:32" x14ac:dyDescent="0.15">
      <c r="A828" s="11"/>
      <c r="B828" s="32"/>
      <c r="C828" s="11"/>
      <c r="D828" s="13"/>
      <c r="E828" s="13"/>
      <c r="F828" s="11"/>
      <c r="G828" s="11"/>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row>
    <row r="829" spans="1:32" x14ac:dyDescent="0.15">
      <c r="A829" s="11"/>
      <c r="B829" s="32"/>
      <c r="C829" s="11"/>
      <c r="D829" s="13"/>
      <c r="E829" s="13"/>
      <c r="F829" s="11"/>
      <c r="G829" s="11"/>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row>
    <row r="830" spans="1:32" x14ac:dyDescent="0.15">
      <c r="A830" s="11"/>
      <c r="B830" s="32"/>
      <c r="C830" s="11"/>
      <c r="D830" s="13"/>
      <c r="E830" s="13"/>
      <c r="F830" s="11"/>
      <c r="G830" s="11"/>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row>
    <row r="831" spans="1:32" x14ac:dyDescent="0.15">
      <c r="A831" s="11"/>
      <c r="B831" s="32"/>
      <c r="C831" s="11"/>
      <c r="D831" s="13"/>
      <c r="E831" s="13"/>
      <c r="F831" s="11"/>
      <c r="G831" s="11"/>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row>
    <row r="832" spans="1:32" x14ac:dyDescent="0.15">
      <c r="A832" s="11"/>
      <c r="B832" s="32"/>
      <c r="C832" s="11"/>
      <c r="D832" s="13"/>
      <c r="E832" s="13"/>
      <c r="F832" s="11"/>
      <c r="G832" s="11"/>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row>
    <row r="833" spans="1:32" x14ac:dyDescent="0.15">
      <c r="A833" s="11"/>
      <c r="B833" s="32"/>
      <c r="C833" s="11"/>
      <c r="D833" s="13"/>
      <c r="E833" s="13"/>
      <c r="F833" s="11"/>
      <c r="G833" s="11"/>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row>
    <row r="834" spans="1:32" x14ac:dyDescent="0.15">
      <c r="A834" s="11"/>
      <c r="B834" s="32"/>
      <c r="C834" s="11"/>
      <c r="D834" s="13"/>
      <c r="E834" s="13"/>
      <c r="F834" s="11"/>
      <c r="G834" s="11"/>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row>
    <row r="835" spans="1:32" x14ac:dyDescent="0.15">
      <c r="A835" s="11"/>
      <c r="B835" s="32"/>
      <c r="C835" s="11"/>
      <c r="D835" s="13"/>
      <c r="E835" s="13"/>
      <c r="F835" s="11"/>
      <c r="G835" s="11"/>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row>
    <row r="836" spans="1:32" x14ac:dyDescent="0.15">
      <c r="A836" s="11"/>
      <c r="B836" s="32"/>
      <c r="C836" s="11"/>
      <c r="D836" s="13"/>
      <c r="E836" s="13"/>
      <c r="F836" s="11"/>
      <c r="G836" s="11"/>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row>
    <row r="837" spans="1:32" x14ac:dyDescent="0.15">
      <c r="A837" s="11"/>
      <c r="B837" s="32"/>
      <c r="C837" s="11"/>
      <c r="D837" s="13"/>
      <c r="E837" s="13"/>
      <c r="F837" s="11"/>
      <c r="G837" s="11"/>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row>
    <row r="838" spans="1:32" x14ac:dyDescent="0.15">
      <c r="A838" s="11"/>
      <c r="B838" s="32"/>
      <c r="C838" s="11"/>
      <c r="D838" s="13"/>
      <c r="E838" s="13"/>
      <c r="F838" s="11"/>
      <c r="G838" s="11"/>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row>
    <row r="839" spans="1:32" x14ac:dyDescent="0.15">
      <c r="A839" s="11"/>
      <c r="B839" s="32"/>
      <c r="C839" s="11"/>
      <c r="D839" s="13"/>
      <c r="E839" s="13"/>
      <c r="F839" s="11"/>
      <c r="G839" s="11"/>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row>
    <row r="840" spans="1:32" x14ac:dyDescent="0.15">
      <c r="A840" s="11"/>
      <c r="B840" s="32"/>
      <c r="C840" s="11"/>
      <c r="D840" s="13"/>
      <c r="E840" s="13"/>
      <c r="F840" s="11"/>
      <c r="G840" s="11"/>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row>
    <row r="841" spans="1:32" x14ac:dyDescent="0.15">
      <c r="A841" s="11"/>
      <c r="B841" s="32"/>
      <c r="C841" s="11"/>
      <c r="D841" s="13"/>
      <c r="E841" s="13"/>
      <c r="F841" s="11"/>
      <c r="G841" s="11"/>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row>
    <row r="842" spans="1:32" x14ac:dyDescent="0.15">
      <c r="A842" s="11"/>
      <c r="B842" s="32"/>
      <c r="C842" s="11"/>
      <c r="D842" s="13"/>
      <c r="E842" s="13"/>
      <c r="F842" s="11"/>
      <c r="G842" s="11"/>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row>
    <row r="843" spans="1:32" x14ac:dyDescent="0.15">
      <c r="A843" s="11"/>
      <c r="B843" s="32"/>
      <c r="C843" s="11"/>
      <c r="D843" s="13"/>
      <c r="E843" s="13"/>
      <c r="F843" s="11"/>
      <c r="G843" s="11"/>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row>
    <row r="844" spans="1:32" x14ac:dyDescent="0.15">
      <c r="A844" s="11"/>
      <c r="B844" s="32"/>
      <c r="C844" s="11"/>
      <c r="D844" s="13"/>
      <c r="E844" s="13"/>
      <c r="F844" s="11"/>
      <c r="G844" s="11"/>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row>
    <row r="845" spans="1:32" x14ac:dyDescent="0.15">
      <c r="A845" s="11"/>
      <c r="B845" s="32"/>
      <c r="C845" s="11"/>
      <c r="D845" s="13"/>
      <c r="E845" s="13"/>
      <c r="F845" s="11"/>
      <c r="G845" s="11"/>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row>
    <row r="846" spans="1:32" x14ac:dyDescent="0.15">
      <c r="A846" s="11"/>
      <c r="B846" s="32"/>
      <c r="C846" s="11"/>
      <c r="D846" s="13"/>
      <c r="E846" s="13"/>
      <c r="F846" s="11"/>
      <c r="G846" s="11"/>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row>
    <row r="847" spans="1:32" x14ac:dyDescent="0.15">
      <c r="A847" s="11"/>
      <c r="B847" s="32"/>
      <c r="C847" s="11"/>
      <c r="D847" s="13"/>
      <c r="E847" s="13"/>
      <c r="F847" s="11"/>
      <c r="G847" s="11"/>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row>
    <row r="848" spans="1:32" x14ac:dyDescent="0.15">
      <c r="A848" s="11"/>
      <c r="B848" s="32"/>
      <c r="C848" s="11"/>
      <c r="D848" s="13"/>
      <c r="E848" s="13"/>
      <c r="F848" s="11"/>
      <c r="G848" s="11"/>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row>
    <row r="849" spans="1:32" x14ac:dyDescent="0.15">
      <c r="A849" s="11"/>
      <c r="B849" s="32"/>
      <c r="C849" s="11"/>
      <c r="D849" s="13"/>
      <c r="E849" s="13"/>
      <c r="F849" s="11"/>
      <c r="G849" s="11"/>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row>
    <row r="850" spans="1:32" x14ac:dyDescent="0.15">
      <c r="A850" s="11"/>
      <c r="B850" s="32"/>
      <c r="C850" s="11"/>
      <c r="D850" s="13"/>
      <c r="E850" s="13"/>
      <c r="F850" s="11"/>
      <c r="G850" s="11"/>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row>
    <row r="851" spans="1:32" x14ac:dyDescent="0.15">
      <c r="A851" s="11"/>
      <c r="B851" s="32"/>
      <c r="C851" s="11"/>
      <c r="D851" s="13"/>
      <c r="E851" s="13"/>
      <c r="F851" s="11"/>
      <c r="G851" s="11"/>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row>
    <row r="852" spans="1:32" x14ac:dyDescent="0.15">
      <c r="A852" s="11"/>
      <c r="B852" s="32"/>
      <c r="C852" s="11"/>
      <c r="D852" s="13"/>
      <c r="E852" s="13"/>
      <c r="F852" s="11"/>
      <c r="G852" s="11"/>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row>
    <row r="853" spans="1:32" x14ac:dyDescent="0.15">
      <c r="A853" s="11"/>
      <c r="B853" s="32"/>
      <c r="C853" s="11"/>
      <c r="D853" s="13"/>
      <c r="E853" s="13"/>
      <c r="F853" s="11"/>
      <c r="G853" s="11"/>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row>
    <row r="854" spans="1:32" x14ac:dyDescent="0.15">
      <c r="A854" s="11"/>
      <c r="B854" s="32"/>
      <c r="C854" s="11"/>
      <c r="D854" s="13"/>
      <c r="E854" s="13"/>
      <c r="F854" s="11"/>
      <c r="G854" s="11"/>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row>
    <row r="855" spans="1:32" x14ac:dyDescent="0.15">
      <c r="A855" s="11"/>
      <c r="B855" s="32"/>
      <c r="C855" s="11"/>
      <c r="D855" s="13"/>
      <c r="E855" s="13"/>
      <c r="F855" s="11"/>
      <c r="G855" s="11"/>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row>
    <row r="856" spans="1:32" x14ac:dyDescent="0.15">
      <c r="A856" s="11"/>
      <c r="B856" s="32"/>
      <c r="C856" s="11"/>
      <c r="D856" s="13"/>
      <c r="E856" s="13"/>
      <c r="F856" s="11"/>
      <c r="G856" s="11"/>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row>
    <row r="857" spans="1:32" x14ac:dyDescent="0.15">
      <c r="A857" s="11"/>
      <c r="B857" s="32"/>
      <c r="C857" s="11"/>
      <c r="D857" s="13"/>
      <c r="E857" s="13"/>
      <c r="F857" s="11"/>
      <c r="G857" s="11"/>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row>
    <row r="858" spans="1:32" x14ac:dyDescent="0.15">
      <c r="A858" s="11"/>
      <c r="B858" s="32"/>
      <c r="C858" s="11"/>
      <c r="D858" s="13"/>
      <c r="E858" s="13"/>
      <c r="F858" s="11"/>
      <c r="G858" s="11"/>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row>
    <row r="859" spans="1:32" x14ac:dyDescent="0.15">
      <c r="A859" s="11"/>
      <c r="B859" s="32"/>
      <c r="C859" s="11"/>
      <c r="D859" s="13"/>
      <c r="E859" s="13"/>
      <c r="F859" s="11"/>
      <c r="G859" s="11"/>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row>
    <row r="860" spans="1:32" x14ac:dyDescent="0.15">
      <c r="A860" s="11"/>
      <c r="B860" s="32"/>
      <c r="C860" s="11"/>
      <c r="D860" s="13"/>
      <c r="E860" s="13"/>
      <c r="F860" s="11"/>
      <c r="G860" s="11"/>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row>
    <row r="861" spans="1:32" x14ac:dyDescent="0.15">
      <c r="A861" s="11"/>
      <c r="B861" s="32"/>
      <c r="C861" s="11"/>
      <c r="D861" s="13"/>
      <c r="E861" s="13"/>
      <c r="F861" s="11"/>
      <c r="G861" s="11"/>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row>
    <row r="862" spans="1:32" x14ac:dyDescent="0.15">
      <c r="A862" s="11"/>
      <c r="B862" s="32"/>
      <c r="C862" s="11"/>
      <c r="D862" s="13"/>
      <c r="E862" s="13"/>
      <c r="F862" s="11"/>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row>
    <row r="863" spans="1:32" x14ac:dyDescent="0.15">
      <c r="A863" s="11"/>
      <c r="B863" s="32"/>
      <c r="C863" s="11"/>
      <c r="D863" s="13"/>
      <c r="E863" s="13"/>
      <c r="F863" s="11"/>
      <c r="G863" s="11"/>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row>
    <row r="864" spans="1:32" x14ac:dyDescent="0.15">
      <c r="A864" s="11"/>
      <c r="B864" s="32"/>
      <c r="C864" s="11"/>
      <c r="D864" s="13"/>
      <c r="E864" s="13"/>
      <c r="F864" s="11"/>
      <c r="G864" s="11"/>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row>
    <row r="865" spans="1:32" x14ac:dyDescent="0.15">
      <c r="A865" s="11"/>
      <c r="B865" s="32"/>
      <c r="C865" s="11"/>
      <c r="D865" s="13"/>
      <c r="E865" s="13"/>
      <c r="F865" s="11"/>
      <c r="G865" s="11"/>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row>
    <row r="866" spans="1:32" x14ac:dyDescent="0.15">
      <c r="A866" s="11"/>
      <c r="B866" s="32"/>
      <c r="C866" s="11"/>
      <c r="D866" s="13"/>
      <c r="E866" s="13"/>
      <c r="F866" s="11"/>
      <c r="G866" s="11"/>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row>
    <row r="867" spans="1:32" x14ac:dyDescent="0.15">
      <c r="A867" s="11"/>
      <c r="B867" s="32"/>
      <c r="C867" s="11"/>
      <c r="D867" s="13"/>
      <c r="E867" s="13"/>
      <c r="F867" s="11"/>
      <c r="G867" s="11"/>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row>
    <row r="868" spans="1:32" x14ac:dyDescent="0.15">
      <c r="A868" s="11"/>
      <c r="B868" s="32"/>
      <c r="C868" s="11"/>
      <c r="D868" s="13"/>
      <c r="E868" s="13"/>
      <c r="F868" s="11"/>
      <c r="G868" s="11"/>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row>
    <row r="869" spans="1:32" x14ac:dyDescent="0.15">
      <c r="A869" s="11"/>
      <c r="B869" s="32"/>
      <c r="C869" s="11"/>
      <c r="D869" s="13"/>
      <c r="E869" s="13"/>
      <c r="F869" s="11"/>
      <c r="G869" s="11"/>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row>
    <row r="870" spans="1:32" x14ac:dyDescent="0.15">
      <c r="A870" s="11"/>
      <c r="B870" s="32"/>
      <c r="C870" s="11"/>
      <c r="D870" s="13"/>
      <c r="E870" s="13"/>
      <c r="F870" s="11"/>
      <c r="G870" s="11"/>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row>
    <row r="871" spans="1:32" x14ac:dyDescent="0.15">
      <c r="A871" s="11"/>
      <c r="B871" s="32"/>
      <c r="C871" s="11"/>
      <c r="D871" s="13"/>
      <c r="E871" s="13"/>
      <c r="F871" s="11"/>
      <c r="G871" s="11"/>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row>
    <row r="872" spans="1:32" x14ac:dyDescent="0.15">
      <c r="A872" s="11"/>
      <c r="B872" s="32"/>
      <c r="C872" s="11"/>
      <c r="D872" s="13"/>
      <c r="E872" s="13"/>
      <c r="F872" s="11"/>
      <c r="G872" s="11"/>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row>
    <row r="873" spans="1:32" x14ac:dyDescent="0.15">
      <c r="A873" s="11"/>
      <c r="B873" s="32"/>
      <c r="C873" s="11"/>
      <c r="D873" s="13"/>
      <c r="E873" s="13"/>
      <c r="F873" s="11"/>
      <c r="G873" s="11"/>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row>
    <row r="874" spans="1:32" x14ac:dyDescent="0.15">
      <c r="A874" s="11"/>
      <c r="B874" s="32"/>
      <c r="C874" s="11"/>
      <c r="D874" s="13"/>
      <c r="E874" s="13"/>
      <c r="F874" s="11"/>
      <c r="G874" s="11"/>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row>
    <row r="875" spans="1:32" x14ac:dyDescent="0.15">
      <c r="A875" s="11"/>
      <c r="B875" s="32"/>
      <c r="C875" s="11"/>
      <c r="D875" s="13"/>
      <c r="E875" s="13"/>
      <c r="F875" s="11"/>
      <c r="G875" s="11"/>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row>
    <row r="876" spans="1:32" x14ac:dyDescent="0.15">
      <c r="A876" s="11"/>
      <c r="B876" s="32"/>
      <c r="C876" s="11"/>
      <c r="D876" s="13"/>
      <c r="E876" s="13"/>
      <c r="F876" s="11"/>
      <c r="G876" s="11"/>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row>
    <row r="877" spans="1:32" x14ac:dyDescent="0.15">
      <c r="A877" s="11"/>
      <c r="B877" s="32"/>
      <c r="C877" s="11"/>
      <c r="D877" s="13"/>
      <c r="E877" s="13"/>
      <c r="F877" s="11"/>
      <c r="G877" s="11"/>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row>
    <row r="878" spans="1:32" x14ac:dyDescent="0.15">
      <c r="A878" s="11"/>
      <c r="B878" s="32"/>
      <c r="C878" s="11"/>
      <c r="D878" s="13"/>
      <c r="E878" s="13"/>
      <c r="F878" s="11"/>
      <c r="G878" s="11"/>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row>
    <row r="879" spans="1:32" x14ac:dyDescent="0.15">
      <c r="A879" s="11"/>
      <c r="B879" s="32"/>
      <c r="C879" s="11"/>
      <c r="D879" s="13"/>
      <c r="E879" s="13"/>
      <c r="F879" s="11"/>
      <c r="G879" s="11"/>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row>
    <row r="880" spans="1:32" x14ac:dyDescent="0.15">
      <c r="A880" s="11"/>
      <c r="B880" s="32"/>
      <c r="C880" s="11"/>
      <c r="D880" s="13"/>
      <c r="E880" s="13"/>
      <c r="F880" s="11"/>
      <c r="G880" s="11"/>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row>
    <row r="881" spans="1:32" x14ac:dyDescent="0.15">
      <c r="A881" s="11"/>
      <c r="B881" s="32"/>
      <c r="C881" s="11"/>
      <c r="D881" s="13"/>
      <c r="E881" s="13"/>
      <c r="F881" s="11"/>
      <c r="G881" s="11"/>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row>
    <row r="882" spans="1:32" x14ac:dyDescent="0.15">
      <c r="A882" s="11"/>
      <c r="B882" s="32"/>
      <c r="C882" s="11"/>
      <c r="D882" s="13"/>
      <c r="E882" s="13"/>
      <c r="F882" s="11"/>
      <c r="G882" s="11"/>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row>
    <row r="883" spans="1:32" x14ac:dyDescent="0.15">
      <c r="A883" s="11"/>
      <c r="B883" s="32"/>
      <c r="C883" s="11"/>
      <c r="D883" s="13"/>
      <c r="E883" s="13"/>
      <c r="F883" s="11"/>
      <c r="G883" s="11"/>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row>
    <row r="884" spans="1:32" x14ac:dyDescent="0.15">
      <c r="A884" s="11"/>
      <c r="B884" s="32"/>
      <c r="C884" s="11"/>
      <c r="D884" s="13"/>
      <c r="E884" s="13"/>
      <c r="F884" s="11"/>
      <c r="G884" s="11"/>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row>
    <row r="885" spans="1:32" x14ac:dyDescent="0.15">
      <c r="A885" s="11"/>
      <c r="B885" s="32"/>
      <c r="C885" s="11"/>
      <c r="D885" s="13"/>
      <c r="E885" s="13"/>
      <c r="F885" s="11"/>
      <c r="G885" s="11"/>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row>
    <row r="886" spans="1:32" x14ac:dyDescent="0.15">
      <c r="A886" s="11"/>
      <c r="B886" s="32"/>
      <c r="C886" s="11"/>
      <c r="D886" s="13"/>
      <c r="E886" s="13"/>
      <c r="F886" s="11"/>
      <c r="G886" s="11"/>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row>
    <row r="887" spans="1:32" x14ac:dyDescent="0.15">
      <c r="A887" s="11"/>
      <c r="B887" s="32"/>
      <c r="C887" s="11"/>
      <c r="D887" s="13"/>
      <c r="E887" s="13"/>
      <c r="F887" s="11"/>
      <c r="G887" s="11"/>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row>
    <row r="888" spans="1:32" x14ac:dyDescent="0.15">
      <c r="A888" s="11"/>
      <c r="B888" s="32"/>
      <c r="C888" s="11"/>
      <c r="D888" s="13"/>
      <c r="E888" s="13"/>
      <c r="F888" s="11"/>
      <c r="G888" s="11"/>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row>
    <row r="889" spans="1:32" x14ac:dyDescent="0.15">
      <c r="A889" s="11"/>
      <c r="B889" s="32"/>
      <c r="C889" s="11"/>
      <c r="D889" s="13"/>
      <c r="E889" s="13"/>
      <c r="F889" s="11"/>
      <c r="G889" s="11"/>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row>
    <row r="890" spans="1:32" x14ac:dyDescent="0.15">
      <c r="A890" s="11"/>
      <c r="B890" s="32"/>
      <c r="C890" s="11"/>
      <c r="D890" s="13"/>
      <c r="E890" s="13"/>
      <c r="F890" s="11"/>
      <c r="G890" s="11"/>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row>
    <row r="891" spans="1:32" x14ac:dyDescent="0.15">
      <c r="A891" s="11"/>
      <c r="B891" s="32"/>
      <c r="C891" s="11"/>
      <c r="D891" s="13"/>
      <c r="E891" s="13"/>
      <c r="F891" s="11"/>
      <c r="G891" s="11"/>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row>
    <row r="892" spans="1:32" x14ac:dyDescent="0.15">
      <c r="A892" s="11"/>
      <c r="B892" s="32"/>
      <c r="C892" s="11"/>
      <c r="D892" s="13"/>
      <c r="E892" s="13"/>
      <c r="F892" s="11"/>
      <c r="G892" s="11"/>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row>
    <row r="893" spans="1:32" x14ac:dyDescent="0.15">
      <c r="A893" s="11"/>
      <c r="B893" s="32"/>
      <c r="C893" s="11"/>
      <c r="D893" s="13"/>
      <c r="E893" s="13"/>
      <c r="F893" s="11"/>
      <c r="G893" s="11"/>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row>
    <row r="894" spans="1:32" x14ac:dyDescent="0.15">
      <c r="A894" s="11"/>
      <c r="B894" s="32"/>
      <c r="C894" s="11"/>
      <c r="D894" s="13"/>
      <c r="E894" s="13"/>
      <c r="F894" s="11"/>
      <c r="G894" s="11"/>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row>
    <row r="895" spans="1:32" x14ac:dyDescent="0.15">
      <c r="A895" s="11"/>
      <c r="B895" s="32"/>
      <c r="C895" s="11"/>
      <c r="D895" s="13"/>
      <c r="E895" s="13"/>
      <c r="F895" s="11"/>
      <c r="G895" s="11"/>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row>
    <row r="896" spans="1:32" x14ac:dyDescent="0.15">
      <c r="A896" s="11"/>
      <c r="B896" s="32"/>
      <c r="C896" s="11"/>
      <c r="D896" s="13"/>
      <c r="E896" s="13"/>
      <c r="F896" s="11"/>
      <c r="G896" s="11"/>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row>
    <row r="897" spans="1:32" x14ac:dyDescent="0.15">
      <c r="A897" s="11"/>
      <c r="B897" s="32"/>
      <c r="C897" s="11"/>
      <c r="D897" s="13"/>
      <c r="E897" s="13"/>
      <c r="F897" s="11"/>
      <c r="G897" s="11"/>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row>
    <row r="898" spans="1:32" x14ac:dyDescent="0.15">
      <c r="A898" s="11"/>
      <c r="B898" s="32"/>
      <c r="C898" s="11"/>
      <c r="D898" s="13"/>
      <c r="E898" s="13"/>
      <c r="F898" s="11"/>
      <c r="G898" s="11"/>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row>
    <row r="899" spans="1:32" x14ac:dyDescent="0.15">
      <c r="A899" s="11"/>
      <c r="B899" s="32"/>
      <c r="C899" s="11"/>
      <c r="D899" s="13"/>
      <c r="E899" s="13"/>
      <c r="F899" s="11"/>
      <c r="G899" s="11"/>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row>
    <row r="900" spans="1:32" x14ac:dyDescent="0.15">
      <c r="A900" s="11"/>
      <c r="B900" s="32"/>
      <c r="C900" s="11"/>
      <c r="D900" s="13"/>
      <c r="E900" s="13"/>
      <c r="F900" s="11"/>
      <c r="G900" s="11"/>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row>
    <row r="901" spans="1:32" x14ac:dyDescent="0.15">
      <c r="A901" s="11"/>
      <c r="B901" s="32"/>
      <c r="C901" s="11"/>
      <c r="D901" s="13"/>
      <c r="E901" s="13"/>
      <c r="F901" s="11"/>
      <c r="G901" s="11"/>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row>
    <row r="902" spans="1:32" x14ac:dyDescent="0.15">
      <c r="A902" s="11"/>
      <c r="B902" s="32"/>
      <c r="C902" s="11"/>
      <c r="D902" s="13"/>
      <c r="E902" s="13"/>
      <c r="F902" s="11"/>
      <c r="G902" s="11"/>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row>
    <row r="903" spans="1:32" x14ac:dyDescent="0.15">
      <c r="A903" s="11"/>
      <c r="B903" s="32"/>
      <c r="C903" s="11"/>
      <c r="D903" s="13"/>
      <c r="E903" s="13"/>
      <c r="F903" s="11"/>
      <c r="G903" s="11"/>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row>
    <row r="904" spans="1:32" x14ac:dyDescent="0.15">
      <c r="A904" s="11"/>
      <c r="B904" s="32"/>
      <c r="C904" s="11"/>
      <c r="D904" s="13"/>
      <c r="E904" s="13"/>
      <c r="F904" s="11"/>
      <c r="G904" s="11"/>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row>
    <row r="905" spans="1:32" x14ac:dyDescent="0.15">
      <c r="A905" s="11"/>
      <c r="B905" s="32"/>
      <c r="C905" s="11"/>
      <c r="D905" s="13"/>
      <c r="E905" s="13"/>
      <c r="F905" s="11"/>
      <c r="G905" s="11"/>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row>
    <row r="906" spans="1:32" x14ac:dyDescent="0.15">
      <c r="A906" s="11"/>
      <c r="B906" s="32"/>
      <c r="C906" s="11"/>
      <c r="D906" s="13"/>
      <c r="E906" s="13"/>
      <c r="F906" s="11"/>
      <c r="G906" s="11"/>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row>
    <row r="907" spans="1:32" x14ac:dyDescent="0.15">
      <c r="A907" s="11"/>
      <c r="B907" s="32"/>
      <c r="C907" s="11"/>
      <c r="D907" s="13"/>
      <c r="E907" s="13"/>
      <c r="F907" s="11"/>
      <c r="G907" s="11"/>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row>
    <row r="908" spans="1:32" x14ac:dyDescent="0.15">
      <c r="A908" s="11"/>
      <c r="B908" s="32"/>
      <c r="C908" s="11"/>
      <c r="D908" s="13"/>
      <c r="E908" s="13"/>
      <c r="F908" s="11"/>
      <c r="G908" s="11"/>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row>
    <row r="909" spans="1:32" x14ac:dyDescent="0.15">
      <c r="A909" s="11"/>
      <c r="B909" s="32"/>
      <c r="C909" s="11"/>
      <c r="D909" s="13"/>
      <c r="E909" s="13"/>
      <c r="F909" s="11"/>
      <c r="G909" s="11"/>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row>
    <row r="910" spans="1:32" x14ac:dyDescent="0.15">
      <c r="A910" s="11"/>
      <c r="B910" s="32"/>
      <c r="C910" s="11"/>
      <c r="D910" s="13"/>
      <c r="E910" s="13"/>
      <c r="F910" s="11"/>
      <c r="G910" s="11"/>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row>
    <row r="911" spans="1:32" x14ac:dyDescent="0.15">
      <c r="A911" s="11"/>
      <c r="B911" s="32"/>
      <c r="C911" s="11"/>
      <c r="D911" s="13"/>
      <c r="E911" s="13"/>
      <c r="F911" s="11"/>
      <c r="G911" s="11"/>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row>
    <row r="912" spans="1:32" x14ac:dyDescent="0.15">
      <c r="A912" s="11"/>
      <c r="B912" s="32"/>
      <c r="C912" s="11"/>
      <c r="D912" s="13"/>
      <c r="E912" s="13"/>
      <c r="F912" s="11"/>
      <c r="G912" s="11"/>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row>
    <row r="913" spans="1:32" x14ac:dyDescent="0.15">
      <c r="A913" s="11"/>
      <c r="B913" s="32"/>
      <c r="C913" s="11"/>
      <c r="D913" s="13"/>
      <c r="E913" s="13"/>
      <c r="F913" s="11"/>
      <c r="G913" s="11"/>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row>
    <row r="914" spans="1:32" x14ac:dyDescent="0.15">
      <c r="A914" s="11"/>
      <c r="B914" s="32"/>
      <c r="C914" s="11"/>
      <c r="D914" s="13"/>
      <c r="E914" s="13"/>
      <c r="F914" s="11"/>
      <c r="G914" s="11"/>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row>
    <row r="915" spans="1:32" x14ac:dyDescent="0.15">
      <c r="A915" s="11"/>
      <c r="B915" s="32"/>
      <c r="C915" s="11"/>
      <c r="D915" s="13"/>
      <c r="E915" s="13"/>
      <c r="F915" s="11"/>
      <c r="G915" s="11"/>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row>
    <row r="916" spans="1:32" x14ac:dyDescent="0.15">
      <c r="A916" s="11"/>
      <c r="B916" s="32"/>
      <c r="C916" s="11"/>
      <c r="D916" s="13"/>
      <c r="E916" s="13"/>
      <c r="F916" s="11"/>
      <c r="G916" s="11"/>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row>
    <row r="917" spans="1:32" x14ac:dyDescent="0.15">
      <c r="A917" s="11"/>
      <c r="B917" s="32"/>
      <c r="C917" s="11"/>
      <c r="D917" s="13"/>
      <c r="E917" s="13"/>
      <c r="F917" s="11"/>
      <c r="G917" s="11"/>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row>
    <row r="918" spans="1:32" x14ac:dyDescent="0.15">
      <c r="A918" s="11"/>
      <c r="B918" s="32"/>
      <c r="C918" s="11"/>
      <c r="D918" s="13"/>
      <c r="E918" s="13"/>
      <c r="F918" s="11"/>
      <c r="G918" s="11"/>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row>
    <row r="919" spans="1:32" x14ac:dyDescent="0.15">
      <c r="A919" s="11"/>
      <c r="B919" s="32"/>
      <c r="C919" s="11"/>
      <c r="D919" s="13"/>
      <c r="E919" s="13"/>
      <c r="F919" s="11"/>
      <c r="G919" s="11"/>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row>
    <row r="920" spans="1:32" x14ac:dyDescent="0.15">
      <c r="A920" s="11"/>
      <c r="B920" s="32"/>
      <c r="C920" s="11"/>
      <c r="D920" s="13"/>
      <c r="E920" s="13"/>
      <c r="F920" s="11"/>
      <c r="G920" s="11"/>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row>
    <row r="921" spans="1:32" x14ac:dyDescent="0.15">
      <c r="A921" s="11"/>
      <c r="B921" s="32"/>
      <c r="C921" s="11"/>
      <c r="D921" s="13"/>
      <c r="E921" s="13"/>
      <c r="F921" s="11"/>
      <c r="G921" s="11"/>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row>
    <row r="922" spans="1:32" x14ac:dyDescent="0.15">
      <c r="A922" s="11"/>
      <c r="B922" s="32"/>
      <c r="C922" s="11"/>
      <c r="D922" s="13"/>
      <c r="E922" s="13"/>
      <c r="F922" s="11"/>
      <c r="G922" s="11"/>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row>
    <row r="923" spans="1:32" x14ac:dyDescent="0.15">
      <c r="A923" s="11"/>
      <c r="B923" s="32"/>
      <c r="C923" s="11"/>
      <c r="D923" s="13"/>
      <c r="E923" s="13"/>
      <c r="F923" s="11"/>
      <c r="G923" s="11"/>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row>
    <row r="924" spans="1:32" x14ac:dyDescent="0.15">
      <c r="A924" s="11"/>
      <c r="B924" s="32"/>
      <c r="C924" s="11"/>
      <c r="D924" s="13"/>
      <c r="E924" s="13"/>
      <c r="F924" s="11"/>
      <c r="G924" s="11"/>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row>
    <row r="925" spans="1:32" x14ac:dyDescent="0.15">
      <c r="A925" s="11"/>
      <c r="B925" s="32"/>
      <c r="C925" s="11"/>
      <c r="D925" s="13"/>
      <c r="E925" s="13"/>
      <c r="F925" s="11"/>
      <c r="G925" s="11"/>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row>
    <row r="926" spans="1:32" x14ac:dyDescent="0.15">
      <c r="A926" s="11"/>
      <c r="B926" s="32"/>
      <c r="C926" s="11"/>
      <c r="D926" s="13"/>
      <c r="E926" s="13"/>
      <c r="F926" s="11"/>
      <c r="G926" s="11"/>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row>
    <row r="927" spans="1:32" x14ac:dyDescent="0.15">
      <c r="A927" s="11"/>
      <c r="B927" s="32"/>
      <c r="C927" s="11"/>
      <c r="D927" s="13"/>
      <c r="E927" s="13"/>
      <c r="F927" s="11"/>
      <c r="G927" s="11"/>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row>
    <row r="928" spans="1:32" x14ac:dyDescent="0.15">
      <c r="A928" s="11"/>
      <c r="B928" s="32"/>
      <c r="C928" s="11"/>
      <c r="D928" s="13"/>
      <c r="E928" s="13"/>
      <c r="F928" s="11"/>
      <c r="G928" s="11"/>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row>
    <row r="929" spans="1:32" x14ac:dyDescent="0.15">
      <c r="A929" s="11"/>
      <c r="B929" s="32"/>
      <c r="C929" s="11"/>
      <c r="D929" s="13"/>
      <c r="E929" s="13"/>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row>
    <row r="930" spans="1:32" x14ac:dyDescent="0.15">
      <c r="A930" s="11"/>
      <c r="B930" s="32"/>
      <c r="C930" s="11"/>
      <c r="D930" s="13"/>
      <c r="E930" s="13"/>
      <c r="F930" s="11"/>
      <c r="G930" s="11"/>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row>
    <row r="931" spans="1:32" x14ac:dyDescent="0.15">
      <c r="A931" s="11"/>
      <c r="B931" s="32"/>
      <c r="C931" s="11"/>
      <c r="D931" s="13"/>
      <c r="E931" s="13"/>
      <c r="F931" s="11"/>
      <c r="G931" s="11"/>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row>
    <row r="932" spans="1:32" x14ac:dyDescent="0.15">
      <c r="A932" s="11"/>
      <c r="B932" s="32"/>
      <c r="C932" s="11"/>
      <c r="D932" s="13"/>
      <c r="E932" s="13"/>
      <c r="F932" s="11"/>
      <c r="G932" s="11"/>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row>
    <row r="933" spans="1:32" x14ac:dyDescent="0.15">
      <c r="A933" s="11"/>
      <c r="B933" s="32"/>
      <c r="C933" s="11"/>
      <c r="D933" s="13"/>
      <c r="E933" s="13"/>
      <c r="F933" s="11"/>
      <c r="G933" s="11"/>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row>
    <row r="934" spans="1:32" x14ac:dyDescent="0.15">
      <c r="A934" s="11"/>
      <c r="B934" s="32"/>
      <c r="C934" s="11"/>
      <c r="D934" s="13"/>
      <c r="E934" s="13"/>
      <c r="F934" s="11"/>
      <c r="G934" s="11"/>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row>
    <row r="935" spans="1:32" x14ac:dyDescent="0.15">
      <c r="A935" s="11"/>
      <c r="B935" s="32"/>
      <c r="C935" s="11"/>
      <c r="D935" s="13"/>
      <c r="E935" s="13"/>
      <c r="F935" s="11"/>
      <c r="G935" s="11"/>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row>
    <row r="936" spans="1:32" x14ac:dyDescent="0.15">
      <c r="A936" s="11"/>
      <c r="B936" s="32"/>
      <c r="C936" s="11"/>
      <c r="D936" s="13"/>
      <c r="E936" s="13"/>
      <c r="F936" s="11"/>
      <c r="G936" s="11"/>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row>
    <row r="937" spans="1:32" x14ac:dyDescent="0.15">
      <c r="A937" s="11"/>
      <c r="B937" s="32"/>
      <c r="C937" s="11"/>
      <c r="D937" s="13"/>
      <c r="E937" s="13"/>
      <c r="F937" s="11"/>
      <c r="G937" s="11"/>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row>
    <row r="938" spans="1:32" x14ac:dyDescent="0.15">
      <c r="A938" s="11"/>
      <c r="B938" s="32"/>
      <c r="C938" s="11"/>
      <c r="D938" s="13"/>
      <c r="E938" s="13"/>
      <c r="F938" s="11"/>
      <c r="G938" s="11"/>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row>
    <row r="939" spans="1:32" x14ac:dyDescent="0.15">
      <c r="A939" s="11"/>
      <c r="B939" s="32"/>
      <c r="C939" s="11"/>
      <c r="D939" s="13"/>
      <c r="E939" s="13"/>
      <c r="F939" s="11"/>
      <c r="G939" s="11"/>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row>
    <row r="940" spans="1:32" x14ac:dyDescent="0.15">
      <c r="A940" s="11"/>
      <c r="B940" s="32"/>
      <c r="C940" s="11"/>
      <c r="D940" s="13"/>
      <c r="E940" s="13"/>
      <c r="F940" s="11"/>
      <c r="G940" s="11"/>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row>
    <row r="941" spans="1:32" x14ac:dyDescent="0.15">
      <c r="A941" s="11"/>
      <c r="B941" s="32"/>
      <c r="C941" s="11"/>
      <c r="D941" s="13"/>
      <c r="E941" s="13"/>
      <c r="F941" s="11"/>
      <c r="G941" s="11"/>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row>
    <row r="942" spans="1:32" x14ac:dyDescent="0.15">
      <c r="A942" s="11"/>
      <c r="B942" s="32"/>
      <c r="C942" s="11"/>
      <c r="D942" s="13"/>
      <c r="E942" s="13"/>
      <c r="F942" s="11"/>
      <c r="G942" s="11"/>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row>
    <row r="943" spans="1:32" x14ac:dyDescent="0.15">
      <c r="A943" s="11"/>
      <c r="B943" s="32"/>
      <c r="C943" s="11"/>
      <c r="D943" s="13"/>
      <c r="E943" s="13"/>
      <c r="F943" s="11"/>
      <c r="G943" s="11"/>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row>
    <row r="944" spans="1:32" x14ac:dyDescent="0.15">
      <c r="A944" s="11"/>
      <c r="B944" s="32"/>
      <c r="C944" s="11"/>
      <c r="D944" s="13"/>
      <c r="E944" s="13"/>
      <c r="F944" s="11"/>
      <c r="G944" s="11"/>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row>
    <row r="945" spans="1:32" x14ac:dyDescent="0.15">
      <c r="A945" s="11"/>
      <c r="B945" s="32"/>
      <c r="C945" s="11"/>
      <c r="D945" s="13"/>
      <c r="E945" s="13"/>
      <c r="F945" s="11"/>
      <c r="G945" s="11"/>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row>
    <row r="946" spans="1:32" x14ac:dyDescent="0.15">
      <c r="A946" s="11"/>
      <c r="B946" s="32"/>
      <c r="C946" s="11"/>
      <c r="D946" s="13"/>
      <c r="E946" s="13"/>
      <c r="F946" s="11"/>
      <c r="G946" s="11"/>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row>
    <row r="947" spans="1:32" x14ac:dyDescent="0.15">
      <c r="A947" s="11"/>
      <c r="B947" s="32"/>
      <c r="C947" s="11"/>
      <c r="D947" s="13"/>
      <c r="E947" s="13"/>
      <c r="F947" s="11"/>
      <c r="G947" s="11"/>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row>
    <row r="948" spans="1:32" x14ac:dyDescent="0.15">
      <c r="A948" s="11"/>
      <c r="B948" s="32"/>
      <c r="C948" s="11"/>
      <c r="D948" s="13"/>
      <c r="E948" s="13"/>
      <c r="F948" s="11"/>
      <c r="G948" s="11"/>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row>
    <row r="949" spans="1:32" x14ac:dyDescent="0.15">
      <c r="A949" s="11"/>
      <c r="B949" s="32"/>
      <c r="C949" s="11"/>
      <c r="D949" s="13"/>
      <c r="E949" s="13"/>
      <c r="F949" s="11"/>
      <c r="G949" s="11"/>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row>
    <row r="950" spans="1:32" x14ac:dyDescent="0.15">
      <c r="A950" s="11"/>
      <c r="B950" s="32"/>
      <c r="C950" s="11"/>
      <c r="D950" s="13"/>
      <c r="E950" s="13"/>
      <c r="F950" s="11"/>
      <c r="G950" s="11"/>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row>
    <row r="951" spans="1:32" x14ac:dyDescent="0.15">
      <c r="A951" s="11"/>
      <c r="B951" s="32"/>
      <c r="C951" s="11"/>
      <c r="D951" s="13"/>
      <c r="E951" s="13"/>
      <c r="F951" s="11"/>
      <c r="G951" s="11"/>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row>
    <row r="952" spans="1:32" x14ac:dyDescent="0.15">
      <c r="A952" s="11"/>
      <c r="B952" s="32"/>
      <c r="C952" s="11"/>
      <c r="D952" s="13"/>
      <c r="E952" s="13"/>
      <c r="F952" s="11"/>
      <c r="G952" s="11"/>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row>
    <row r="953" spans="1:32" x14ac:dyDescent="0.15">
      <c r="A953" s="11"/>
      <c r="B953" s="32"/>
      <c r="C953" s="11"/>
      <c r="D953" s="13"/>
      <c r="E953" s="13"/>
      <c r="F953" s="11"/>
      <c r="G953" s="11"/>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row>
    <row r="954" spans="1:32" x14ac:dyDescent="0.15">
      <c r="A954" s="11"/>
      <c r="B954" s="32"/>
      <c r="C954" s="11"/>
      <c r="D954" s="13"/>
      <c r="E954" s="13"/>
      <c r="F954" s="11"/>
      <c r="G954" s="11"/>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row>
    <row r="955" spans="1:32" x14ac:dyDescent="0.15">
      <c r="A955" s="11"/>
      <c r="B955" s="32"/>
      <c r="C955" s="11"/>
      <c r="D955" s="13"/>
      <c r="E955" s="13"/>
      <c r="F955" s="11"/>
      <c r="G955" s="11"/>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row>
    <row r="956" spans="1:32" x14ac:dyDescent="0.15">
      <c r="A956" s="11"/>
      <c r="B956" s="32"/>
      <c r="C956" s="11"/>
      <c r="D956" s="13"/>
      <c r="E956" s="13"/>
      <c r="F956" s="11"/>
      <c r="G956" s="11"/>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row>
    <row r="957" spans="1:32" x14ac:dyDescent="0.15">
      <c r="A957" s="11"/>
      <c r="B957" s="32"/>
      <c r="C957" s="11"/>
      <c r="D957" s="13"/>
      <c r="E957" s="13"/>
      <c r="F957" s="11"/>
      <c r="G957" s="11"/>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row>
    <row r="958" spans="1:32" x14ac:dyDescent="0.15">
      <c r="A958" s="11"/>
      <c r="B958" s="32"/>
      <c r="C958" s="11"/>
      <c r="D958" s="13"/>
      <c r="E958" s="13"/>
      <c r="F958" s="11"/>
      <c r="G958" s="11"/>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row>
    <row r="959" spans="1:32" x14ac:dyDescent="0.15">
      <c r="A959" s="11"/>
      <c r="B959" s="32"/>
      <c r="C959" s="11"/>
      <c r="D959" s="13"/>
      <c r="E959" s="13"/>
      <c r="F959" s="11"/>
      <c r="G959" s="11"/>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row>
    <row r="960" spans="1:32" x14ac:dyDescent="0.15">
      <c r="A960" s="11"/>
      <c r="B960" s="32"/>
      <c r="C960" s="11"/>
      <c r="D960" s="13"/>
      <c r="E960" s="13"/>
      <c r="F960" s="11"/>
      <c r="G960" s="11"/>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row>
    <row r="961" spans="1:32" x14ac:dyDescent="0.15">
      <c r="A961" s="11"/>
      <c r="B961" s="32"/>
      <c r="C961" s="11"/>
      <c r="D961" s="13"/>
      <c r="E961" s="13"/>
      <c r="F961" s="11"/>
      <c r="G961" s="11"/>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row>
    <row r="962" spans="1:32" x14ac:dyDescent="0.15">
      <c r="A962" s="11"/>
      <c r="B962" s="32"/>
      <c r="C962" s="11"/>
      <c r="D962" s="13"/>
      <c r="E962" s="13"/>
      <c r="F962" s="11"/>
      <c r="G962" s="11"/>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row>
    <row r="963" spans="1:32" x14ac:dyDescent="0.15">
      <c r="A963" s="11"/>
      <c r="B963" s="32"/>
      <c r="C963" s="11"/>
      <c r="D963" s="13"/>
      <c r="E963" s="13"/>
      <c r="F963" s="11"/>
      <c r="G963" s="11"/>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row>
    <row r="964" spans="1:32" x14ac:dyDescent="0.15">
      <c r="A964" s="11"/>
      <c r="B964" s="32"/>
      <c r="C964" s="11"/>
      <c r="D964" s="13"/>
      <c r="E964" s="13"/>
      <c r="F964" s="11"/>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row>
    <row r="965" spans="1:32" x14ac:dyDescent="0.15">
      <c r="A965" s="11"/>
      <c r="B965" s="32"/>
      <c r="C965" s="11"/>
      <c r="D965" s="13"/>
      <c r="E965" s="13"/>
      <c r="F965" s="11"/>
      <c r="G965" s="11"/>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row>
    <row r="966" spans="1:32" x14ac:dyDescent="0.15">
      <c r="A966" s="11"/>
      <c r="B966" s="32"/>
      <c r="C966" s="11"/>
      <c r="D966" s="13"/>
      <c r="E966" s="13"/>
      <c r="F966" s="11"/>
      <c r="G966" s="11"/>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row>
    <row r="967" spans="1:32" x14ac:dyDescent="0.15">
      <c r="A967" s="11"/>
      <c r="B967" s="32"/>
      <c r="C967" s="11"/>
      <c r="D967" s="13"/>
      <c r="E967" s="13"/>
      <c r="F967" s="11"/>
      <c r="G967" s="11"/>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row>
    <row r="968" spans="1:32" x14ac:dyDescent="0.15">
      <c r="A968" s="11"/>
      <c r="B968" s="32"/>
      <c r="C968" s="11"/>
      <c r="D968" s="13"/>
      <c r="E968" s="13"/>
      <c r="F968" s="11"/>
      <c r="G968" s="11"/>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row>
    <row r="969" spans="1:32" x14ac:dyDescent="0.15">
      <c r="A969" s="11"/>
      <c r="B969" s="32"/>
      <c r="C969" s="11"/>
      <c r="D969" s="13"/>
      <c r="E969" s="13"/>
      <c r="F969" s="11"/>
      <c r="G969" s="11"/>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row>
    <row r="970" spans="1:32" x14ac:dyDescent="0.15">
      <c r="A970" s="11"/>
      <c r="B970" s="32"/>
      <c r="C970" s="11"/>
      <c r="D970" s="13"/>
      <c r="E970" s="13"/>
      <c r="F970" s="11"/>
      <c r="G970" s="11"/>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row>
    <row r="971" spans="1:32" x14ac:dyDescent="0.15">
      <c r="A971" s="11"/>
      <c r="B971" s="32"/>
      <c r="C971" s="11"/>
      <c r="D971" s="13"/>
      <c r="E971" s="13"/>
      <c r="F971" s="11"/>
      <c r="G971" s="11"/>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row>
    <row r="972" spans="1:32" x14ac:dyDescent="0.15">
      <c r="A972" s="11"/>
      <c r="B972" s="32"/>
      <c r="C972" s="11"/>
      <c r="D972" s="13"/>
      <c r="E972" s="13"/>
      <c r="F972" s="11"/>
      <c r="G972" s="11"/>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row>
    <row r="973" spans="1:32" x14ac:dyDescent="0.15">
      <c r="A973" s="11"/>
      <c r="B973" s="32"/>
      <c r="C973" s="11"/>
      <c r="D973" s="13"/>
      <c r="E973" s="13"/>
      <c r="F973" s="11"/>
      <c r="G973" s="11"/>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row>
    <row r="974" spans="1:32" x14ac:dyDescent="0.15">
      <c r="A974" s="11"/>
      <c r="B974" s="32"/>
      <c r="C974" s="11"/>
      <c r="D974" s="13"/>
      <c r="E974" s="13"/>
      <c r="F974" s="11"/>
      <c r="G974" s="11"/>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row>
    <row r="975" spans="1:32" x14ac:dyDescent="0.15">
      <c r="A975" s="11"/>
      <c r="B975" s="32"/>
      <c r="C975" s="11"/>
      <c r="D975" s="13"/>
      <c r="E975" s="13"/>
      <c r="F975" s="11"/>
      <c r="G975" s="11"/>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row>
    <row r="976" spans="1:32" x14ac:dyDescent="0.15">
      <c r="A976" s="11"/>
      <c r="B976" s="32"/>
      <c r="C976" s="11"/>
      <c r="D976" s="13"/>
      <c r="E976" s="13"/>
      <c r="F976" s="11"/>
      <c r="G976" s="11"/>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row>
    <row r="977" spans="1:32" x14ac:dyDescent="0.15">
      <c r="A977" s="11"/>
      <c r="B977" s="32"/>
      <c r="C977" s="11"/>
      <c r="D977" s="13"/>
      <c r="E977" s="13"/>
      <c r="F977" s="11"/>
      <c r="G977" s="11"/>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row>
    <row r="978" spans="1:32" x14ac:dyDescent="0.15">
      <c r="A978" s="11"/>
      <c r="B978" s="32"/>
      <c r="C978" s="11"/>
      <c r="D978" s="13"/>
      <c r="E978" s="13"/>
      <c r="F978" s="11"/>
      <c r="G978" s="11"/>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row>
    <row r="979" spans="1:32" x14ac:dyDescent="0.15">
      <c r="A979" s="11"/>
      <c r="B979" s="32"/>
      <c r="C979" s="11"/>
      <c r="D979" s="13"/>
      <c r="E979" s="13"/>
      <c r="F979" s="11"/>
      <c r="G979" s="11"/>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row>
    <row r="980" spans="1:32" x14ac:dyDescent="0.15">
      <c r="A980" s="11"/>
      <c r="B980" s="32"/>
      <c r="C980" s="11"/>
      <c r="D980" s="13"/>
      <c r="E980" s="13"/>
      <c r="F980" s="11"/>
      <c r="G980" s="11"/>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row>
    <row r="981" spans="1:32" x14ac:dyDescent="0.15">
      <c r="A981" s="11"/>
      <c r="B981" s="32"/>
      <c r="C981" s="11"/>
      <c r="D981" s="13"/>
      <c r="E981" s="13"/>
      <c r="F981" s="11"/>
      <c r="G981" s="11"/>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row>
    <row r="982" spans="1:32" x14ac:dyDescent="0.15">
      <c r="A982" s="11"/>
      <c r="B982" s="32"/>
      <c r="C982" s="11"/>
      <c r="D982" s="13"/>
      <c r="E982" s="13"/>
      <c r="F982" s="11"/>
      <c r="G982" s="11"/>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row>
    <row r="983" spans="1:32" x14ac:dyDescent="0.15">
      <c r="A983" s="11"/>
      <c r="B983" s="32"/>
      <c r="C983" s="11"/>
      <c r="D983" s="13"/>
      <c r="E983" s="13"/>
      <c r="F983" s="11"/>
      <c r="G983" s="11"/>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row>
    <row r="984" spans="1:32" x14ac:dyDescent="0.15">
      <c r="A984" s="11"/>
      <c r="B984" s="32"/>
      <c r="C984" s="11"/>
      <c r="D984" s="13"/>
      <c r="E984" s="13"/>
      <c r="F984" s="11"/>
      <c r="G984" s="11"/>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row>
    <row r="985" spans="1:32" x14ac:dyDescent="0.15">
      <c r="A985" s="11"/>
      <c r="B985" s="32"/>
      <c r="C985" s="11"/>
      <c r="D985" s="13"/>
      <c r="E985" s="13"/>
      <c r="F985" s="11"/>
      <c r="G985" s="11"/>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row>
    <row r="986" spans="1:32" x14ac:dyDescent="0.15">
      <c r="A986" s="11"/>
      <c r="B986" s="32"/>
      <c r="C986" s="11"/>
      <c r="D986" s="13"/>
      <c r="E986" s="13"/>
      <c r="F986" s="11"/>
      <c r="G986" s="11"/>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row>
    <row r="987" spans="1:32" x14ac:dyDescent="0.15">
      <c r="A987" s="11"/>
      <c r="B987" s="32"/>
      <c r="C987" s="11"/>
      <c r="D987" s="13"/>
      <c r="E987" s="13"/>
      <c r="F987" s="11"/>
      <c r="G987" s="11"/>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row>
    <row r="988" spans="1:32" x14ac:dyDescent="0.15">
      <c r="A988" s="11"/>
      <c r="B988" s="32"/>
      <c r="C988" s="11"/>
      <c r="D988" s="13"/>
      <c r="E988" s="13"/>
      <c r="F988" s="11"/>
      <c r="G988" s="11"/>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row>
    <row r="989" spans="1:32" x14ac:dyDescent="0.15">
      <c r="A989" s="11"/>
      <c r="B989" s="32"/>
      <c r="C989" s="11"/>
      <c r="D989" s="13"/>
      <c r="E989" s="13"/>
      <c r="F989" s="11"/>
      <c r="G989" s="11"/>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row>
    <row r="990" spans="1:32" x14ac:dyDescent="0.15">
      <c r="A990" s="11"/>
      <c r="B990" s="32"/>
      <c r="C990" s="11"/>
      <c r="D990" s="13"/>
      <c r="E990" s="13"/>
      <c r="F990" s="11"/>
      <c r="G990" s="11"/>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row>
    <row r="991" spans="1:32" x14ac:dyDescent="0.15">
      <c r="A991" s="11"/>
      <c r="B991" s="32"/>
      <c r="C991" s="11"/>
      <c r="D991" s="13"/>
      <c r="E991" s="13"/>
      <c r="F991" s="11"/>
      <c r="G991" s="11"/>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row>
    <row r="992" spans="1:32" x14ac:dyDescent="0.15">
      <c r="A992" s="11"/>
      <c r="B992" s="32"/>
      <c r="C992" s="11"/>
      <c r="D992" s="13"/>
      <c r="E992" s="13"/>
      <c r="F992" s="11"/>
      <c r="G992" s="11"/>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row>
    <row r="993" spans="1:32" x14ac:dyDescent="0.15">
      <c r="A993" s="11"/>
      <c r="B993" s="32"/>
      <c r="C993" s="11"/>
      <c r="D993" s="13"/>
      <c r="E993" s="13"/>
      <c r="F993" s="11"/>
      <c r="G993" s="11"/>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row>
    <row r="994" spans="1:32" x14ac:dyDescent="0.15">
      <c r="A994" s="11"/>
      <c r="B994" s="32"/>
      <c r="C994" s="11"/>
      <c r="D994" s="13"/>
      <c r="E994" s="13"/>
      <c r="F994" s="11"/>
      <c r="G994" s="11"/>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row>
    <row r="995" spans="1:32" x14ac:dyDescent="0.15">
      <c r="A995" s="11"/>
      <c r="B995" s="32"/>
      <c r="C995" s="11"/>
      <c r="D995" s="13"/>
      <c r="E995" s="13"/>
      <c r="F995" s="11"/>
      <c r="G995" s="11"/>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row>
    <row r="996" spans="1:32" x14ac:dyDescent="0.15">
      <c r="A996" s="11"/>
      <c r="B996" s="32"/>
      <c r="C996" s="11"/>
      <c r="D996" s="13"/>
      <c r="E996" s="13"/>
      <c r="F996" s="11"/>
      <c r="G996" s="11"/>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row>
    <row r="997" spans="1:32" x14ac:dyDescent="0.15">
      <c r="A997" s="11"/>
      <c r="B997" s="32"/>
      <c r="C997" s="11"/>
      <c r="D997" s="13"/>
      <c r="E997" s="13"/>
      <c r="F997" s="11"/>
      <c r="G997" s="11"/>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row>
    <row r="998" spans="1:32" x14ac:dyDescent="0.15">
      <c r="A998" s="11"/>
      <c r="B998" s="32"/>
      <c r="C998" s="11"/>
      <c r="D998" s="13"/>
      <c r="E998" s="13"/>
      <c r="F998" s="11"/>
      <c r="G998" s="11"/>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row>
    <row r="999" spans="1:32" x14ac:dyDescent="0.15">
      <c r="A999" s="11"/>
      <c r="B999" s="32"/>
      <c r="C999" s="11"/>
      <c r="D999" s="13"/>
      <c r="E999" s="13"/>
      <c r="F999" s="11"/>
      <c r="G999" s="11"/>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row>
    <row r="1000" spans="1:32" x14ac:dyDescent="0.15">
      <c r="A1000" s="11"/>
      <c r="B1000" s="32"/>
      <c r="C1000" s="11"/>
      <c r="D1000" s="13"/>
      <c r="E1000" s="13"/>
      <c r="F1000" s="11"/>
      <c r="G1000" s="11"/>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row>
  </sheetData>
  <autoFilter ref="A2:Q75" xr:uid="{00000000-0001-0000-0100-000000000000}">
    <sortState xmlns:xlrd2="http://schemas.microsoft.com/office/spreadsheetml/2017/richdata2" ref="A3:Q75">
      <sortCondition descending="1" ref="Q2:Q75"/>
    </sortState>
  </autoFilter>
  <conditionalFormatting sqref="G3:L75">
    <cfRule type="expression" dxfId="51" priority="5">
      <formula>G3="No"</formula>
    </cfRule>
    <cfRule type="expression" dxfId="50" priority="6">
      <formula>G3="YES"</formula>
    </cfRule>
  </conditionalFormatting>
  <conditionalFormatting sqref="M3:M75">
    <cfRule type="expression" dxfId="49" priority="1">
      <formula>M3="Closed"</formula>
    </cfRule>
    <cfRule type="expression" dxfId="48" priority="2">
      <formula>M3="Open"</formula>
    </cfRule>
  </conditionalFormatting>
  <dataValidations count="7">
    <dataValidation type="list" allowBlank="1" showInputMessage="1" showErrorMessage="1" sqref="H3:L75 G4:G75" xr:uid="{3E77A382-8B94-4AB4-9FC4-E58A668954C2}">
      <formula1>"Yes,No"</formula1>
    </dataValidation>
    <dataValidation type="list" allowBlank="1" sqref="B3:B99" xr:uid="{0C928A1C-0445-406A-8490-5A1757BB7555}">
      <formula1>Transaction</formula1>
    </dataValidation>
    <dataValidation type="list" allowBlank="1" sqref="A42:A75 A3" xr:uid="{31AA3F44-3CF8-45C6-A4E9-DB74DD1DA85F}">
      <formula1>Potential_Investor</formula1>
    </dataValidation>
    <dataValidation type="list" allowBlank="1" sqref="M3:M75" xr:uid="{044C47F3-1D28-4A9E-B973-2119ECCF061D}">
      <formula1>Engagement_Status</formula1>
    </dataValidation>
    <dataValidation type="whole" allowBlank="1" sqref="N3:N75" xr:uid="{6B6EEC41-8B42-4451-9AE3-641F9F6D8590}">
      <formula1>0</formula1>
      <formula2>1000</formula2>
    </dataValidation>
    <dataValidation allowBlank="1" sqref="A4:A41" xr:uid="{31F73197-0931-40BC-9C4F-8811A7EBE9D4}"/>
    <dataValidation type="list" allowBlank="1" showInputMessage="1" showErrorMessage="1" sqref="G3" xr:uid="{147AF370-EF54-4720-B3D8-4EE798D10D89}">
      <formula1>"Yes,No, "</formula1>
    </dataValidation>
  </dataValidations>
  <pageMargins left="0.70866141732283472" right="0.70866141732283472" top="0.74803149606299213" bottom="0.74803149606299213" header="0.31496062992125984" footer="0.31496062992125984"/>
  <pageSetup paperSize="9" scale="59" orientation="landscape" r:id="rId1"/>
  <headerFooter>
    <oddHeader>&amp;A</oddHeader>
    <oddFooter>&amp;L&amp;B Confidential&amp;B&amp;C&amp;D&amp;RPage &amp;P</oddFooter>
  </headerFooter>
  <colBreaks count="1" manualBreakCount="1">
    <brk id="15"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F8FC3-41AF-47A0-9AC3-007B791ED0CC}">
  <sheetPr codeName="Sheet7"/>
  <dimension ref="B1:K95"/>
  <sheetViews>
    <sheetView topLeftCell="E45" workbookViewId="0">
      <selection activeCell="I55" sqref="I55"/>
    </sheetView>
  </sheetViews>
  <sheetFormatPr baseColWidth="10" defaultColWidth="8.83203125" defaultRowHeight="13" x14ac:dyDescent="0.15"/>
  <cols>
    <col min="2" max="2" width="22.83203125" customWidth="1"/>
    <col min="3" max="3" width="21" customWidth="1"/>
    <col min="4" max="4" width="20.33203125" customWidth="1"/>
    <col min="7" max="7" width="22" customWidth="1"/>
    <col min="8" max="8" width="20.1640625" customWidth="1"/>
    <col min="9" max="9" width="16.6640625" customWidth="1"/>
    <col min="11" max="11" width="26.33203125" customWidth="1"/>
    <col min="12" max="12" width="21.33203125" customWidth="1"/>
  </cols>
  <sheetData>
    <row r="1" spans="2:11" ht="15" x14ac:dyDescent="0.15">
      <c r="B1" s="23" t="s">
        <v>88</v>
      </c>
      <c r="C1" s="23" t="s">
        <v>89</v>
      </c>
      <c r="G1" s="23" t="s">
        <v>90</v>
      </c>
      <c r="H1" s="23" t="s">
        <v>91</v>
      </c>
      <c r="I1" s="23" t="s">
        <v>92</v>
      </c>
    </row>
    <row r="2" spans="2:11" ht="15" x14ac:dyDescent="0.15">
      <c r="G2" s="12" t="s">
        <v>54</v>
      </c>
      <c r="K2" s="18" t="s">
        <v>93</v>
      </c>
    </row>
    <row r="3" spans="2:11" ht="15" x14ac:dyDescent="0.15">
      <c r="G3" s="12" t="s">
        <v>38</v>
      </c>
      <c r="K3" s="24" t="s">
        <v>54</v>
      </c>
    </row>
    <row r="4" spans="2:11" ht="15" x14ac:dyDescent="0.15">
      <c r="G4" s="18" t="s">
        <v>87</v>
      </c>
      <c r="K4" s="18" t="s">
        <v>94</v>
      </c>
    </row>
    <row r="5" spans="2:11" ht="30" x14ac:dyDescent="0.15">
      <c r="G5" s="12" t="s">
        <v>44</v>
      </c>
      <c r="K5" s="24" t="s">
        <v>95</v>
      </c>
    </row>
    <row r="6" spans="2:11" ht="15" x14ac:dyDescent="0.15">
      <c r="G6" s="12" t="s">
        <v>51</v>
      </c>
      <c r="K6" s="18" t="s">
        <v>96</v>
      </c>
    </row>
    <row r="7" spans="2:11" ht="15" x14ac:dyDescent="0.15">
      <c r="G7" s="12" t="s">
        <v>46</v>
      </c>
      <c r="K7" s="18" t="s">
        <v>38</v>
      </c>
    </row>
    <row r="8" spans="2:11" ht="30" x14ac:dyDescent="0.15">
      <c r="G8" s="12" t="s">
        <v>84</v>
      </c>
      <c r="K8" s="18" t="s">
        <v>97</v>
      </c>
    </row>
    <row r="9" spans="2:11" ht="15" x14ac:dyDescent="0.15">
      <c r="G9" s="12" t="s">
        <v>49</v>
      </c>
      <c r="K9" s="18" t="s">
        <v>98</v>
      </c>
    </row>
    <row r="10" spans="2:11" ht="15" x14ac:dyDescent="0.15">
      <c r="G10" s="12" t="s">
        <v>53</v>
      </c>
      <c r="K10" s="18" t="s">
        <v>87</v>
      </c>
    </row>
    <row r="11" spans="2:11" ht="14" x14ac:dyDescent="0.15">
      <c r="G11" s="12" t="s">
        <v>86</v>
      </c>
      <c r="K11" s="59" t="s">
        <v>44</v>
      </c>
    </row>
    <row r="12" spans="2:11" ht="14" x14ac:dyDescent="0.15">
      <c r="G12" s="12" t="s">
        <v>73</v>
      </c>
      <c r="K12" s="59" t="s">
        <v>99</v>
      </c>
    </row>
    <row r="13" spans="2:11" ht="15" x14ac:dyDescent="0.15">
      <c r="G13" s="12" t="s">
        <v>70</v>
      </c>
      <c r="K13" s="18" t="s">
        <v>46</v>
      </c>
    </row>
    <row r="14" spans="2:11" ht="15" x14ac:dyDescent="0.15">
      <c r="G14" s="12" t="s">
        <v>41</v>
      </c>
      <c r="K14" s="18" t="s">
        <v>100</v>
      </c>
    </row>
    <row r="15" spans="2:11" ht="15" x14ac:dyDescent="0.15">
      <c r="G15" s="12" t="s">
        <v>59</v>
      </c>
      <c r="K15" s="18" t="s">
        <v>101</v>
      </c>
    </row>
    <row r="16" spans="2:11" ht="15" x14ac:dyDescent="0.15">
      <c r="G16" s="12" t="s">
        <v>34</v>
      </c>
      <c r="K16" s="24" t="s">
        <v>102</v>
      </c>
    </row>
    <row r="17" spans="7:11" ht="15" x14ac:dyDescent="0.15">
      <c r="G17" s="12" t="s">
        <v>72</v>
      </c>
      <c r="K17" s="18" t="s">
        <v>103</v>
      </c>
    </row>
    <row r="18" spans="7:11" ht="15" x14ac:dyDescent="0.15">
      <c r="G18" s="12" t="s">
        <v>60</v>
      </c>
      <c r="K18" s="18" t="s">
        <v>84</v>
      </c>
    </row>
    <row r="19" spans="7:11" ht="14" x14ac:dyDescent="0.15">
      <c r="G19" s="12" t="s">
        <v>26</v>
      </c>
      <c r="K19" s="59" t="s">
        <v>49</v>
      </c>
    </row>
    <row r="20" spans="7:11" ht="15" x14ac:dyDescent="0.15">
      <c r="G20" s="12" t="s">
        <v>79</v>
      </c>
      <c r="K20" s="18" t="s">
        <v>104</v>
      </c>
    </row>
    <row r="21" spans="7:11" ht="15" x14ac:dyDescent="0.15">
      <c r="G21" s="12" t="s">
        <v>57</v>
      </c>
      <c r="K21" s="18" t="s">
        <v>105</v>
      </c>
    </row>
    <row r="22" spans="7:11" ht="15" x14ac:dyDescent="0.15">
      <c r="G22" s="12" t="s">
        <v>45</v>
      </c>
      <c r="K22" s="18" t="s">
        <v>106</v>
      </c>
    </row>
    <row r="23" spans="7:11" ht="15" x14ac:dyDescent="0.15">
      <c r="G23" s="12" t="s">
        <v>62</v>
      </c>
      <c r="K23" s="24" t="s">
        <v>107</v>
      </c>
    </row>
    <row r="24" spans="7:11" ht="15" x14ac:dyDescent="0.15">
      <c r="G24" s="12" t="s">
        <v>81</v>
      </c>
      <c r="K24" s="18" t="s">
        <v>108</v>
      </c>
    </row>
    <row r="25" spans="7:11" ht="15" x14ac:dyDescent="0.15">
      <c r="G25" s="12" t="s">
        <v>61</v>
      </c>
      <c r="K25" s="18" t="s">
        <v>53</v>
      </c>
    </row>
    <row r="26" spans="7:11" ht="15" x14ac:dyDescent="0.15">
      <c r="G26" s="12" t="s">
        <v>42</v>
      </c>
      <c r="K26" s="18" t="s">
        <v>109</v>
      </c>
    </row>
    <row r="27" spans="7:11" ht="30" x14ac:dyDescent="0.15">
      <c r="G27" s="12" t="s">
        <v>80</v>
      </c>
      <c r="K27" s="18" t="s">
        <v>110</v>
      </c>
    </row>
    <row r="28" spans="7:11" ht="15" x14ac:dyDescent="0.15">
      <c r="G28" s="12" t="s">
        <v>68</v>
      </c>
      <c r="K28" s="18" t="s">
        <v>86</v>
      </c>
    </row>
    <row r="29" spans="7:11" ht="15" x14ac:dyDescent="0.15">
      <c r="G29" s="12" t="s">
        <v>75</v>
      </c>
      <c r="K29" s="24" t="s">
        <v>73</v>
      </c>
    </row>
    <row r="30" spans="7:11" ht="15" x14ac:dyDescent="0.15">
      <c r="G30" s="12" t="s">
        <v>76</v>
      </c>
      <c r="K30" s="18" t="s">
        <v>111</v>
      </c>
    </row>
    <row r="31" spans="7:11" ht="15" x14ac:dyDescent="0.15">
      <c r="G31" s="12" t="s">
        <v>55</v>
      </c>
      <c r="K31" s="18" t="s">
        <v>112</v>
      </c>
    </row>
    <row r="32" spans="7:11" ht="15" x14ac:dyDescent="0.15">
      <c r="G32" s="12" t="s">
        <v>74</v>
      </c>
      <c r="K32" s="24" t="s">
        <v>70</v>
      </c>
    </row>
    <row r="33" spans="7:11" ht="15" x14ac:dyDescent="0.15">
      <c r="G33" s="12" t="s">
        <v>71</v>
      </c>
      <c r="K33" s="18" t="s">
        <v>41</v>
      </c>
    </row>
    <row r="34" spans="7:11" ht="15" x14ac:dyDescent="0.15">
      <c r="G34" s="12" t="s">
        <v>78</v>
      </c>
      <c r="K34" s="18" t="s">
        <v>113</v>
      </c>
    </row>
    <row r="35" spans="7:11" ht="15" x14ac:dyDescent="0.15">
      <c r="G35" s="12" t="s">
        <v>52</v>
      </c>
      <c r="K35" s="18" t="s">
        <v>114</v>
      </c>
    </row>
    <row r="36" spans="7:11" ht="15" x14ac:dyDescent="0.15">
      <c r="G36" s="58" t="s">
        <v>115</v>
      </c>
      <c r="K36" s="24" t="s">
        <v>59</v>
      </c>
    </row>
    <row r="37" spans="7:11" ht="15" x14ac:dyDescent="0.15">
      <c r="G37" s="12" t="s">
        <v>82</v>
      </c>
      <c r="K37" s="18" t="s">
        <v>34</v>
      </c>
    </row>
    <row r="38" spans="7:11" ht="14" x14ac:dyDescent="0.15">
      <c r="G38" s="12" t="s">
        <v>77</v>
      </c>
      <c r="K38" s="57" t="s">
        <v>116</v>
      </c>
    </row>
    <row r="39" spans="7:11" ht="15" x14ac:dyDescent="0.15">
      <c r="G39" s="12" t="s">
        <v>63</v>
      </c>
      <c r="K39" s="24" t="s">
        <v>72</v>
      </c>
    </row>
    <row r="40" spans="7:11" x14ac:dyDescent="0.15">
      <c r="G40" s="12" t="s">
        <v>65</v>
      </c>
      <c r="K40" s="12" t="s">
        <v>60</v>
      </c>
    </row>
    <row r="41" spans="7:11" ht="15" x14ac:dyDescent="0.15">
      <c r="G41" s="12" t="s">
        <v>66</v>
      </c>
      <c r="K41" s="24" t="s">
        <v>26</v>
      </c>
    </row>
    <row r="42" spans="7:11" x14ac:dyDescent="0.15">
      <c r="G42" s="12" t="s">
        <v>64</v>
      </c>
      <c r="K42" s="12" t="s">
        <v>79</v>
      </c>
    </row>
    <row r="43" spans="7:11" ht="15" x14ac:dyDescent="0.15">
      <c r="G43" s="12" t="s">
        <v>85</v>
      </c>
      <c r="K43" s="24" t="s">
        <v>117</v>
      </c>
    </row>
    <row r="44" spans="7:11" ht="15" x14ac:dyDescent="0.15">
      <c r="G44" s="12" t="s">
        <v>36</v>
      </c>
      <c r="K44" s="24" t="s">
        <v>118</v>
      </c>
    </row>
    <row r="45" spans="7:11" ht="30" x14ac:dyDescent="0.15">
      <c r="G45" s="12" t="s">
        <v>43</v>
      </c>
      <c r="K45" s="18" t="s">
        <v>119</v>
      </c>
    </row>
    <row r="46" spans="7:11" x14ac:dyDescent="0.15">
      <c r="G46" s="12" t="s">
        <v>37</v>
      </c>
      <c r="K46" s="12" t="s">
        <v>57</v>
      </c>
    </row>
    <row r="47" spans="7:11" ht="15" x14ac:dyDescent="0.15">
      <c r="G47" s="12" t="s">
        <v>30</v>
      </c>
      <c r="K47" s="18" t="s">
        <v>120</v>
      </c>
    </row>
    <row r="48" spans="7:11" ht="14" x14ac:dyDescent="0.15">
      <c r="G48" s="9" t="s">
        <v>56</v>
      </c>
      <c r="K48" s="57" t="s">
        <v>121</v>
      </c>
    </row>
    <row r="49" spans="7:11" ht="15" x14ac:dyDescent="0.15">
      <c r="G49" s="12" t="s">
        <v>48</v>
      </c>
      <c r="K49" s="18" t="s">
        <v>122</v>
      </c>
    </row>
    <row r="50" spans="7:11" ht="15" x14ac:dyDescent="0.15">
      <c r="G50" s="12" t="s">
        <v>83</v>
      </c>
      <c r="K50" s="18" t="s">
        <v>45</v>
      </c>
    </row>
    <row r="51" spans="7:11" ht="15" x14ac:dyDescent="0.15">
      <c r="G51" s="12" t="s">
        <v>67</v>
      </c>
      <c r="K51" s="24" t="s">
        <v>62</v>
      </c>
    </row>
    <row r="52" spans="7:11" ht="15" x14ac:dyDescent="0.15">
      <c r="K52" s="24" t="s">
        <v>81</v>
      </c>
    </row>
    <row r="53" spans="7:11" ht="15" x14ac:dyDescent="0.15">
      <c r="K53" s="24" t="s">
        <v>61</v>
      </c>
    </row>
    <row r="54" spans="7:11" ht="15" x14ac:dyDescent="0.15">
      <c r="K54" s="24" t="s">
        <v>42</v>
      </c>
    </row>
    <row r="55" spans="7:11" ht="45" x14ac:dyDescent="0.15">
      <c r="K55" s="24" t="s">
        <v>123</v>
      </c>
    </row>
    <row r="56" spans="7:11" ht="30" x14ac:dyDescent="0.15">
      <c r="K56" s="24" t="s">
        <v>124</v>
      </c>
    </row>
    <row r="57" spans="7:11" ht="15" x14ac:dyDescent="0.15">
      <c r="K57" s="24" t="s">
        <v>80</v>
      </c>
    </row>
    <row r="58" spans="7:11" ht="30" x14ac:dyDescent="0.15">
      <c r="K58" s="18" t="s">
        <v>125</v>
      </c>
    </row>
    <row r="59" spans="7:11" ht="15" x14ac:dyDescent="0.15">
      <c r="K59" s="24" t="s">
        <v>68</v>
      </c>
    </row>
    <row r="60" spans="7:11" ht="15" x14ac:dyDescent="0.15">
      <c r="K60" s="24" t="s">
        <v>75</v>
      </c>
    </row>
    <row r="61" spans="7:11" ht="15" x14ac:dyDescent="0.15">
      <c r="K61" s="24" t="s">
        <v>76</v>
      </c>
    </row>
    <row r="62" spans="7:11" ht="15" x14ac:dyDescent="0.15">
      <c r="K62" s="24" t="s">
        <v>55</v>
      </c>
    </row>
    <row r="63" spans="7:11" ht="15" x14ac:dyDescent="0.15">
      <c r="K63" s="18" t="s">
        <v>126</v>
      </c>
    </row>
    <row r="64" spans="7:11" ht="15" x14ac:dyDescent="0.15">
      <c r="K64" s="24" t="s">
        <v>74</v>
      </c>
    </row>
    <row r="65" spans="11:11" ht="15" x14ac:dyDescent="0.15">
      <c r="K65" s="18" t="s">
        <v>127</v>
      </c>
    </row>
    <row r="66" spans="11:11" ht="15" x14ac:dyDescent="0.15">
      <c r="K66" s="24" t="s">
        <v>71</v>
      </c>
    </row>
    <row r="67" spans="11:11" ht="30" x14ac:dyDescent="0.15">
      <c r="K67" s="18" t="s">
        <v>128</v>
      </c>
    </row>
    <row r="69" spans="11:11" ht="15" x14ac:dyDescent="0.15">
      <c r="K69" s="24" t="s">
        <v>78</v>
      </c>
    </row>
    <row r="70" spans="11:11" ht="15" x14ac:dyDescent="0.15">
      <c r="K70" s="18" t="s">
        <v>52</v>
      </c>
    </row>
    <row r="71" spans="11:11" ht="15" x14ac:dyDescent="0.15">
      <c r="K71" s="18" t="s">
        <v>115</v>
      </c>
    </row>
    <row r="72" spans="11:11" ht="14" x14ac:dyDescent="0.15">
      <c r="K72" s="57" t="s">
        <v>129</v>
      </c>
    </row>
    <row r="73" spans="11:11" x14ac:dyDescent="0.15">
      <c r="K73" s="12" t="s">
        <v>82</v>
      </c>
    </row>
    <row r="74" spans="11:11" ht="15" x14ac:dyDescent="0.15">
      <c r="K74" s="24" t="s">
        <v>77</v>
      </c>
    </row>
    <row r="75" spans="11:11" ht="15" x14ac:dyDescent="0.15">
      <c r="K75" s="18" t="s">
        <v>130</v>
      </c>
    </row>
    <row r="76" spans="11:11" ht="15" x14ac:dyDescent="0.15">
      <c r="K76" s="24" t="s">
        <v>63</v>
      </c>
    </row>
    <row r="77" spans="11:11" ht="15" x14ac:dyDescent="0.15">
      <c r="K77" s="24" t="s">
        <v>65</v>
      </c>
    </row>
    <row r="78" spans="11:11" ht="15" x14ac:dyDescent="0.15">
      <c r="K78" s="24" t="s">
        <v>66</v>
      </c>
    </row>
    <row r="79" spans="11:11" ht="15" x14ac:dyDescent="0.15">
      <c r="K79" s="24" t="s">
        <v>64</v>
      </c>
    </row>
    <row r="80" spans="11:11" ht="15" x14ac:dyDescent="0.15">
      <c r="K80" s="18" t="s">
        <v>131</v>
      </c>
    </row>
    <row r="81" spans="11:11" ht="15" x14ac:dyDescent="0.15">
      <c r="K81" s="24" t="s">
        <v>132</v>
      </c>
    </row>
    <row r="82" spans="11:11" ht="15" x14ac:dyDescent="0.15">
      <c r="K82" s="18" t="s">
        <v>85</v>
      </c>
    </row>
    <row r="83" spans="11:11" ht="15" x14ac:dyDescent="0.15">
      <c r="K83" s="18" t="s">
        <v>36</v>
      </c>
    </row>
    <row r="84" spans="11:11" ht="15" x14ac:dyDescent="0.15">
      <c r="K84" s="18" t="s">
        <v>133</v>
      </c>
    </row>
    <row r="85" spans="11:11" ht="15" x14ac:dyDescent="0.15">
      <c r="K85" s="24" t="s">
        <v>134</v>
      </c>
    </row>
    <row r="86" spans="11:11" ht="15" x14ac:dyDescent="0.15">
      <c r="K86" s="24" t="s">
        <v>43</v>
      </c>
    </row>
    <row r="87" spans="11:11" ht="15" x14ac:dyDescent="0.15">
      <c r="K87" s="24" t="s">
        <v>37</v>
      </c>
    </row>
    <row r="88" spans="11:11" ht="15" x14ac:dyDescent="0.15">
      <c r="K88" s="18" t="s">
        <v>135</v>
      </c>
    </row>
    <row r="89" spans="11:11" ht="30" x14ac:dyDescent="0.15">
      <c r="K89" s="18" t="s">
        <v>136</v>
      </c>
    </row>
    <row r="90" spans="11:11" ht="15" x14ac:dyDescent="0.15">
      <c r="K90" s="24" t="s">
        <v>30</v>
      </c>
    </row>
    <row r="91" spans="11:11" ht="15" x14ac:dyDescent="0.15">
      <c r="K91" s="24" t="s">
        <v>56</v>
      </c>
    </row>
    <row r="92" spans="11:11" ht="15" x14ac:dyDescent="0.15">
      <c r="K92" s="24" t="s">
        <v>137</v>
      </c>
    </row>
    <row r="93" spans="11:11" x14ac:dyDescent="0.15">
      <c r="K93" s="12" t="s">
        <v>83</v>
      </c>
    </row>
    <row r="94" spans="11:11" ht="15" x14ac:dyDescent="0.15">
      <c r="K94" s="24" t="s">
        <v>67</v>
      </c>
    </row>
    <row r="95" spans="11:11" x14ac:dyDescent="0.15">
      <c r="K95" s="56" t="s">
        <v>138</v>
      </c>
    </row>
  </sheetData>
  <sortState xmlns:xlrd2="http://schemas.microsoft.com/office/spreadsheetml/2017/richdata2" ref="K3:K98">
    <sortCondition ref="K3:K9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E6C73-0D03-4928-886D-9617001AA0D8}">
  <sheetPr codeName="Sheet2">
    <pageSetUpPr fitToPage="1"/>
  </sheetPr>
  <dimension ref="A3:P143"/>
  <sheetViews>
    <sheetView view="pageBreakPreview" zoomScale="90" zoomScaleNormal="100" zoomScaleSheetLayoutView="90" workbookViewId="0">
      <pane xSplit="2" ySplit="3" topLeftCell="C4" activePane="bottomRight" state="frozen"/>
      <selection pane="topRight"/>
      <selection pane="bottomLeft"/>
      <selection pane="bottomRight" activeCell="C54" sqref="C54"/>
    </sheetView>
  </sheetViews>
  <sheetFormatPr baseColWidth="10" defaultColWidth="8.6640625" defaultRowHeight="14" x14ac:dyDescent="0.2"/>
  <cols>
    <col min="1" max="1" width="7.5" style="4" customWidth="1"/>
    <col min="2" max="2" width="17.5" style="4" customWidth="1"/>
    <col min="3" max="3" width="19.83203125" style="4" customWidth="1"/>
    <col min="4" max="4" width="13.33203125" style="4" customWidth="1"/>
    <col min="5" max="5" width="19.33203125" style="4" customWidth="1"/>
    <col min="6" max="6" width="18" style="4" customWidth="1"/>
    <col min="7" max="7" width="15.5" style="4" customWidth="1"/>
    <col min="8" max="8" width="11.1640625" style="4" customWidth="1"/>
    <col min="9" max="9" width="14.1640625" style="4" customWidth="1"/>
    <col min="10" max="10" width="12.33203125" style="4" customWidth="1"/>
    <col min="11" max="11" width="14.5" style="4" customWidth="1"/>
    <col min="12" max="12" width="14.1640625" style="4" customWidth="1"/>
    <col min="13" max="14" width="12.33203125" style="4" customWidth="1"/>
    <col min="15" max="15" width="57.5" style="4" customWidth="1"/>
    <col min="16" max="16" width="79" style="4" customWidth="1"/>
    <col min="17" max="16384" width="8.6640625" style="4"/>
  </cols>
  <sheetData>
    <row r="3" spans="1:16" ht="53" x14ac:dyDescent="0.2">
      <c r="A3" s="19" t="str">
        <f>'Summary-Fundraise'!Q2</f>
        <v>Progress</v>
      </c>
      <c r="B3" s="19" t="s">
        <v>139</v>
      </c>
      <c r="C3" s="22" t="s">
        <v>140</v>
      </c>
      <c r="D3" s="19" t="s">
        <v>141</v>
      </c>
      <c r="E3" s="19" t="s">
        <v>142</v>
      </c>
      <c r="F3" s="19" t="s">
        <v>143</v>
      </c>
      <c r="G3" s="19" t="s">
        <v>16</v>
      </c>
      <c r="H3" s="19" t="s">
        <v>17</v>
      </c>
      <c r="I3" s="19" t="s">
        <v>18</v>
      </c>
      <c r="J3" s="19" t="s">
        <v>19</v>
      </c>
      <c r="K3" s="19" t="s">
        <v>20</v>
      </c>
      <c r="L3" s="19" t="s">
        <v>21</v>
      </c>
      <c r="M3" s="19" t="s">
        <v>22</v>
      </c>
      <c r="N3" s="19" t="s">
        <v>23</v>
      </c>
      <c r="O3" s="19" t="s">
        <v>24</v>
      </c>
      <c r="P3" s="19" t="s">
        <v>144</v>
      </c>
    </row>
    <row r="4" spans="1:16" ht="26" customHeight="1" x14ac:dyDescent="0.2">
      <c r="A4" s="12">
        <f>IF(C4="","",INDEX('Summary-Fundraise'!$A$3:$Q$75,MATCH($C4,'Summary-Fundraise'!$A$3:$A$75,0),MATCH(A$3,'Summary-Fundraise'!$A$2:$Q$2,0)))</f>
        <v>0</v>
      </c>
      <c r="B4" s="20"/>
      <c r="C4" s="12" t="s">
        <v>83</v>
      </c>
      <c r="D4" s="12" t="s">
        <v>145</v>
      </c>
      <c r="E4" s="12" t="s">
        <v>8</v>
      </c>
      <c r="F4" s="64" t="s">
        <v>146</v>
      </c>
      <c r="G4" s="62"/>
      <c r="H4" s="62"/>
      <c r="I4" s="62"/>
      <c r="J4" s="62"/>
      <c r="K4" s="62"/>
      <c r="L4" s="62"/>
      <c r="M4" s="62"/>
      <c r="N4" s="62"/>
      <c r="O4" s="62"/>
      <c r="P4" s="60"/>
    </row>
    <row r="5" spans="1:16" ht="26" customHeight="1" x14ac:dyDescent="0.2">
      <c r="A5" s="12">
        <f>IF(C5="","",INDEX('Summary-Fundraise'!$A$3:$Q$75,MATCH($C5,'Summary-Fundraise'!$A$3:$A$75,0),MATCH(A$3,'Summary-Fundraise'!$A$2:$Q$2,0)))</f>
        <v>0</v>
      </c>
      <c r="B5" s="20"/>
      <c r="C5" s="12" t="s">
        <v>81</v>
      </c>
      <c r="D5" s="12" t="s">
        <v>147</v>
      </c>
      <c r="E5" s="12" t="s">
        <v>8</v>
      </c>
      <c r="F5" s="64" t="s">
        <v>148</v>
      </c>
      <c r="G5" s="62"/>
      <c r="H5" s="62"/>
      <c r="I5" s="62"/>
      <c r="J5" s="62"/>
      <c r="K5" s="62"/>
      <c r="L5" s="62"/>
      <c r="M5" s="62"/>
      <c r="N5" s="62"/>
      <c r="O5" s="62"/>
      <c r="P5" s="60"/>
    </row>
    <row r="6" spans="1:16" ht="26" customHeight="1" x14ac:dyDescent="0.2">
      <c r="A6" s="12">
        <f>IF(C6="","",INDEX('Summary-Fundraise'!$A$3:$Q$75,MATCH($C6,'Summary-Fundraise'!$A$3:$A$75,0),MATCH(A$3,'Summary-Fundraise'!$A$2:$Q$2,0)))</f>
        <v>0</v>
      </c>
      <c r="B6" s="20"/>
      <c r="C6" s="12" t="s">
        <v>61</v>
      </c>
      <c r="D6" s="12" t="s">
        <v>147</v>
      </c>
      <c r="E6" s="12" t="s">
        <v>8</v>
      </c>
      <c r="F6" s="64" t="s">
        <v>146</v>
      </c>
      <c r="G6" s="62"/>
      <c r="H6" s="62"/>
      <c r="I6" s="62"/>
      <c r="J6" s="62"/>
      <c r="K6" s="62"/>
      <c r="L6" s="62"/>
      <c r="M6" s="62"/>
      <c r="N6" s="62"/>
      <c r="O6" s="62"/>
      <c r="P6" s="60"/>
    </row>
    <row r="7" spans="1:16" ht="26" customHeight="1" x14ac:dyDescent="0.2">
      <c r="A7" s="12">
        <f>IF(C7="","",INDEX('Summary-Fundraise'!$A$3:$Q$75,MATCH($C7,'Summary-Fundraise'!$A$3:$A$75,0),MATCH(A$3,'Summary-Fundraise'!$A$2:$Q$2,0)))</f>
        <v>0</v>
      </c>
      <c r="B7" s="20"/>
      <c r="C7" s="12" t="s">
        <v>62</v>
      </c>
      <c r="D7" s="12" t="s">
        <v>147</v>
      </c>
      <c r="E7" s="12" t="s">
        <v>8</v>
      </c>
      <c r="F7" s="64" t="s">
        <v>146</v>
      </c>
      <c r="G7" s="62"/>
      <c r="H7" s="62"/>
      <c r="I7" s="62"/>
      <c r="J7" s="62"/>
      <c r="K7" s="62"/>
      <c r="L7" s="62"/>
      <c r="M7" s="62"/>
      <c r="N7" s="62"/>
      <c r="O7" s="62"/>
      <c r="P7" s="60"/>
    </row>
    <row r="8" spans="1:16" ht="26" customHeight="1" x14ac:dyDescent="0.2">
      <c r="A8" s="12">
        <f>IF(C8="","",INDEX('Summary-Fundraise'!$A$3:$Q$75,MATCH($C8,'Summary-Fundraise'!$A$3:$A$75,0),MATCH(A$3,'Summary-Fundraise'!$A$2:$Q$2,0)))</f>
        <v>0</v>
      </c>
      <c r="B8" s="20"/>
      <c r="C8" s="12" t="s">
        <v>63</v>
      </c>
      <c r="D8" s="12" t="s">
        <v>149</v>
      </c>
      <c r="E8" s="12" t="s">
        <v>2</v>
      </c>
      <c r="F8" s="64" t="s">
        <v>146</v>
      </c>
      <c r="G8" s="62"/>
      <c r="H8" s="62"/>
      <c r="I8" s="62"/>
      <c r="J8" s="62"/>
      <c r="K8" s="62"/>
      <c r="L8" s="62"/>
      <c r="M8" s="62"/>
      <c r="N8" s="62"/>
      <c r="O8" s="62"/>
      <c r="P8" s="60"/>
    </row>
    <row r="9" spans="1:16" ht="26" customHeight="1" x14ac:dyDescent="0.2">
      <c r="A9" s="12">
        <f>IF(C9="","",INDEX('Summary-Fundraise'!$A$3:$Q$75,MATCH($C9,'Summary-Fundraise'!$A$3:$A$75,0),MATCH(A$3,'Summary-Fundraise'!$A$2:$Q$2,0)))</f>
        <v>0</v>
      </c>
      <c r="B9" s="20"/>
      <c r="C9" s="12" t="s">
        <v>64</v>
      </c>
      <c r="D9" s="12" t="s">
        <v>147</v>
      </c>
      <c r="E9" s="12" t="s">
        <v>8</v>
      </c>
      <c r="F9" s="64" t="s">
        <v>146</v>
      </c>
      <c r="G9" s="62"/>
      <c r="H9" s="62"/>
      <c r="I9" s="62"/>
      <c r="J9" s="62"/>
      <c r="K9" s="62"/>
      <c r="L9" s="62"/>
      <c r="M9" s="62"/>
      <c r="N9" s="62"/>
      <c r="O9" s="62"/>
      <c r="P9" s="60"/>
    </row>
    <row r="10" spans="1:16" ht="26" customHeight="1" x14ac:dyDescent="0.2">
      <c r="A10" s="12">
        <f>IF(C10="","",INDEX('Summary-Fundraise'!$A$3:$Q$75,MATCH($C10,'Summary-Fundraise'!$A$3:$A$75,0),MATCH(A$3,'Summary-Fundraise'!$A$2:$Q$2,0)))</f>
        <v>0</v>
      </c>
      <c r="B10" s="20"/>
      <c r="C10" s="12" t="s">
        <v>65</v>
      </c>
      <c r="D10" s="12" t="s">
        <v>147</v>
      </c>
      <c r="E10" s="12" t="s">
        <v>8</v>
      </c>
      <c r="F10" s="64" t="s">
        <v>146</v>
      </c>
      <c r="G10" s="62"/>
      <c r="H10" s="62"/>
      <c r="I10" s="62"/>
      <c r="J10" s="62"/>
      <c r="K10" s="62"/>
      <c r="L10" s="62"/>
      <c r="M10" s="62"/>
      <c r="N10" s="62"/>
      <c r="O10" s="62"/>
      <c r="P10" s="60"/>
    </row>
    <row r="11" spans="1:16" ht="26" customHeight="1" x14ac:dyDescent="0.2">
      <c r="A11" s="12">
        <f>IF(C11="","",INDEX('Summary-Fundraise'!$A$3:$Q$75,MATCH($C11,'Summary-Fundraise'!$A$3:$A$75,0),MATCH(A$3,'Summary-Fundraise'!$A$2:$Q$2,0)))</f>
        <v>0</v>
      </c>
      <c r="B11" s="20"/>
      <c r="C11" s="12" t="s">
        <v>66</v>
      </c>
      <c r="D11" s="12" t="s">
        <v>147</v>
      </c>
      <c r="E11" s="12" t="s">
        <v>8</v>
      </c>
      <c r="F11" s="64" t="s">
        <v>146</v>
      </c>
      <c r="G11" s="62"/>
      <c r="H11" s="62"/>
      <c r="I11" s="62"/>
      <c r="J11" s="62"/>
      <c r="K11" s="62"/>
      <c r="L11" s="62"/>
      <c r="M11" s="62"/>
      <c r="N11" s="62"/>
      <c r="O11" s="62"/>
      <c r="P11" s="60"/>
    </row>
    <row r="12" spans="1:16" ht="26" customHeight="1" x14ac:dyDescent="0.2">
      <c r="A12" s="12">
        <f>IF(C12="","",INDEX('Summary-Fundraise'!$A$3:$Q$75,MATCH($C12,'Summary-Fundraise'!$A$3:$A$75,0),MATCH(A$3,'Summary-Fundraise'!$A$2:$Q$2,0)))</f>
        <v>0</v>
      </c>
      <c r="B12" s="20"/>
      <c r="C12" s="12" t="s">
        <v>67</v>
      </c>
      <c r="D12" s="12" t="s">
        <v>147</v>
      </c>
      <c r="E12" s="12" t="s">
        <v>11</v>
      </c>
      <c r="F12" s="64" t="s">
        <v>146</v>
      </c>
      <c r="G12" s="62"/>
      <c r="H12" s="62"/>
      <c r="I12" s="62"/>
      <c r="J12" s="62"/>
      <c r="K12" s="62"/>
      <c r="L12" s="62"/>
      <c r="M12" s="62"/>
      <c r="N12" s="62"/>
      <c r="O12" s="62"/>
      <c r="P12" s="60"/>
    </row>
    <row r="13" spans="1:16" ht="26" customHeight="1" x14ac:dyDescent="0.2">
      <c r="A13" s="12">
        <f>IF(C13="","",INDEX('Summary-Fundraise'!$A$3:$Q$75,MATCH($C13,'Summary-Fundraise'!$A$3:$A$75,0),MATCH(A$3,'Summary-Fundraise'!$A$2:$Q$2,0)))</f>
        <v>0</v>
      </c>
      <c r="B13" s="20"/>
      <c r="C13" s="12" t="s">
        <v>68</v>
      </c>
      <c r="D13" s="12" t="s">
        <v>147</v>
      </c>
      <c r="E13" s="12" t="s">
        <v>2</v>
      </c>
      <c r="F13" s="64" t="s">
        <v>146</v>
      </c>
      <c r="G13" s="62"/>
      <c r="H13" s="62"/>
      <c r="I13" s="62"/>
      <c r="J13" s="62"/>
      <c r="K13" s="62"/>
      <c r="L13" s="62"/>
      <c r="M13" s="62"/>
      <c r="N13" s="62"/>
      <c r="O13" s="62"/>
      <c r="P13" s="60"/>
    </row>
    <row r="14" spans="1:16" ht="26" customHeight="1" x14ac:dyDescent="0.2">
      <c r="A14" s="12">
        <f>IF(C14="","",INDEX('Summary-Fundraise'!$A$3:$Q$75,MATCH($C14,'Summary-Fundraise'!$A$3:$A$75,0),MATCH(A$3,'Summary-Fundraise'!$A$2:$Q$2,0)))</f>
        <v>0</v>
      </c>
      <c r="B14" s="20"/>
      <c r="C14" s="12" t="s">
        <v>70</v>
      </c>
      <c r="D14" s="12" t="s">
        <v>147</v>
      </c>
      <c r="E14" s="12" t="s">
        <v>2</v>
      </c>
      <c r="F14" s="64" t="s">
        <v>146</v>
      </c>
      <c r="G14" s="62"/>
      <c r="H14" s="62"/>
      <c r="I14" s="62"/>
      <c r="J14" s="62"/>
      <c r="K14" s="62"/>
      <c r="L14" s="62"/>
      <c r="M14" s="62"/>
      <c r="N14" s="62"/>
      <c r="O14" s="62"/>
      <c r="P14" s="60"/>
    </row>
    <row r="15" spans="1:16" ht="26" customHeight="1" x14ac:dyDescent="0.2">
      <c r="A15" s="12">
        <f>IF(C15="","",INDEX('Summary-Fundraise'!$A$3:$Q$75,MATCH($C15,'Summary-Fundraise'!$A$3:$A$75,0),MATCH(A$3,'Summary-Fundraise'!$A$2:$Q$2,0)))</f>
        <v>0</v>
      </c>
      <c r="B15" s="20"/>
      <c r="C15" s="12" t="s">
        <v>71</v>
      </c>
      <c r="D15" s="12" t="s">
        <v>147</v>
      </c>
      <c r="E15" s="12" t="s">
        <v>11</v>
      </c>
      <c r="F15" s="64" t="s">
        <v>146</v>
      </c>
      <c r="G15" s="62"/>
      <c r="H15" s="62"/>
      <c r="I15" s="62"/>
      <c r="J15" s="62"/>
      <c r="K15" s="62"/>
      <c r="L15" s="62"/>
      <c r="M15" s="62"/>
      <c r="N15" s="62"/>
      <c r="O15" s="62"/>
      <c r="P15" s="60"/>
    </row>
    <row r="16" spans="1:16" ht="26" customHeight="1" x14ac:dyDescent="0.2">
      <c r="A16" s="12">
        <f>IF(C16="","",INDEX('Summary-Fundraise'!$A$3:$Q$75,MATCH($C16,'Summary-Fundraise'!$A$3:$A$75,0),MATCH(A$3,'Summary-Fundraise'!$A$2:$Q$2,0)))</f>
        <v>0</v>
      </c>
      <c r="B16" s="20"/>
      <c r="C16" s="12" t="s">
        <v>72</v>
      </c>
      <c r="D16" s="12" t="s">
        <v>147</v>
      </c>
      <c r="E16" s="12" t="s">
        <v>11</v>
      </c>
      <c r="F16" s="64" t="s">
        <v>146</v>
      </c>
      <c r="G16" s="62"/>
      <c r="H16" s="62"/>
      <c r="I16" s="62"/>
      <c r="J16" s="62"/>
      <c r="K16" s="62"/>
      <c r="L16" s="62"/>
      <c r="M16" s="62"/>
      <c r="N16" s="62"/>
      <c r="O16" s="62"/>
      <c r="P16" s="60"/>
    </row>
    <row r="17" spans="1:16" ht="26" customHeight="1" x14ac:dyDescent="0.2">
      <c r="A17" s="12">
        <f>IF(C17="","",INDEX('Summary-Fundraise'!$A$3:$Q$75,MATCH($C17,'Summary-Fundraise'!$A$3:$A$75,0),MATCH(A$3,'Summary-Fundraise'!$A$2:$Q$2,0)))</f>
        <v>0</v>
      </c>
      <c r="B17" s="20"/>
      <c r="C17" s="12" t="s">
        <v>73</v>
      </c>
      <c r="D17" s="12" t="s">
        <v>147</v>
      </c>
      <c r="E17" s="12" t="s">
        <v>11</v>
      </c>
      <c r="F17" s="64" t="s">
        <v>146</v>
      </c>
      <c r="G17" s="62"/>
      <c r="H17" s="62"/>
      <c r="I17" s="62"/>
      <c r="J17" s="62"/>
      <c r="K17" s="62"/>
      <c r="L17" s="62"/>
      <c r="M17" s="62"/>
      <c r="N17" s="62"/>
      <c r="O17" s="62"/>
      <c r="P17" s="60"/>
    </row>
    <row r="18" spans="1:16" ht="26" customHeight="1" x14ac:dyDescent="0.2">
      <c r="A18" s="12">
        <f>IF(C18="","",INDEX('Summary-Fundraise'!$A$3:$Q$75,MATCH($C18,'Summary-Fundraise'!$A$3:$A$75,0),MATCH(A$3,'Summary-Fundraise'!$A$2:$Q$2,0)))</f>
        <v>0</v>
      </c>
      <c r="B18" s="20"/>
      <c r="C18" s="12" t="s">
        <v>74</v>
      </c>
      <c r="D18" s="12" t="s">
        <v>147</v>
      </c>
      <c r="E18" s="12" t="s">
        <v>11</v>
      </c>
      <c r="F18" s="64" t="s">
        <v>146</v>
      </c>
      <c r="G18" s="62"/>
      <c r="H18" s="62"/>
      <c r="I18" s="62"/>
      <c r="J18" s="62"/>
      <c r="K18" s="62"/>
      <c r="L18" s="62"/>
      <c r="M18" s="62"/>
      <c r="N18" s="62"/>
      <c r="O18" s="62"/>
      <c r="P18" s="60"/>
    </row>
    <row r="19" spans="1:16" ht="26" customHeight="1" x14ac:dyDescent="0.2">
      <c r="A19" s="12">
        <f>IF(C19="","",INDEX('Summary-Fundraise'!$A$3:$Q$75,MATCH($C19,'Summary-Fundraise'!$A$3:$A$75,0),MATCH(A$3,'Summary-Fundraise'!$A$2:$Q$2,0)))</f>
        <v>0</v>
      </c>
      <c r="B19" s="20"/>
      <c r="C19" s="12" t="s">
        <v>75</v>
      </c>
      <c r="D19" s="12" t="s">
        <v>147</v>
      </c>
      <c r="E19" s="12" t="s">
        <v>11</v>
      </c>
      <c r="F19" s="64" t="s">
        <v>146</v>
      </c>
      <c r="G19" s="62"/>
      <c r="H19" s="62"/>
      <c r="I19" s="62"/>
      <c r="J19" s="62"/>
      <c r="K19" s="62"/>
      <c r="L19" s="62"/>
      <c r="M19" s="62"/>
      <c r="N19" s="62"/>
      <c r="O19" s="62"/>
      <c r="P19" s="60"/>
    </row>
    <row r="20" spans="1:16" ht="26" customHeight="1" x14ac:dyDescent="0.2">
      <c r="A20" s="12">
        <f>IF(C20="","",INDEX('Summary-Fundraise'!$A$3:$Q$75,MATCH($C20,'Summary-Fundraise'!$A$3:$A$75,0),MATCH(A$3,'Summary-Fundraise'!$A$2:$Q$2,0)))</f>
        <v>0</v>
      </c>
      <c r="B20" s="20"/>
      <c r="C20" s="12" t="s">
        <v>76</v>
      </c>
      <c r="D20" s="12" t="s">
        <v>147</v>
      </c>
      <c r="E20" s="12" t="s">
        <v>11</v>
      </c>
      <c r="F20" s="64" t="s">
        <v>146</v>
      </c>
      <c r="G20" s="62"/>
      <c r="H20" s="62"/>
      <c r="I20" s="62"/>
      <c r="J20" s="62"/>
      <c r="K20" s="62"/>
      <c r="L20" s="62"/>
      <c r="M20" s="62"/>
      <c r="N20" s="62"/>
      <c r="O20" s="62"/>
      <c r="P20" s="60"/>
    </row>
    <row r="21" spans="1:16" ht="26" customHeight="1" x14ac:dyDescent="0.2">
      <c r="A21" s="12">
        <f>IF(C21="","",INDEX('Summary-Fundraise'!$A$3:$Q$75,MATCH($C21,'Summary-Fundraise'!$A$3:$A$75,0),MATCH(A$3,'Summary-Fundraise'!$A$2:$Q$2,0)))</f>
        <v>0</v>
      </c>
      <c r="B21" s="20"/>
      <c r="C21" s="12" t="s">
        <v>77</v>
      </c>
      <c r="D21" s="12" t="s">
        <v>147</v>
      </c>
      <c r="E21" s="12" t="s">
        <v>11</v>
      </c>
      <c r="F21" s="64" t="s">
        <v>146</v>
      </c>
      <c r="G21" s="62"/>
      <c r="H21" s="62"/>
      <c r="I21" s="62"/>
      <c r="J21" s="62"/>
      <c r="K21" s="62"/>
      <c r="L21" s="62"/>
      <c r="M21" s="62"/>
      <c r="N21" s="62"/>
      <c r="O21" s="62"/>
      <c r="P21" s="60"/>
    </row>
    <row r="22" spans="1:16" ht="26" customHeight="1" x14ac:dyDescent="0.2">
      <c r="A22" s="12">
        <f>IF(C22="","",INDEX('Summary-Fundraise'!$A$3:$Q$75,MATCH($C22,'Summary-Fundraise'!$A$3:$A$75,0),MATCH(A$3,'Summary-Fundraise'!$A$2:$Q$2,0)))</f>
        <v>0</v>
      </c>
      <c r="B22" s="20"/>
      <c r="C22" s="12" t="s">
        <v>78</v>
      </c>
      <c r="D22" s="12" t="s">
        <v>147</v>
      </c>
      <c r="E22" s="12" t="s">
        <v>11</v>
      </c>
      <c r="F22" s="64" t="s">
        <v>146</v>
      </c>
      <c r="G22" s="62"/>
      <c r="H22" s="62"/>
      <c r="I22" s="62"/>
      <c r="J22" s="62"/>
      <c r="K22" s="62"/>
      <c r="L22" s="62"/>
      <c r="M22" s="62"/>
      <c r="N22" s="62"/>
      <c r="O22" s="62"/>
      <c r="P22" s="60"/>
    </row>
    <row r="23" spans="1:16" ht="26" customHeight="1" x14ac:dyDescent="0.2">
      <c r="A23" s="12">
        <f>IF(C23="","",INDEX('Summary-Fundraise'!$A$3:$Q$75,MATCH($C23,'Summary-Fundraise'!$A$3:$A$75,0),MATCH(A$3,'Summary-Fundraise'!$A$2:$Q$2,0)))</f>
        <v>0</v>
      </c>
      <c r="B23" s="20"/>
      <c r="C23" s="12" t="s">
        <v>79</v>
      </c>
      <c r="D23" s="12" t="s">
        <v>147</v>
      </c>
      <c r="E23" s="12" t="s">
        <v>11</v>
      </c>
      <c r="F23" s="64" t="s">
        <v>146</v>
      </c>
      <c r="G23" s="62"/>
      <c r="H23" s="62"/>
      <c r="I23" s="62"/>
      <c r="J23" s="62"/>
      <c r="K23" s="62"/>
      <c r="L23" s="62"/>
      <c r="M23" s="62"/>
      <c r="N23" s="62"/>
      <c r="O23" s="62"/>
      <c r="P23" s="60"/>
    </row>
    <row r="24" spans="1:16" ht="26" customHeight="1" x14ac:dyDescent="0.2">
      <c r="A24" s="12">
        <f>IF(C24="","",INDEX('Summary-Fundraise'!$A$3:$Q$75,MATCH($C24,'Summary-Fundraise'!$A$3:$A$75,0),MATCH(A$3,'Summary-Fundraise'!$A$2:$Q$2,0)))</f>
        <v>0</v>
      </c>
      <c r="B24" s="20"/>
      <c r="C24" s="12" t="s">
        <v>80</v>
      </c>
      <c r="D24" s="12" t="s">
        <v>147</v>
      </c>
      <c r="E24" s="12" t="s">
        <v>8</v>
      </c>
      <c r="F24" s="64" t="s">
        <v>146</v>
      </c>
      <c r="G24" s="62"/>
      <c r="H24" s="62"/>
      <c r="I24" s="62"/>
      <c r="J24" s="62"/>
      <c r="K24" s="62"/>
      <c r="L24" s="62"/>
      <c r="M24" s="62"/>
      <c r="N24" s="62"/>
      <c r="O24" s="62"/>
      <c r="P24" s="60"/>
    </row>
    <row r="25" spans="1:16" ht="26" customHeight="1" x14ac:dyDescent="0.2">
      <c r="A25" s="12">
        <f>IF(C25="","",INDEX('Summary-Fundraise'!$A$3:$Q$75,MATCH($C25,'Summary-Fundraise'!$A$3:$A$75,0),MATCH(A$3,'Summary-Fundraise'!$A$2:$Q$2,0)))</f>
        <v>0</v>
      </c>
      <c r="B25" s="20"/>
      <c r="C25" s="12" t="s">
        <v>82</v>
      </c>
      <c r="D25" s="12" t="s">
        <v>147</v>
      </c>
      <c r="E25" s="12" t="s">
        <v>2</v>
      </c>
      <c r="F25" s="64" t="s">
        <v>148</v>
      </c>
      <c r="G25" s="62"/>
      <c r="H25" s="62"/>
      <c r="I25" s="62"/>
      <c r="J25" s="62"/>
      <c r="K25" s="62"/>
      <c r="L25" s="62"/>
      <c r="M25" s="62"/>
      <c r="N25" s="62"/>
      <c r="O25" s="62"/>
      <c r="P25" s="60"/>
    </row>
    <row r="26" spans="1:16" ht="26" customHeight="1" x14ac:dyDescent="0.2">
      <c r="A26" s="12">
        <f>IF(C26="","",INDEX('Summary-Fundraise'!$A$3:$Q$75,MATCH($C26,'Summary-Fundraise'!$A$3:$A$75,0),MATCH(A$3,'Summary-Fundraise'!$A$2:$Q$2,0)))</f>
        <v>1</v>
      </c>
      <c r="B26" s="20">
        <v>45047</v>
      </c>
      <c r="C26" s="12" t="s">
        <v>49</v>
      </c>
      <c r="D26" s="12" t="s">
        <v>149</v>
      </c>
      <c r="E26" s="12" t="s">
        <v>2</v>
      </c>
      <c r="F26" s="64" t="s">
        <v>146</v>
      </c>
      <c r="G26" s="62"/>
      <c r="H26" s="62"/>
      <c r="I26" s="62"/>
      <c r="J26" s="62"/>
      <c r="K26" s="62"/>
      <c r="L26" s="62"/>
      <c r="M26" s="62"/>
      <c r="N26" s="62"/>
      <c r="O26" s="62"/>
      <c r="P26" s="60" t="s">
        <v>150</v>
      </c>
    </row>
    <row r="27" spans="1:16" ht="26" customHeight="1" x14ac:dyDescent="0.2">
      <c r="A27" s="12">
        <f>IF(C27="","",INDEX('Summary-Fundraise'!$A$3:$Q$75,MATCH($C27,'Summary-Fundraise'!$A$3:$A$75,0),MATCH(A$3,'Summary-Fundraise'!$A$2:$Q$2,0)))</f>
        <v>1</v>
      </c>
      <c r="B27" s="20">
        <v>45036</v>
      </c>
      <c r="C27" s="12" t="s">
        <v>51</v>
      </c>
      <c r="D27" s="12" t="s">
        <v>149</v>
      </c>
      <c r="E27" s="12" t="s">
        <v>2</v>
      </c>
      <c r="F27" s="64" t="s">
        <v>146</v>
      </c>
      <c r="G27" s="62"/>
      <c r="H27" s="62"/>
      <c r="I27" s="62"/>
      <c r="J27" s="62"/>
      <c r="K27" s="62"/>
      <c r="L27" s="62"/>
      <c r="M27" s="62"/>
      <c r="N27" s="62"/>
      <c r="O27" s="62"/>
      <c r="P27" s="60" t="s">
        <v>151</v>
      </c>
    </row>
    <row r="28" spans="1:16" ht="26" customHeight="1" x14ac:dyDescent="0.2">
      <c r="A28" s="12">
        <f>IF(C28="","",INDEX('Summary-Fundraise'!$A$3:$Q$75,MATCH($C28,'Summary-Fundraise'!$A$3:$A$75,0),MATCH(A$3,'Summary-Fundraise'!$A$2:$Q$2,0)))</f>
        <v>1</v>
      </c>
      <c r="B28" s="20">
        <v>45028</v>
      </c>
      <c r="C28" s="12" t="s">
        <v>52</v>
      </c>
      <c r="D28" s="12" t="s">
        <v>149</v>
      </c>
      <c r="E28" s="12" t="s">
        <v>2</v>
      </c>
      <c r="F28" s="64" t="s">
        <v>146</v>
      </c>
      <c r="G28" s="62"/>
      <c r="H28" s="62"/>
      <c r="I28" s="62"/>
      <c r="J28" s="62"/>
      <c r="K28" s="62"/>
      <c r="L28" s="62"/>
      <c r="M28" s="62"/>
      <c r="N28" s="62"/>
      <c r="O28" s="62"/>
      <c r="P28" s="60" t="s">
        <v>152</v>
      </c>
    </row>
    <row r="29" spans="1:16" ht="26" customHeight="1" x14ac:dyDescent="0.2">
      <c r="A29" s="12">
        <f>IF(C29="","",INDEX('Summary-Fundraise'!$A$3:$Q$75,MATCH($C29,'Summary-Fundraise'!$A$3:$A$75,0),MATCH(A$3,'Summary-Fundraise'!$A$2:$Q$2,0)))</f>
        <v>1</v>
      </c>
      <c r="B29" s="20">
        <v>45047</v>
      </c>
      <c r="C29" s="12" t="s">
        <v>53</v>
      </c>
      <c r="D29" s="12" t="s">
        <v>149</v>
      </c>
      <c r="E29" s="12" t="s">
        <v>2</v>
      </c>
      <c r="F29" s="64" t="s">
        <v>146</v>
      </c>
      <c r="G29" s="62"/>
      <c r="H29" s="62"/>
      <c r="I29" s="62"/>
      <c r="J29" s="62"/>
      <c r="K29" s="62"/>
      <c r="L29" s="62"/>
      <c r="M29" s="62"/>
      <c r="N29" s="62"/>
      <c r="O29" s="62"/>
      <c r="P29" s="60" t="s">
        <v>153</v>
      </c>
    </row>
    <row r="30" spans="1:16" ht="26" customHeight="1" x14ac:dyDescent="0.2">
      <c r="A30" s="12">
        <f>IF(C30="","",INDEX('Summary-Fundraise'!$A$3:$Q$75,MATCH($C30,'Summary-Fundraise'!$A$3:$A$75,0),MATCH(A$3,'Summary-Fundraise'!$A$2:$Q$2,0)))</f>
        <v>1</v>
      </c>
      <c r="B30" s="20">
        <v>45058</v>
      </c>
      <c r="C30" s="12" t="s">
        <v>54</v>
      </c>
      <c r="D30" s="12" t="s">
        <v>145</v>
      </c>
      <c r="E30" s="12" t="s">
        <v>10</v>
      </c>
      <c r="F30" s="64" t="s">
        <v>148</v>
      </c>
      <c r="G30" s="62"/>
      <c r="H30" s="62"/>
      <c r="I30" s="62"/>
      <c r="J30" s="62"/>
      <c r="K30" s="62"/>
      <c r="L30" s="62"/>
      <c r="M30" s="62"/>
      <c r="N30" s="62"/>
      <c r="O30" s="62"/>
      <c r="P30" s="60" t="s">
        <v>154</v>
      </c>
    </row>
    <row r="31" spans="1:16" ht="26" customHeight="1" x14ac:dyDescent="0.2">
      <c r="A31" s="12">
        <f>IF(C31="","",INDEX('Summary-Fundraise'!$A$3:$Q$75,MATCH($C31,'Summary-Fundraise'!$A$3:$A$75,0),MATCH(A$3,'Summary-Fundraise'!$A$2:$Q$2,0)))</f>
        <v>1</v>
      </c>
      <c r="B31" s="20">
        <v>45053</v>
      </c>
      <c r="C31" s="12" t="s">
        <v>55</v>
      </c>
      <c r="D31" s="12" t="s">
        <v>145</v>
      </c>
      <c r="E31" s="12" t="s">
        <v>10</v>
      </c>
      <c r="F31" s="64" t="s">
        <v>148</v>
      </c>
      <c r="G31" s="62"/>
      <c r="H31" s="62"/>
      <c r="I31" s="62"/>
      <c r="J31" s="62"/>
      <c r="K31" s="62"/>
      <c r="L31" s="62"/>
      <c r="M31" s="62"/>
      <c r="N31" s="62"/>
      <c r="O31" s="62"/>
      <c r="P31" s="60"/>
    </row>
    <row r="32" spans="1:16" ht="26" customHeight="1" x14ac:dyDescent="0.2">
      <c r="A32" s="12">
        <f>IF(C32="","",INDEX('Summary-Fundraise'!$A$3:$Q$75,MATCH($C32,'Summary-Fundraise'!$A$3:$A$75,0),MATCH(A$3,'Summary-Fundraise'!$A$2:$Q$2,0)))</f>
        <v>1</v>
      </c>
      <c r="B32" s="20"/>
      <c r="C32" s="12" t="s">
        <v>57</v>
      </c>
      <c r="D32" s="12" t="s">
        <v>145</v>
      </c>
      <c r="E32" s="12" t="s">
        <v>10</v>
      </c>
      <c r="F32" s="64" t="s">
        <v>146</v>
      </c>
      <c r="G32" s="62"/>
      <c r="H32" s="62"/>
      <c r="I32" s="62"/>
      <c r="J32" s="62"/>
      <c r="K32" s="62"/>
      <c r="L32" s="62"/>
      <c r="M32" s="62"/>
      <c r="N32" s="62"/>
      <c r="O32" s="62"/>
      <c r="P32" s="60"/>
    </row>
    <row r="33" spans="1:16" ht="26" customHeight="1" x14ac:dyDescent="0.2">
      <c r="A33" s="12">
        <f>IF(C33="","",INDEX('Summary-Fundraise'!$A$3:$Q$75,MATCH($C33,'Summary-Fundraise'!$A$3:$A$75,0),MATCH(A$3,'Summary-Fundraise'!$A$2:$Q$2,0)))</f>
        <v>1</v>
      </c>
      <c r="B33" s="20"/>
      <c r="C33" s="12" t="s">
        <v>60</v>
      </c>
      <c r="D33" s="12" t="s">
        <v>145</v>
      </c>
      <c r="E33" s="12" t="s">
        <v>10</v>
      </c>
      <c r="F33" s="64" t="s">
        <v>146</v>
      </c>
      <c r="G33" s="62"/>
      <c r="H33" s="62"/>
      <c r="I33" s="62"/>
      <c r="J33" s="62"/>
      <c r="K33" s="62"/>
      <c r="L33" s="62"/>
      <c r="M33" s="62"/>
      <c r="N33" s="62"/>
      <c r="O33" s="62"/>
      <c r="P33" s="60"/>
    </row>
    <row r="34" spans="1:16" ht="26" customHeight="1" x14ac:dyDescent="0.2">
      <c r="A34" s="12">
        <f>IF(C34="","",INDEX('Summary-Fundraise'!$A$3:$Q$75,MATCH($C34,'Summary-Fundraise'!$A$3:$A$75,0),MATCH(A$3,'Summary-Fundraise'!$A$2:$Q$2,0)))</f>
        <v>1</v>
      </c>
      <c r="B34" s="20">
        <v>44999</v>
      </c>
      <c r="C34" s="12" t="s">
        <v>56</v>
      </c>
      <c r="D34" s="12" t="s">
        <v>149</v>
      </c>
      <c r="E34" s="12" t="s">
        <v>2</v>
      </c>
      <c r="F34" s="64" t="s">
        <v>148</v>
      </c>
      <c r="G34" s="62"/>
      <c r="H34" s="62"/>
      <c r="I34" s="62"/>
      <c r="J34" s="62"/>
      <c r="K34" s="62"/>
      <c r="L34" s="62"/>
      <c r="M34" s="62"/>
      <c r="N34" s="62"/>
      <c r="O34" s="62"/>
      <c r="P34" s="60" t="s">
        <v>155</v>
      </c>
    </row>
    <row r="35" spans="1:16" ht="26" customHeight="1" x14ac:dyDescent="0.2">
      <c r="A35" s="12">
        <f>IF(C35="","",INDEX('Summary-Fundraise'!$A$3:$Q$75,MATCH($C35,'Summary-Fundraise'!$A$3:$A$75,0),MATCH(A$3,'Summary-Fundraise'!$A$2:$Q$2,0)))</f>
        <v>1</v>
      </c>
      <c r="B35" s="20"/>
      <c r="C35" s="12" t="s">
        <v>59</v>
      </c>
      <c r="D35" s="12" t="s">
        <v>147</v>
      </c>
      <c r="E35" s="12" t="s">
        <v>2</v>
      </c>
      <c r="F35" s="64" t="s">
        <v>146</v>
      </c>
      <c r="G35" s="62"/>
      <c r="H35" s="62"/>
      <c r="I35" s="62"/>
      <c r="J35" s="62"/>
      <c r="K35" s="62"/>
      <c r="L35" s="62"/>
      <c r="M35" s="62"/>
      <c r="N35" s="62"/>
      <c r="O35" s="62"/>
      <c r="P35" s="60" t="s">
        <v>156</v>
      </c>
    </row>
    <row r="36" spans="1:16" ht="26" customHeight="1" x14ac:dyDescent="0.2">
      <c r="A36" s="12">
        <f>IF(C36="","",INDEX('Summary-Fundraise'!$A$3:$Q$75,MATCH($C36,'Summary-Fundraise'!$A$3:$A$75,0),MATCH(A$3,'Summary-Fundraise'!$A$2:$Q$2,0)))</f>
        <v>2</v>
      </c>
      <c r="B36" s="20">
        <v>45036</v>
      </c>
      <c r="C36" s="12" t="s">
        <v>46</v>
      </c>
      <c r="D36" s="12" t="s">
        <v>149</v>
      </c>
      <c r="E36" s="12" t="s">
        <v>2</v>
      </c>
      <c r="F36" s="64" t="s">
        <v>148</v>
      </c>
      <c r="G36" s="62" t="s">
        <v>157</v>
      </c>
      <c r="H36" s="62"/>
      <c r="I36" s="62"/>
      <c r="J36" s="62"/>
      <c r="K36" s="62"/>
      <c r="L36" s="62"/>
      <c r="M36" s="62"/>
      <c r="N36" s="62"/>
      <c r="O36" s="62"/>
      <c r="P36" s="60" t="s">
        <v>158</v>
      </c>
    </row>
    <row r="37" spans="1:16" ht="26" customHeight="1" x14ac:dyDescent="0.2">
      <c r="A37" s="12">
        <f>IF(C37="","",INDEX('Summary-Fundraise'!$A$3:$Q$75,MATCH($C37,'Summary-Fundraise'!$A$3:$A$75,0),MATCH(A$3,'Summary-Fundraise'!$A$2:$Q$2,0)))</f>
        <v>2</v>
      </c>
      <c r="B37" s="20">
        <v>45031</v>
      </c>
      <c r="C37" s="12" t="s">
        <v>44</v>
      </c>
      <c r="D37" s="12" t="s">
        <v>149</v>
      </c>
      <c r="E37" s="12" t="s">
        <v>2</v>
      </c>
      <c r="F37" s="64" t="s">
        <v>146</v>
      </c>
      <c r="G37" s="62"/>
      <c r="H37" s="62"/>
      <c r="I37" s="62"/>
      <c r="J37" s="62"/>
      <c r="K37" s="62"/>
      <c r="L37" s="62"/>
      <c r="M37" s="62"/>
      <c r="N37" s="62"/>
      <c r="O37" s="62"/>
      <c r="P37" s="60" t="s">
        <v>159</v>
      </c>
    </row>
    <row r="38" spans="1:16" ht="26" customHeight="1" x14ac:dyDescent="0.2">
      <c r="A38" s="12">
        <f>IF(C38="","",INDEX('Summary-Fundraise'!$A$3:$Q$75,MATCH($C38,'Summary-Fundraise'!$A$3:$A$75,0),MATCH(A$3,'Summary-Fundraise'!$A$2:$Q$2,0)))</f>
        <v>2</v>
      </c>
      <c r="B38" s="20">
        <v>45031</v>
      </c>
      <c r="C38" s="12" t="s">
        <v>45</v>
      </c>
      <c r="D38" s="12" t="s">
        <v>149</v>
      </c>
      <c r="E38" s="12" t="s">
        <v>2</v>
      </c>
      <c r="F38" s="64" t="s">
        <v>146</v>
      </c>
      <c r="G38" s="62"/>
      <c r="H38" s="62"/>
      <c r="I38" s="62"/>
      <c r="J38" s="62"/>
      <c r="K38" s="62"/>
      <c r="L38" s="62"/>
      <c r="M38" s="62"/>
      <c r="N38" s="62"/>
      <c r="O38" s="62"/>
      <c r="P38" s="60" t="s">
        <v>160</v>
      </c>
    </row>
    <row r="39" spans="1:16" ht="26" customHeight="1" x14ac:dyDescent="0.2">
      <c r="A39" s="12">
        <f>IF(C39="","",INDEX('Summary-Fundraise'!$A$3:$Q$75,MATCH($C39,'Summary-Fundraise'!$A$3:$A$75,0),MATCH(A$3,'Summary-Fundraise'!$A$2:$Q$2,0)))</f>
        <v>2</v>
      </c>
      <c r="B39" s="20">
        <v>45047</v>
      </c>
      <c r="C39" s="12" t="s">
        <v>43</v>
      </c>
      <c r="D39" s="12" t="s">
        <v>149</v>
      </c>
      <c r="E39" s="12" t="s">
        <v>2</v>
      </c>
      <c r="F39" s="64" t="s">
        <v>146</v>
      </c>
      <c r="G39" s="62"/>
      <c r="H39" s="62"/>
      <c r="I39" s="62"/>
      <c r="J39" s="62"/>
      <c r="K39" s="62"/>
      <c r="L39" s="62"/>
      <c r="M39" s="62"/>
      <c r="N39" s="62"/>
      <c r="O39" s="62"/>
      <c r="P39" s="60" t="s">
        <v>161</v>
      </c>
    </row>
    <row r="40" spans="1:16" ht="26" customHeight="1" x14ac:dyDescent="0.2">
      <c r="A40" s="12">
        <f>IF(C40="","",INDEX('Summary-Fundraise'!$A$3:$Q$75,MATCH($C40,'Summary-Fundraise'!$A$3:$A$75,0),MATCH(A$3,'Summary-Fundraise'!$A$2:$Q$2,0)))</f>
        <v>2</v>
      </c>
      <c r="B40" s="20">
        <v>45031</v>
      </c>
      <c r="C40" s="12" t="s">
        <v>41</v>
      </c>
      <c r="D40" s="12" t="s">
        <v>149</v>
      </c>
      <c r="E40" s="12" t="s">
        <v>2</v>
      </c>
      <c r="F40" s="64" t="s">
        <v>146</v>
      </c>
      <c r="G40" s="62"/>
      <c r="H40" s="62"/>
      <c r="I40" s="62"/>
      <c r="J40" s="62"/>
      <c r="K40" s="62"/>
      <c r="L40" s="62"/>
      <c r="M40" s="62"/>
      <c r="N40" s="62"/>
      <c r="O40" s="62"/>
      <c r="P40" s="60" t="s">
        <v>162</v>
      </c>
    </row>
    <row r="41" spans="1:16" ht="26" customHeight="1" x14ac:dyDescent="0.2">
      <c r="A41" s="12">
        <f>IF(C41="","",INDEX('Summary-Fundraise'!$A$3:$Q$75,MATCH($C41,'Summary-Fundraise'!$A$3:$A$75,0),MATCH(A$3,'Summary-Fundraise'!$A$2:$Q$2,0)))</f>
        <v>2</v>
      </c>
      <c r="B41" s="20">
        <v>45097</v>
      </c>
      <c r="C41" s="12" t="s">
        <v>42</v>
      </c>
      <c r="D41" s="12" t="s">
        <v>149</v>
      </c>
      <c r="E41" s="12" t="s">
        <v>2</v>
      </c>
      <c r="F41" s="64" t="s">
        <v>146</v>
      </c>
      <c r="G41" s="62"/>
      <c r="H41" s="62"/>
      <c r="I41" s="62"/>
      <c r="J41" s="62"/>
      <c r="K41" s="62"/>
      <c r="L41" s="62"/>
      <c r="M41" s="62"/>
      <c r="N41" s="62"/>
      <c r="O41" s="62"/>
      <c r="P41" s="61" t="s">
        <v>163</v>
      </c>
    </row>
    <row r="42" spans="1:16" ht="26" customHeight="1" x14ac:dyDescent="0.2">
      <c r="A42" s="12">
        <f>IF(C42="","",INDEX('Summary-Fundraise'!$A$3:$Q$75,MATCH($C42,'Summary-Fundraise'!$A$3:$A$75,0),MATCH(A$3,'Summary-Fundraise'!$A$2:$Q$2,0)))</f>
        <v>2</v>
      </c>
      <c r="B42" s="20">
        <v>45022</v>
      </c>
      <c r="C42" s="12" t="s">
        <v>38</v>
      </c>
      <c r="D42" s="12" t="s">
        <v>149</v>
      </c>
      <c r="E42" s="12" t="s">
        <v>2</v>
      </c>
      <c r="F42" s="64" t="s">
        <v>146</v>
      </c>
      <c r="G42" s="62"/>
      <c r="H42" s="62"/>
      <c r="I42" s="62"/>
      <c r="J42" s="62"/>
      <c r="K42" s="62"/>
      <c r="L42" s="62"/>
      <c r="M42" s="62"/>
      <c r="N42" s="62"/>
      <c r="O42" s="62"/>
      <c r="P42" s="60" t="s">
        <v>164</v>
      </c>
    </row>
    <row r="43" spans="1:16" ht="26" customHeight="1" x14ac:dyDescent="0.2">
      <c r="A43" s="12">
        <f>IF(C43="","",INDEX('Summary-Fundraise'!$A$3:$Q$75,MATCH($C43,'Summary-Fundraise'!$A$3:$A$75,0),MATCH(A$3,'Summary-Fundraise'!$A$2:$Q$2,0)))</f>
        <v>2</v>
      </c>
      <c r="B43" s="20"/>
      <c r="C43" s="12" t="s">
        <v>48</v>
      </c>
      <c r="D43" s="12" t="s">
        <v>149</v>
      </c>
      <c r="E43" s="12" t="s">
        <v>2</v>
      </c>
      <c r="F43" s="64" t="s">
        <v>146</v>
      </c>
      <c r="G43" s="62"/>
      <c r="H43" s="62"/>
      <c r="I43" s="62"/>
      <c r="J43" s="62"/>
      <c r="K43" s="62"/>
      <c r="L43" s="62"/>
      <c r="M43" s="62"/>
      <c r="N43" s="62"/>
      <c r="O43" s="62"/>
      <c r="P43" s="61"/>
    </row>
    <row r="44" spans="1:16" ht="26" customHeight="1" x14ac:dyDescent="0.2">
      <c r="A44" s="12">
        <f>IF(C44="","",INDEX('Summary-Fundraise'!$A$3:$Q$75,MATCH($C44,'Summary-Fundraise'!$A$3:$A$75,0),MATCH(A$3,'Summary-Fundraise'!$A$2:$Q$2,0)))</f>
        <v>3</v>
      </c>
      <c r="B44" s="20">
        <v>45045</v>
      </c>
      <c r="C44" s="12" t="s">
        <v>34</v>
      </c>
      <c r="D44" s="12" t="s">
        <v>149</v>
      </c>
      <c r="E44" s="12" t="s">
        <v>2</v>
      </c>
      <c r="F44" s="64" t="s">
        <v>146</v>
      </c>
      <c r="G44" s="62"/>
      <c r="H44" s="62"/>
      <c r="I44" s="62"/>
      <c r="J44" s="62"/>
      <c r="K44" s="62"/>
      <c r="L44" s="62"/>
      <c r="M44" s="62"/>
      <c r="N44" s="62"/>
      <c r="O44" s="62"/>
      <c r="P44" s="61" t="s">
        <v>165</v>
      </c>
    </row>
    <row r="45" spans="1:16" ht="26" customHeight="1" x14ac:dyDescent="0.2">
      <c r="A45" s="12">
        <f>IF(C45="","",INDEX('Summary-Fundraise'!$A$3:$Q$75,MATCH($C45,'Summary-Fundraise'!$A$3:$A$75,0),MATCH(A$3,'Summary-Fundraise'!$A$2:$Q$2,0)))</f>
        <v>3</v>
      </c>
      <c r="B45" s="20"/>
      <c r="C45" s="12" t="s">
        <v>36</v>
      </c>
      <c r="D45" s="12" t="s">
        <v>145</v>
      </c>
      <c r="E45" s="12" t="s">
        <v>2</v>
      </c>
      <c r="F45" s="64" t="s">
        <v>146</v>
      </c>
      <c r="G45" s="62"/>
      <c r="H45" s="62"/>
      <c r="I45" s="62"/>
      <c r="J45" s="62"/>
      <c r="K45" s="62"/>
      <c r="L45" s="62"/>
      <c r="M45" s="62"/>
      <c r="N45" s="62"/>
      <c r="O45" s="62"/>
      <c r="P45" s="60" t="s">
        <v>166</v>
      </c>
    </row>
    <row r="46" spans="1:16" ht="26" customHeight="1" x14ac:dyDescent="0.2">
      <c r="A46" s="12">
        <f>IF(C46="","",INDEX('Summary-Fundraise'!$A$3:$Q$75,MATCH($C46,'Summary-Fundraise'!$A$3:$A$75,0),MATCH(A$3,'Summary-Fundraise'!$A$2:$Q$2,0)))</f>
        <v>3</v>
      </c>
      <c r="B46" s="20"/>
      <c r="C46" s="12" t="s">
        <v>37</v>
      </c>
      <c r="D46" s="12" t="s">
        <v>145</v>
      </c>
      <c r="E46" s="12" t="s">
        <v>2</v>
      </c>
      <c r="F46" s="64" t="s">
        <v>146</v>
      </c>
      <c r="G46" s="62"/>
      <c r="H46" s="62"/>
      <c r="I46" s="62"/>
      <c r="J46" s="62"/>
      <c r="K46" s="62"/>
      <c r="L46" s="62"/>
      <c r="M46" s="62"/>
      <c r="N46" s="62"/>
      <c r="O46" s="62"/>
      <c r="P46" s="60" t="s">
        <v>167</v>
      </c>
    </row>
    <row r="47" spans="1:16" ht="26" customHeight="1" x14ac:dyDescent="0.2">
      <c r="A47" s="12">
        <f>IF(C47="","",INDEX('Summary-Fundraise'!$A$3:$Q$75,MATCH($C47,'Summary-Fundraise'!$A$3:$A$75,0),MATCH(A$3,'Summary-Fundraise'!$A$2:$Q$2,0)))</f>
        <v>5</v>
      </c>
      <c r="B47" s="20"/>
      <c r="C47" s="12" t="s">
        <v>30</v>
      </c>
      <c r="D47" s="12" t="s">
        <v>145</v>
      </c>
      <c r="E47" s="12" t="s">
        <v>168</v>
      </c>
      <c r="F47" s="64" t="s">
        <v>148</v>
      </c>
      <c r="G47" s="62"/>
      <c r="H47" s="62"/>
      <c r="I47" s="62"/>
      <c r="J47" s="62"/>
      <c r="K47" s="62"/>
      <c r="L47" s="62"/>
      <c r="M47" s="62"/>
      <c r="N47" s="62"/>
      <c r="O47" s="62"/>
      <c r="P47" s="60" t="s">
        <v>169</v>
      </c>
    </row>
    <row r="48" spans="1:16" ht="26" customHeight="1" x14ac:dyDescent="0.2">
      <c r="A48" s="12">
        <f>IF(C48="","",INDEX('Summary-Fundraise'!$A$3:$Q$75,MATCH($C48,'Summary-Fundraise'!$A$3:$A$75,0),MATCH(A$3,'Summary-Fundraise'!$A$2:$Q$2,0)))</f>
        <v>6</v>
      </c>
      <c r="B48" s="20">
        <v>44995</v>
      </c>
      <c r="C48" s="12" t="s">
        <v>26</v>
      </c>
      <c r="D48" s="12" t="s">
        <v>149</v>
      </c>
      <c r="E48" s="12" t="s">
        <v>2</v>
      </c>
      <c r="F48" s="64" t="s">
        <v>146</v>
      </c>
      <c r="G48" s="62"/>
      <c r="H48" s="62"/>
      <c r="I48" s="62"/>
      <c r="J48" s="62"/>
      <c r="K48" s="62"/>
      <c r="L48" s="62"/>
      <c r="M48" s="62"/>
      <c r="N48" s="62"/>
      <c r="O48" s="62"/>
      <c r="P48" s="60" t="s">
        <v>170</v>
      </c>
    </row>
    <row r="49" spans="1:16" ht="26" customHeight="1" x14ac:dyDescent="0.2">
      <c r="A49" s="12">
        <f>IF(C49="","",INDEX('Summary-Fundraise'!$A$3:$Q$75,MATCH($C49,'Summary-Fundraise'!$A$3:$A$75,0),MATCH(A$3,'Summary-Fundraise'!$A$2:$Q$2,0)))</f>
        <v>0</v>
      </c>
      <c r="B49" s="20">
        <v>45320</v>
      </c>
      <c r="C49" s="12" t="s">
        <v>84</v>
      </c>
      <c r="D49" s="12" t="s">
        <v>4</v>
      </c>
      <c r="E49" s="12"/>
      <c r="F49" s="64" t="s">
        <v>171</v>
      </c>
      <c r="G49" s="62"/>
      <c r="H49" s="62"/>
      <c r="I49" s="62"/>
      <c r="J49" s="62"/>
      <c r="K49" s="62"/>
      <c r="L49" s="62"/>
      <c r="M49" s="62"/>
      <c r="N49" s="62"/>
      <c r="O49" s="62"/>
      <c r="P49" s="60" t="s">
        <v>172</v>
      </c>
    </row>
    <row r="50" spans="1:16" s="28" customFormat="1" ht="26" customHeight="1" x14ac:dyDescent="0.15">
      <c r="A50" s="12" t="e">
        <f>IF(C50="","",INDEX('Summary-Fundraise'!$A$3:$Q$75,MATCH($C50,'Summary-Fundraise'!$A$3:$A$75,0),MATCH(A$3,'Summary-Fundraise'!$A$2:$Q$2,0)))</f>
        <v>#N/A</v>
      </c>
      <c r="B50" s="26"/>
      <c r="C50" s="27" t="s">
        <v>115</v>
      </c>
      <c r="D50" s="25" t="s">
        <v>4</v>
      </c>
      <c r="E50" s="25"/>
      <c r="F50" s="65" t="s">
        <v>171</v>
      </c>
      <c r="G50" s="63"/>
      <c r="H50" s="63"/>
      <c r="I50" s="63"/>
      <c r="J50" s="63"/>
      <c r="K50" s="63"/>
      <c r="L50" s="63"/>
      <c r="M50" s="63"/>
      <c r="N50" s="63"/>
      <c r="O50" s="63"/>
      <c r="P50" s="29" t="s">
        <v>173</v>
      </c>
    </row>
    <row r="51" spans="1:16" ht="26" customHeight="1" x14ac:dyDescent="0.2">
      <c r="A51" s="12">
        <f>IF(C51="","",INDEX('Summary-Fundraise'!$A$3:$Q$75,MATCH($C51,'Summary-Fundraise'!$A$3:$A$75,0),MATCH(A$3,'Summary-Fundraise'!$A$2:$Q$2,0)))</f>
        <v>0</v>
      </c>
      <c r="B51" s="20"/>
      <c r="C51" s="12" t="s">
        <v>85</v>
      </c>
      <c r="D51" s="12" t="s">
        <v>4</v>
      </c>
      <c r="E51" s="12"/>
      <c r="F51" s="64" t="s">
        <v>171</v>
      </c>
      <c r="G51" s="62"/>
      <c r="H51" s="62"/>
      <c r="I51" s="62"/>
      <c r="J51" s="62"/>
      <c r="K51" s="62"/>
      <c r="L51" s="62"/>
      <c r="M51" s="62"/>
      <c r="N51" s="62"/>
      <c r="O51" s="62"/>
      <c r="P51" s="60" t="s">
        <v>174</v>
      </c>
    </row>
    <row r="52" spans="1:16" ht="26" customHeight="1" x14ac:dyDescent="0.2">
      <c r="A52" s="12">
        <f>IF(C52="","",INDEX('Summary-Fundraise'!$A$3:$Q$75,MATCH($C52,'Summary-Fundraise'!$A$3:$A$75,0),MATCH(A$3,'Summary-Fundraise'!$A$2:$Q$2,0)))</f>
        <v>0</v>
      </c>
      <c r="B52" s="20"/>
      <c r="C52" s="12" t="s">
        <v>86</v>
      </c>
      <c r="D52" s="12" t="s">
        <v>4</v>
      </c>
      <c r="E52" s="12"/>
      <c r="F52" s="64" t="s">
        <v>171</v>
      </c>
      <c r="G52" s="62"/>
      <c r="H52" s="62"/>
      <c r="I52" s="62"/>
      <c r="J52" s="62"/>
      <c r="K52" s="62"/>
      <c r="L52" s="62"/>
      <c r="M52" s="62"/>
      <c r="N52" s="62"/>
      <c r="O52" s="62"/>
      <c r="P52" s="60" t="s">
        <v>175</v>
      </c>
    </row>
    <row r="53" spans="1:16" ht="26" customHeight="1" x14ac:dyDescent="0.2">
      <c r="A53" s="12">
        <f>IF(C53="","",INDEX('Summary-Fundraise'!$A$3:$Q$75,MATCH($C53,'Summary-Fundraise'!$A$3:$A$75,0),MATCH(A$3,'Summary-Fundraise'!$A$2:$Q$2,0)))</f>
        <v>0</v>
      </c>
      <c r="B53" s="20"/>
      <c r="C53" s="12" t="s">
        <v>77</v>
      </c>
      <c r="D53" s="12" t="s">
        <v>4</v>
      </c>
      <c r="E53" s="12"/>
      <c r="F53" s="64" t="s">
        <v>171</v>
      </c>
      <c r="G53" s="62"/>
      <c r="H53" s="62"/>
      <c r="I53" s="62"/>
      <c r="J53" s="62"/>
      <c r="K53" s="62"/>
      <c r="L53" s="62"/>
      <c r="M53" s="62"/>
      <c r="N53" s="62"/>
      <c r="O53" s="62"/>
      <c r="P53" s="60"/>
    </row>
    <row r="54" spans="1:16" ht="26" customHeight="1" x14ac:dyDescent="0.2">
      <c r="A54" s="12">
        <f>IF(C54="","",INDEX('Summary-Fundraise'!$A$3:$Q$75,MATCH($C54,'Summary-Fundraise'!$A$3:$A$75,0),MATCH(A$3,'Summary-Fundraise'!$A$2:$Q$2,0)))</f>
        <v>0</v>
      </c>
      <c r="B54" s="20"/>
      <c r="C54" s="18" t="s">
        <v>87</v>
      </c>
      <c r="D54" s="12" t="s">
        <v>4</v>
      </c>
      <c r="E54" s="12"/>
      <c r="F54" s="64" t="s">
        <v>171</v>
      </c>
      <c r="G54" s="62"/>
      <c r="H54" s="62"/>
      <c r="I54" s="62"/>
      <c r="J54" s="62"/>
      <c r="K54" s="62"/>
      <c r="L54" s="62"/>
      <c r="M54" s="62"/>
      <c r="N54" s="62"/>
      <c r="O54" s="62"/>
      <c r="P54" s="60"/>
    </row>
    <row r="55" spans="1:16" ht="26" customHeight="1" x14ac:dyDescent="0.2">
      <c r="A55" s="12" t="str">
        <f>IF(C55="","",INDEX('Summary-Fundraise'!$A$3:$Q$75,MATCH($C55,'Summary-Fundraise'!$A$3:$A$75,0),MATCH(A$3,'Summary-Fundraise'!$A$2:$Q$2,0)))</f>
        <v/>
      </c>
      <c r="B55" s="20"/>
      <c r="C55" s="12"/>
      <c r="D55" s="12"/>
      <c r="E55" s="12"/>
      <c r="F55" s="64"/>
      <c r="G55" s="62"/>
      <c r="H55" s="62"/>
      <c r="I55" s="62"/>
      <c r="J55" s="62"/>
      <c r="K55" s="62"/>
      <c r="L55" s="62"/>
      <c r="M55" s="62"/>
      <c r="N55" s="62"/>
      <c r="O55" s="62"/>
      <c r="P55" s="60"/>
    </row>
    <row r="56" spans="1:16" ht="26" customHeight="1" x14ac:dyDescent="0.2">
      <c r="A56" s="12" t="str">
        <f>IF(C56="","",INDEX('Summary-Fundraise'!$A$3:$Q$75,MATCH($C56,'Summary-Fundraise'!$A$3:$A$75,0),MATCH(A$3,'Summary-Fundraise'!$A$2:$Q$2,0)))</f>
        <v/>
      </c>
      <c r="B56" s="20"/>
      <c r="C56" s="12"/>
      <c r="D56" s="12"/>
      <c r="E56" s="12"/>
      <c r="F56" s="64"/>
      <c r="G56" s="62"/>
      <c r="H56" s="62"/>
      <c r="I56" s="62"/>
      <c r="J56" s="62"/>
      <c r="K56" s="62"/>
      <c r="L56" s="62"/>
      <c r="M56" s="62"/>
      <c r="N56" s="62"/>
      <c r="O56" s="62"/>
      <c r="P56" s="60"/>
    </row>
    <row r="57" spans="1:16" ht="26" customHeight="1" x14ac:dyDescent="0.2">
      <c r="A57" s="12" t="str">
        <f>IF(C57="","",INDEX('Summary-Fundraise'!$A$3:$Q$75,MATCH($C57,'Summary-Fundraise'!$A$3:$A$75,0),MATCH(A$3,'Summary-Fundraise'!$A$2:$Q$2,0)))</f>
        <v/>
      </c>
      <c r="B57" s="20"/>
      <c r="C57" s="12"/>
      <c r="D57" s="12"/>
      <c r="E57" s="12"/>
      <c r="F57" s="64"/>
      <c r="G57" s="62"/>
      <c r="H57" s="62"/>
      <c r="I57" s="62"/>
      <c r="J57" s="62"/>
      <c r="K57" s="62"/>
      <c r="L57" s="62"/>
      <c r="M57" s="62"/>
      <c r="N57" s="62"/>
      <c r="O57" s="62"/>
      <c r="P57" s="60"/>
    </row>
    <row r="58" spans="1:16" ht="26" customHeight="1" x14ac:dyDescent="0.2">
      <c r="A58" s="12" t="str">
        <f>IF(C58="","",INDEX('Summary-Fundraise'!$A$3:$Q$75,MATCH($C58,'Summary-Fundraise'!$A$3:$A$75,0),MATCH(A$3,'Summary-Fundraise'!$A$2:$Q$2,0)))</f>
        <v/>
      </c>
      <c r="B58" s="20"/>
      <c r="C58" s="12"/>
      <c r="D58" s="12"/>
      <c r="E58" s="12"/>
      <c r="F58" s="64"/>
      <c r="G58" s="62"/>
      <c r="H58" s="62"/>
      <c r="I58" s="62"/>
      <c r="J58" s="62"/>
      <c r="K58" s="62"/>
      <c r="L58" s="62"/>
      <c r="M58" s="62"/>
      <c r="N58" s="62"/>
      <c r="O58" s="62"/>
      <c r="P58" s="60"/>
    </row>
    <row r="59" spans="1:16" ht="26" customHeight="1" x14ac:dyDescent="0.2">
      <c r="A59" s="12" t="str">
        <f>IF(C59="","",INDEX('Summary-Fundraise'!$A$3:$Q$75,MATCH($C59,'Summary-Fundraise'!$A$3:$A$75,0),MATCH(A$3,'Summary-Fundraise'!$A$2:$Q$2,0)))</f>
        <v/>
      </c>
      <c r="B59" s="20"/>
      <c r="C59" s="12"/>
      <c r="D59" s="12"/>
      <c r="E59" s="12"/>
      <c r="F59" s="64"/>
      <c r="G59" s="62"/>
      <c r="H59" s="62"/>
      <c r="I59" s="62"/>
      <c r="J59" s="62"/>
      <c r="K59" s="62"/>
      <c r="L59" s="62"/>
      <c r="M59" s="62"/>
      <c r="N59" s="62"/>
      <c r="O59" s="62"/>
      <c r="P59" s="60"/>
    </row>
    <row r="60" spans="1:16" ht="26" customHeight="1" x14ac:dyDescent="0.2">
      <c r="A60" s="12" t="str">
        <f>IF(C60="","",INDEX('Summary-Fundraise'!$A$3:$Q$75,MATCH($C60,'Summary-Fundraise'!$A$3:$A$75,0),MATCH(A$3,'Summary-Fundraise'!$A$2:$Q$2,0)))</f>
        <v/>
      </c>
      <c r="B60" s="20"/>
      <c r="C60" s="12"/>
      <c r="D60" s="12"/>
      <c r="E60" s="12"/>
      <c r="F60" s="64"/>
      <c r="G60" s="62"/>
      <c r="H60" s="62"/>
      <c r="I60" s="62"/>
      <c r="J60" s="62"/>
      <c r="K60" s="62"/>
      <c r="L60" s="62"/>
      <c r="M60" s="62"/>
      <c r="N60" s="62"/>
      <c r="O60" s="62"/>
      <c r="P60" s="60"/>
    </row>
    <row r="61" spans="1:16" ht="26" customHeight="1" x14ac:dyDescent="0.2">
      <c r="A61" s="12" t="str">
        <f>IF(C61="","",INDEX('Summary-Fundraise'!$A$3:$Q$75,MATCH($C61,'Summary-Fundraise'!$A$3:$A$75,0),MATCH(A$3,'Summary-Fundraise'!$A$2:$Q$2,0)))</f>
        <v/>
      </c>
      <c r="B61" s="20"/>
      <c r="C61" s="12"/>
      <c r="D61" s="12"/>
      <c r="E61" s="12"/>
      <c r="F61" s="64"/>
      <c r="G61" s="62"/>
      <c r="H61" s="62"/>
      <c r="I61" s="62"/>
      <c r="J61" s="62"/>
      <c r="K61" s="62"/>
      <c r="L61" s="62"/>
      <c r="M61" s="62"/>
      <c r="N61" s="62"/>
      <c r="O61" s="62"/>
      <c r="P61" s="60"/>
    </row>
    <row r="62" spans="1:16" ht="26" customHeight="1" x14ac:dyDescent="0.2">
      <c r="A62" s="12" t="str">
        <f>IF(C62="","",INDEX('Summary-Fundraise'!$A$3:$Q$75,MATCH($C62,'Summary-Fundraise'!$A$3:$A$75,0),MATCH(A$3,'Summary-Fundraise'!$A$2:$Q$2,0)))</f>
        <v/>
      </c>
      <c r="B62" s="20"/>
      <c r="C62" s="12"/>
      <c r="D62" s="12"/>
      <c r="E62" s="12"/>
      <c r="F62" s="64"/>
      <c r="G62" s="62"/>
      <c r="H62" s="62"/>
      <c r="I62" s="62"/>
      <c r="J62" s="62"/>
      <c r="K62" s="62"/>
      <c r="L62" s="62"/>
      <c r="M62" s="62"/>
      <c r="N62" s="62"/>
      <c r="O62" s="62"/>
      <c r="P62" s="60"/>
    </row>
    <row r="63" spans="1:16" ht="26" customHeight="1" x14ac:dyDescent="0.2">
      <c r="A63" s="12" t="str">
        <f>IF(C63="","",INDEX('Summary-Fundraise'!$A$3:$Q$75,MATCH($C63,'Summary-Fundraise'!$A$3:$A$75,0),MATCH(A$3,'Summary-Fundraise'!$A$2:$Q$2,0)))</f>
        <v/>
      </c>
      <c r="B63" s="20"/>
      <c r="C63" s="12"/>
      <c r="D63" s="12"/>
      <c r="E63" s="12"/>
      <c r="F63" s="64"/>
      <c r="G63" s="62"/>
      <c r="H63" s="62"/>
      <c r="I63" s="62"/>
      <c r="J63" s="62"/>
      <c r="K63" s="62"/>
      <c r="L63" s="62"/>
      <c r="M63" s="62"/>
      <c r="N63" s="62"/>
      <c r="O63" s="62"/>
      <c r="P63" s="60"/>
    </row>
    <row r="64" spans="1:16" ht="26" customHeight="1" x14ac:dyDescent="0.2">
      <c r="A64" s="12" t="str">
        <f>IF(C64="","",INDEX('Summary-Fundraise'!$A$3:$Q$75,MATCH($C64,'Summary-Fundraise'!$A$3:$A$75,0),MATCH(A$3,'Summary-Fundraise'!$A$2:$Q$2,0)))</f>
        <v/>
      </c>
      <c r="B64" s="20"/>
      <c r="C64" s="12"/>
      <c r="D64" s="12"/>
      <c r="E64" s="12"/>
      <c r="F64" s="64"/>
      <c r="G64" s="62"/>
      <c r="H64" s="62"/>
      <c r="I64" s="62"/>
      <c r="J64" s="62"/>
      <c r="K64" s="62"/>
      <c r="L64" s="62"/>
      <c r="M64" s="62"/>
      <c r="N64" s="62"/>
      <c r="O64" s="62"/>
      <c r="P64" s="60"/>
    </row>
    <row r="65" spans="1:16" ht="26" customHeight="1" x14ac:dyDescent="0.2">
      <c r="A65" s="12" t="str">
        <f>IF(C65="","",INDEX('Summary-Fundraise'!$A$3:$Q$75,MATCH($C65,'Summary-Fundraise'!$A$3:$A$75,0),MATCH(A$3,'Summary-Fundraise'!$A$2:$Q$2,0)))</f>
        <v/>
      </c>
      <c r="B65" s="20"/>
      <c r="C65" s="12"/>
      <c r="D65" s="12"/>
      <c r="E65" s="12"/>
      <c r="F65" s="64"/>
      <c r="G65" s="62"/>
      <c r="H65" s="62"/>
      <c r="I65" s="62"/>
      <c r="J65" s="62"/>
      <c r="K65" s="62"/>
      <c r="L65" s="62"/>
      <c r="M65" s="62"/>
      <c r="N65" s="62"/>
      <c r="O65" s="62"/>
      <c r="P65" s="60"/>
    </row>
    <row r="66" spans="1:16" ht="26" customHeight="1" x14ac:dyDescent="0.2">
      <c r="A66" s="12" t="str">
        <f>IF(C66="","",INDEX('Summary-Fundraise'!$A$3:$Q$75,MATCH($C66,'Summary-Fundraise'!$A$3:$A$75,0),MATCH(A$3,'Summary-Fundraise'!$A$2:$Q$2,0)))</f>
        <v/>
      </c>
      <c r="B66" s="20"/>
      <c r="C66" s="12"/>
      <c r="D66" s="12"/>
      <c r="E66" s="12"/>
      <c r="F66" s="64"/>
      <c r="G66" s="62"/>
      <c r="H66" s="62"/>
      <c r="I66" s="62"/>
      <c r="J66" s="62"/>
      <c r="K66" s="62"/>
      <c r="L66" s="62"/>
      <c r="M66" s="62"/>
      <c r="N66" s="62"/>
      <c r="O66" s="62"/>
      <c r="P66" s="60"/>
    </row>
    <row r="67" spans="1:16" ht="26" customHeight="1" x14ac:dyDescent="0.2">
      <c r="A67" s="12" t="str">
        <f>IF(C67="","",INDEX('Summary-Fundraise'!$A$3:$Q$75,MATCH($C67,'Summary-Fundraise'!$A$3:$A$75,0),MATCH(A$3,'Summary-Fundraise'!$A$2:$Q$2,0)))</f>
        <v/>
      </c>
      <c r="B67" s="20"/>
      <c r="C67" s="12"/>
      <c r="D67" s="12"/>
      <c r="E67" s="12"/>
      <c r="F67" s="64"/>
      <c r="G67" s="62"/>
      <c r="H67" s="62"/>
      <c r="I67" s="62"/>
      <c r="J67" s="62"/>
      <c r="K67" s="62"/>
      <c r="L67" s="62"/>
      <c r="M67" s="62"/>
      <c r="N67" s="62"/>
      <c r="O67" s="62"/>
      <c r="P67" s="60"/>
    </row>
    <row r="68" spans="1:16" ht="26" customHeight="1" x14ac:dyDescent="0.2">
      <c r="A68" s="12" t="str">
        <f>IF(C68="","",INDEX('Summary-Fundraise'!$A$3:$Q$75,MATCH($C68,'Summary-Fundraise'!$A$3:$A$75,0),MATCH(A$3,'Summary-Fundraise'!$A$2:$Q$2,0)))</f>
        <v/>
      </c>
      <c r="B68" s="20"/>
      <c r="C68" s="12"/>
      <c r="D68" s="12"/>
      <c r="E68" s="12"/>
      <c r="F68" s="64"/>
      <c r="G68" s="62"/>
      <c r="H68" s="62"/>
      <c r="I68" s="62"/>
      <c r="J68" s="62"/>
      <c r="K68" s="62"/>
      <c r="L68" s="62"/>
      <c r="M68" s="62"/>
      <c r="N68" s="62"/>
      <c r="O68" s="62"/>
      <c r="P68" s="60"/>
    </row>
    <row r="69" spans="1:16" ht="26" customHeight="1" x14ac:dyDescent="0.2">
      <c r="A69" s="12" t="str">
        <f>IF(C69="","",INDEX('Summary-Fundraise'!$A$3:$Q$75,MATCH($C69,'Summary-Fundraise'!$A$3:$A$75,0),MATCH(A$3,'Summary-Fundraise'!$A$2:$Q$2,0)))</f>
        <v/>
      </c>
      <c r="B69" s="20"/>
      <c r="C69" s="12"/>
      <c r="D69" s="12"/>
      <c r="E69" s="12"/>
      <c r="F69" s="64"/>
      <c r="G69" s="62"/>
      <c r="H69" s="62"/>
      <c r="I69" s="62"/>
      <c r="J69" s="62"/>
      <c r="K69" s="62"/>
      <c r="L69" s="62"/>
      <c r="M69" s="62"/>
      <c r="N69" s="62"/>
      <c r="O69" s="62"/>
      <c r="P69" s="60"/>
    </row>
    <row r="70" spans="1:16" ht="26" customHeight="1" x14ac:dyDescent="0.2">
      <c r="A70" s="12" t="str">
        <f>IF(C70="","",INDEX('Summary-Fundraise'!$A$3:$Q$75,MATCH($C70,'Summary-Fundraise'!$A$3:$A$75,0),MATCH(A$3,'Summary-Fundraise'!$A$2:$Q$2,0)))</f>
        <v/>
      </c>
      <c r="B70" s="20"/>
      <c r="C70" s="12"/>
      <c r="D70" s="12"/>
      <c r="E70" s="12"/>
      <c r="F70" s="64"/>
      <c r="G70" s="62"/>
      <c r="H70" s="62"/>
      <c r="I70" s="62"/>
      <c r="J70" s="62"/>
      <c r="K70" s="62"/>
      <c r="L70" s="62"/>
      <c r="M70" s="62"/>
      <c r="N70" s="62"/>
      <c r="O70" s="62"/>
      <c r="P70" s="60"/>
    </row>
    <row r="71" spans="1:16" ht="26" customHeight="1" x14ac:dyDescent="0.2">
      <c r="A71" s="12" t="str">
        <f>IF(C71="","",INDEX('Summary-Fundraise'!$A$3:$Q$75,MATCH($C71,'Summary-Fundraise'!$A$3:$A$75,0),MATCH(A$3,'Summary-Fundraise'!$A$2:$Q$2,0)))</f>
        <v/>
      </c>
      <c r="B71" s="20"/>
      <c r="C71" s="12"/>
      <c r="D71" s="12"/>
      <c r="E71" s="12"/>
      <c r="F71" s="64"/>
      <c r="G71" s="62"/>
      <c r="H71" s="62"/>
      <c r="I71" s="62"/>
      <c r="J71" s="62"/>
      <c r="K71" s="62"/>
      <c r="L71" s="62"/>
      <c r="M71" s="62"/>
      <c r="N71" s="62"/>
      <c r="O71" s="62"/>
      <c r="P71" s="60"/>
    </row>
    <row r="72" spans="1:16" ht="26" customHeight="1" x14ac:dyDescent="0.2">
      <c r="A72" s="12" t="str">
        <f>IF(C72="","",INDEX('Summary-Fundraise'!$A$3:$Q$75,MATCH($C72,'Summary-Fundraise'!$A$3:$A$75,0),MATCH(A$3,'Summary-Fundraise'!$A$2:$Q$2,0)))</f>
        <v/>
      </c>
      <c r="B72" s="20"/>
      <c r="C72" s="12"/>
      <c r="D72" s="12"/>
      <c r="E72" s="12"/>
      <c r="F72" s="64"/>
      <c r="G72" s="62"/>
      <c r="H72" s="62"/>
      <c r="I72" s="62"/>
      <c r="J72" s="62"/>
      <c r="K72" s="62"/>
      <c r="L72" s="62"/>
      <c r="M72" s="62"/>
      <c r="N72" s="62"/>
      <c r="O72" s="62"/>
      <c r="P72" s="60"/>
    </row>
    <row r="73" spans="1:16" ht="26" customHeight="1" x14ac:dyDescent="0.2">
      <c r="A73" s="12" t="str">
        <f>IF(C73="","",INDEX('Summary-Fundraise'!$A$3:$Q$75,MATCH($C73,'Summary-Fundraise'!$A$3:$A$75,0),MATCH(A$3,'Summary-Fundraise'!$A$2:$Q$2,0)))</f>
        <v/>
      </c>
      <c r="B73" s="20"/>
      <c r="C73" s="12"/>
      <c r="D73" s="12"/>
      <c r="E73" s="12"/>
      <c r="F73" s="64"/>
      <c r="G73" s="62"/>
      <c r="H73" s="62"/>
      <c r="I73" s="62"/>
      <c r="J73" s="62"/>
      <c r="K73" s="62"/>
      <c r="L73" s="62"/>
      <c r="M73" s="62"/>
      <c r="N73" s="62"/>
      <c r="O73" s="62"/>
      <c r="P73" s="60"/>
    </row>
    <row r="74" spans="1:16" ht="26" customHeight="1" x14ac:dyDescent="0.2">
      <c r="A74" s="12" t="str">
        <f>IF(C74="","",INDEX('Summary-Fundraise'!$A$3:$Q$75,MATCH($C74,'Summary-Fundraise'!$A$3:$A$75,0),MATCH(A$3,'Summary-Fundraise'!$A$2:$Q$2,0)))</f>
        <v/>
      </c>
      <c r="B74" s="20"/>
      <c r="C74" s="12"/>
      <c r="D74" s="12"/>
      <c r="E74" s="12"/>
      <c r="F74" s="64"/>
      <c r="G74" s="62"/>
      <c r="H74" s="62"/>
      <c r="I74" s="62"/>
      <c r="J74" s="62"/>
      <c r="K74" s="62"/>
      <c r="L74" s="62"/>
      <c r="M74" s="62"/>
      <c r="N74" s="62"/>
      <c r="O74" s="62"/>
      <c r="P74" s="60"/>
    </row>
    <row r="75" spans="1:16" ht="26" customHeight="1" x14ac:dyDescent="0.2">
      <c r="A75" s="12" t="str">
        <f>IF(C75="","",INDEX('Summary-Fundraise'!$A$3:$Q$75,MATCH($C75,'Summary-Fundraise'!$A$3:$A$75,0),MATCH(A$3,'Summary-Fundraise'!$A$2:$Q$2,0)))</f>
        <v/>
      </c>
      <c r="B75" s="20"/>
      <c r="C75" s="12"/>
      <c r="D75" s="12"/>
      <c r="E75" s="12"/>
      <c r="F75" s="64"/>
      <c r="G75" s="62"/>
      <c r="H75" s="62"/>
      <c r="I75" s="62"/>
      <c r="J75" s="62"/>
      <c r="K75" s="62"/>
      <c r="L75" s="62"/>
      <c r="M75" s="62"/>
      <c r="N75" s="62"/>
      <c r="O75" s="62"/>
      <c r="P75" s="60"/>
    </row>
    <row r="76" spans="1:16" ht="26" customHeight="1" x14ac:dyDescent="0.2">
      <c r="A76" s="12" t="str">
        <f>IF(C76="","",INDEX('Summary-Fundraise'!$A$3:$Q$75,MATCH($C76,'Summary-Fundraise'!$A$3:$A$75,0),MATCH(A$3,'Summary-Fundraise'!$A$2:$Q$2,0)))</f>
        <v/>
      </c>
      <c r="B76" s="20"/>
      <c r="C76" s="12"/>
      <c r="D76" s="12"/>
      <c r="E76" s="12"/>
      <c r="F76" s="64"/>
      <c r="G76" s="62"/>
      <c r="H76" s="62"/>
      <c r="I76" s="62"/>
      <c r="J76" s="62"/>
      <c r="K76" s="62"/>
      <c r="L76" s="62"/>
      <c r="M76" s="62"/>
      <c r="N76" s="62"/>
      <c r="O76" s="62"/>
      <c r="P76" s="60"/>
    </row>
    <row r="77" spans="1:16" ht="26" customHeight="1" x14ac:dyDescent="0.2">
      <c r="A77" s="12" t="str">
        <f>IF(C77="","",INDEX('Summary-Fundraise'!$A$3:$Q$75,MATCH($C77,'Summary-Fundraise'!$A$3:$A$75,0),MATCH(A$3,'Summary-Fundraise'!$A$2:$Q$2,0)))</f>
        <v/>
      </c>
      <c r="B77" s="20"/>
      <c r="C77" s="12"/>
      <c r="D77" s="12"/>
      <c r="E77" s="12"/>
      <c r="F77" s="64"/>
      <c r="G77" s="62"/>
      <c r="H77" s="62"/>
      <c r="I77" s="62"/>
      <c r="J77" s="62"/>
      <c r="K77" s="62"/>
      <c r="L77" s="62"/>
      <c r="M77" s="62"/>
      <c r="N77" s="62"/>
      <c r="O77" s="62"/>
      <c r="P77" s="60"/>
    </row>
    <row r="78" spans="1:16" ht="26" customHeight="1" x14ac:dyDescent="0.2">
      <c r="A78" s="12" t="str">
        <f>IF(C78="","",INDEX('Summary-Fundraise'!$A$3:$Q$75,MATCH($C78,'Summary-Fundraise'!$A$3:$A$75,0),MATCH(A$3,'Summary-Fundraise'!$A$2:$Q$2,0)))</f>
        <v/>
      </c>
      <c r="B78" s="20"/>
      <c r="C78" s="12"/>
      <c r="D78" s="12"/>
      <c r="E78" s="12"/>
      <c r="F78" s="64"/>
      <c r="G78" s="62"/>
      <c r="H78" s="62"/>
      <c r="I78" s="62"/>
      <c r="J78" s="62"/>
      <c r="K78" s="62"/>
      <c r="L78" s="62"/>
      <c r="M78" s="62"/>
      <c r="N78" s="62"/>
      <c r="O78" s="62"/>
      <c r="P78" s="60"/>
    </row>
    <row r="79" spans="1:16" ht="26" customHeight="1" x14ac:dyDescent="0.2">
      <c r="A79" s="12" t="str">
        <f>IF(C79="","",INDEX('Summary-Fundraise'!$A$3:$Q$75,MATCH($C79,'Summary-Fundraise'!$A$3:$A$75,0),MATCH(A$3,'Summary-Fundraise'!$A$2:$Q$2,0)))</f>
        <v/>
      </c>
      <c r="B79" s="20"/>
      <c r="C79" s="12"/>
      <c r="D79" s="12"/>
      <c r="E79" s="12"/>
      <c r="F79" s="64"/>
      <c r="G79" s="62"/>
      <c r="H79" s="62"/>
      <c r="I79" s="62"/>
      <c r="J79" s="62"/>
      <c r="K79" s="62"/>
      <c r="L79" s="62"/>
      <c r="M79" s="62"/>
      <c r="N79" s="62"/>
      <c r="O79" s="62"/>
      <c r="P79" s="60"/>
    </row>
    <row r="80" spans="1:16" ht="26" customHeight="1" x14ac:dyDescent="0.2">
      <c r="A80" s="12" t="str">
        <f>IF(C80="","",INDEX('Summary-Fundraise'!$A$3:$Q$75,MATCH($C80,'Summary-Fundraise'!$A$3:$A$75,0),MATCH(A$3,'Summary-Fundraise'!$A$2:$Q$2,0)))</f>
        <v/>
      </c>
      <c r="B80" s="20"/>
      <c r="C80" s="12"/>
      <c r="D80" s="12"/>
      <c r="E80" s="12"/>
      <c r="F80" s="64"/>
      <c r="G80" s="62"/>
      <c r="H80" s="62"/>
      <c r="I80" s="62"/>
      <c r="J80" s="62"/>
      <c r="K80" s="62"/>
      <c r="L80" s="62"/>
      <c r="M80" s="62"/>
      <c r="N80" s="62"/>
      <c r="O80" s="62"/>
      <c r="P80" s="60"/>
    </row>
    <row r="81" spans="1:16" ht="26" customHeight="1" x14ac:dyDescent="0.2">
      <c r="A81" s="12" t="str">
        <f>IF(C81="","",INDEX('Summary-Fundraise'!$A$3:$Q$75,MATCH($C81,'Summary-Fundraise'!$A$3:$A$75,0),MATCH(A$3,'Summary-Fundraise'!$A$2:$Q$2,0)))</f>
        <v/>
      </c>
      <c r="B81" s="20"/>
      <c r="C81" s="12"/>
      <c r="D81" s="12"/>
      <c r="E81" s="12"/>
      <c r="F81" s="64"/>
      <c r="G81" s="62"/>
      <c r="H81" s="62"/>
      <c r="I81" s="62"/>
      <c r="J81" s="62"/>
      <c r="K81" s="62"/>
      <c r="L81" s="62"/>
      <c r="M81" s="62"/>
      <c r="N81" s="62"/>
      <c r="O81" s="62"/>
      <c r="P81" s="60"/>
    </row>
    <row r="82" spans="1:16" ht="26" customHeight="1" x14ac:dyDescent="0.2">
      <c r="A82" s="12" t="str">
        <f>IF(C82="","",INDEX('Summary-Fundraise'!$A$3:$Q$75,MATCH($C82,'Summary-Fundraise'!$A$3:$A$75,0),MATCH(A$3,'Summary-Fundraise'!$A$2:$Q$2,0)))</f>
        <v/>
      </c>
      <c r="B82" s="20"/>
      <c r="C82" s="12"/>
      <c r="D82" s="12"/>
      <c r="E82" s="12"/>
      <c r="F82" s="64"/>
      <c r="G82" s="62"/>
      <c r="H82" s="62"/>
      <c r="I82" s="62"/>
      <c r="J82" s="62"/>
      <c r="K82" s="62"/>
      <c r="L82" s="62"/>
      <c r="M82" s="62"/>
      <c r="N82" s="62"/>
      <c r="O82" s="62"/>
      <c r="P82" s="60"/>
    </row>
    <row r="83" spans="1:16" ht="26" customHeight="1" x14ac:dyDescent="0.2">
      <c r="A83" s="12" t="str">
        <f>IF(C83="","",INDEX('Summary-Fundraise'!$A$3:$Q$75,MATCH($C83,'Summary-Fundraise'!$A$3:$A$75,0),MATCH(A$3,'Summary-Fundraise'!$A$2:$Q$2,0)))</f>
        <v/>
      </c>
      <c r="B83" s="20"/>
      <c r="C83" s="12"/>
      <c r="D83" s="12"/>
      <c r="E83" s="12"/>
      <c r="F83" s="64"/>
      <c r="G83" s="62"/>
      <c r="H83" s="62"/>
      <c r="I83" s="62"/>
      <c r="J83" s="62"/>
      <c r="K83" s="62"/>
      <c r="L83" s="62"/>
      <c r="M83" s="62"/>
      <c r="N83" s="62"/>
      <c r="O83" s="62"/>
      <c r="P83" s="60"/>
    </row>
    <row r="84" spans="1:16" ht="26" customHeight="1" x14ac:dyDescent="0.2">
      <c r="A84" s="12" t="str">
        <f>IF(C84="","",INDEX('Summary-Fundraise'!$A$3:$Q$75,MATCH($C84,'Summary-Fundraise'!$A$3:$A$75,0),MATCH(A$3,'Summary-Fundraise'!$A$2:$Q$2,0)))</f>
        <v/>
      </c>
      <c r="B84" s="20"/>
      <c r="C84" s="12"/>
      <c r="D84" s="12"/>
      <c r="E84" s="12"/>
      <c r="F84" s="64"/>
      <c r="G84" s="62"/>
      <c r="H84" s="62"/>
      <c r="I84" s="62"/>
      <c r="J84" s="62"/>
      <c r="K84" s="62"/>
      <c r="L84" s="62"/>
      <c r="M84" s="62"/>
      <c r="N84" s="62"/>
      <c r="O84" s="62"/>
      <c r="P84" s="60"/>
    </row>
    <row r="85" spans="1:16" ht="26" customHeight="1" x14ac:dyDescent="0.2">
      <c r="A85" s="12" t="str">
        <f>IF(C85="","",INDEX('Summary-Fundraise'!$A$3:$Q$75,MATCH($C85,'Summary-Fundraise'!$A$3:$A$75,0),MATCH(A$3,'Summary-Fundraise'!$A$2:$Q$2,0)))</f>
        <v/>
      </c>
      <c r="B85" s="20"/>
      <c r="C85" s="12"/>
      <c r="D85" s="12"/>
      <c r="E85" s="12"/>
      <c r="F85" s="64"/>
      <c r="G85" s="62"/>
      <c r="H85" s="62"/>
      <c r="I85" s="62"/>
      <c r="J85" s="62"/>
      <c r="K85" s="62"/>
      <c r="L85" s="62"/>
      <c r="M85" s="62"/>
      <c r="N85" s="62"/>
      <c r="O85" s="62"/>
      <c r="P85" s="60"/>
    </row>
    <row r="86" spans="1:16" ht="26" customHeight="1" x14ac:dyDescent="0.2">
      <c r="A86" s="12" t="str">
        <f>IF(C86="","",INDEX('Summary-Fundraise'!$A$3:$Q$75,MATCH($C86,'Summary-Fundraise'!$A$3:$A$75,0),MATCH(A$3,'Summary-Fundraise'!$A$2:$Q$2,0)))</f>
        <v/>
      </c>
      <c r="B86" s="20"/>
      <c r="C86" s="12"/>
      <c r="D86" s="12"/>
      <c r="E86" s="12"/>
      <c r="F86" s="64"/>
      <c r="G86" s="62"/>
      <c r="H86" s="62"/>
      <c r="I86" s="62"/>
      <c r="J86" s="62"/>
      <c r="K86" s="62"/>
      <c r="L86" s="62"/>
      <c r="M86" s="62"/>
      <c r="N86" s="62"/>
      <c r="O86" s="62"/>
      <c r="P86" s="60"/>
    </row>
    <row r="87" spans="1:16" ht="26" customHeight="1" x14ac:dyDescent="0.2">
      <c r="A87" s="12" t="str">
        <f>IF(C87="","",INDEX('Summary-Fundraise'!$A$3:$Q$75,MATCH($C87,'Summary-Fundraise'!$A$3:$A$75,0),MATCH(A$3,'Summary-Fundraise'!$A$2:$Q$2,0)))</f>
        <v/>
      </c>
      <c r="B87" s="20"/>
      <c r="C87" s="12"/>
      <c r="D87" s="12"/>
      <c r="E87" s="12"/>
      <c r="F87" s="64"/>
      <c r="G87" s="62"/>
      <c r="H87" s="62"/>
      <c r="I87" s="62"/>
      <c r="J87" s="62"/>
      <c r="K87" s="62"/>
      <c r="L87" s="62"/>
      <c r="M87" s="62"/>
      <c r="N87" s="62"/>
      <c r="O87" s="62"/>
      <c r="P87" s="60"/>
    </row>
    <row r="88" spans="1:16" ht="26" customHeight="1" x14ac:dyDescent="0.2">
      <c r="A88" s="12" t="str">
        <f>IF(C88="","",INDEX('Summary-Fundraise'!$A$3:$Q$75,MATCH($C88,'Summary-Fundraise'!$A$3:$A$75,0),MATCH(A$3,'Summary-Fundraise'!$A$2:$Q$2,0)))</f>
        <v/>
      </c>
      <c r="B88" s="20"/>
      <c r="C88" s="12"/>
      <c r="D88" s="12"/>
      <c r="E88" s="12"/>
      <c r="F88" s="64"/>
      <c r="G88" s="62"/>
      <c r="H88" s="62"/>
      <c r="I88" s="62"/>
      <c r="J88" s="62"/>
      <c r="K88" s="62"/>
      <c r="L88" s="62"/>
      <c r="M88" s="62"/>
      <c r="N88" s="62"/>
      <c r="O88" s="62"/>
      <c r="P88" s="60"/>
    </row>
    <row r="89" spans="1:16" ht="26" customHeight="1" x14ac:dyDescent="0.2">
      <c r="A89" s="12" t="str">
        <f>IF(C89="","",INDEX('Summary-Fundraise'!$A$3:$Q$75,MATCH($C89,'Summary-Fundraise'!$A$3:$A$75,0),MATCH(A$3,'Summary-Fundraise'!$A$2:$Q$2,0)))</f>
        <v/>
      </c>
      <c r="B89" s="20"/>
      <c r="C89" s="12"/>
      <c r="D89" s="12"/>
      <c r="E89" s="12"/>
      <c r="F89" s="64"/>
      <c r="G89" s="62"/>
      <c r="H89" s="62"/>
      <c r="I89" s="62"/>
      <c r="J89" s="62"/>
      <c r="K89" s="62"/>
      <c r="L89" s="62"/>
      <c r="M89" s="62"/>
      <c r="N89" s="62"/>
      <c r="O89" s="62"/>
      <c r="P89" s="60"/>
    </row>
    <row r="90" spans="1:16" ht="26" customHeight="1" x14ac:dyDescent="0.2">
      <c r="A90" s="12" t="str">
        <f>IF(C90="","",INDEX('Summary-Fundraise'!$A$3:$Q$75,MATCH($C90,'Summary-Fundraise'!$A$3:$A$75,0),MATCH(A$3,'Summary-Fundraise'!$A$2:$Q$2,0)))</f>
        <v/>
      </c>
      <c r="B90" s="20"/>
      <c r="C90" s="12"/>
      <c r="D90" s="12"/>
      <c r="E90" s="12"/>
      <c r="F90" s="64"/>
      <c r="G90" s="62"/>
      <c r="H90" s="62"/>
      <c r="I90" s="62"/>
      <c r="J90" s="62"/>
      <c r="K90" s="62"/>
      <c r="L90" s="62"/>
      <c r="M90" s="62"/>
      <c r="N90" s="62"/>
      <c r="O90" s="62"/>
      <c r="P90" s="60"/>
    </row>
    <row r="91" spans="1:16" ht="26" customHeight="1" x14ac:dyDescent="0.2">
      <c r="A91" s="12" t="str">
        <f>IF(C91="","",INDEX('Summary-Fundraise'!$A$3:$Q$75,MATCH($C91,'Summary-Fundraise'!$A$3:$A$75,0),MATCH(A$3,'Summary-Fundraise'!$A$2:$Q$2,0)))</f>
        <v/>
      </c>
      <c r="B91" s="20"/>
      <c r="C91" s="12"/>
      <c r="D91" s="12"/>
      <c r="E91" s="12"/>
      <c r="F91" s="64"/>
      <c r="G91" s="62"/>
      <c r="H91" s="62"/>
      <c r="I91" s="62"/>
      <c r="J91" s="62"/>
      <c r="K91" s="62"/>
      <c r="L91" s="62"/>
      <c r="M91" s="62"/>
      <c r="N91" s="62"/>
      <c r="O91" s="62"/>
      <c r="P91" s="60"/>
    </row>
    <row r="92" spans="1:16" ht="26" customHeight="1" x14ac:dyDescent="0.2">
      <c r="A92" s="12" t="str">
        <f>IF(C92="","",INDEX('Summary-Fundraise'!$A$3:$Q$75,MATCH($C92,'Summary-Fundraise'!$A$3:$A$75,0),MATCH(A$3,'Summary-Fundraise'!$A$2:$Q$2,0)))</f>
        <v/>
      </c>
      <c r="B92" s="20"/>
      <c r="C92" s="12"/>
      <c r="D92" s="12"/>
      <c r="E92" s="12"/>
      <c r="F92" s="64"/>
      <c r="G92" s="62"/>
      <c r="H92" s="62"/>
      <c r="I92" s="62"/>
      <c r="J92" s="62"/>
      <c r="K92" s="62"/>
      <c r="L92" s="62"/>
      <c r="M92" s="62"/>
      <c r="N92" s="62"/>
      <c r="O92" s="62"/>
      <c r="P92" s="60"/>
    </row>
    <row r="93" spans="1:16" ht="26" customHeight="1" x14ac:dyDescent="0.2">
      <c r="A93" s="12" t="str">
        <f>IF(C93="","",INDEX('Summary-Fundraise'!$A$3:$Q$75,MATCH($C93,'Summary-Fundraise'!$A$3:$A$75,0),MATCH(A$3,'Summary-Fundraise'!$A$2:$Q$2,0)))</f>
        <v/>
      </c>
      <c r="B93" s="20"/>
      <c r="C93" s="12"/>
      <c r="D93" s="12"/>
      <c r="E93" s="12"/>
      <c r="F93" s="64"/>
      <c r="G93" s="62"/>
      <c r="H93" s="62"/>
      <c r="I93" s="62"/>
      <c r="J93" s="62"/>
      <c r="K93" s="62"/>
      <c r="L93" s="62"/>
      <c r="M93" s="62"/>
      <c r="N93" s="62"/>
      <c r="O93" s="62"/>
      <c r="P93" s="60"/>
    </row>
    <row r="94" spans="1:16" ht="26" customHeight="1" x14ac:dyDescent="0.2">
      <c r="A94" s="12" t="str">
        <f>IF(C94="","",INDEX('Summary-Fundraise'!$A$3:$Q$75,MATCH($C94,'Summary-Fundraise'!$A$3:$A$75,0),MATCH(A$3,'Summary-Fundraise'!$A$2:$Q$2,0)))</f>
        <v/>
      </c>
      <c r="B94" s="20"/>
      <c r="C94" s="12"/>
      <c r="D94" s="12"/>
      <c r="E94" s="12"/>
      <c r="F94" s="64"/>
      <c r="G94" s="62"/>
      <c r="H94" s="62"/>
      <c r="I94" s="62"/>
      <c r="J94" s="62"/>
      <c r="K94" s="62"/>
      <c r="L94" s="62"/>
      <c r="M94" s="62"/>
      <c r="N94" s="62"/>
      <c r="O94" s="62"/>
      <c r="P94" s="60"/>
    </row>
    <row r="95" spans="1:16" ht="26" customHeight="1" x14ac:dyDescent="0.2">
      <c r="A95" s="12" t="str">
        <f>IF(C95="","",INDEX('Summary-Fundraise'!$A$3:$Q$75,MATCH($C95,'Summary-Fundraise'!$A$3:$A$75,0),MATCH(A$3,'Summary-Fundraise'!$A$2:$Q$2,0)))</f>
        <v/>
      </c>
      <c r="B95" s="20"/>
      <c r="C95" s="12"/>
      <c r="D95" s="12"/>
      <c r="E95" s="12"/>
      <c r="F95" s="64"/>
      <c r="G95" s="62"/>
      <c r="H95" s="62"/>
      <c r="I95" s="62"/>
      <c r="J95" s="62"/>
      <c r="K95" s="62"/>
      <c r="L95" s="62"/>
      <c r="M95" s="62"/>
      <c r="N95" s="62"/>
      <c r="O95" s="62"/>
      <c r="P95" s="60"/>
    </row>
    <row r="96" spans="1:16" ht="26" customHeight="1" x14ac:dyDescent="0.2">
      <c r="A96" s="12" t="str">
        <f>IF(C96="","",INDEX('Summary-Fundraise'!$A$3:$Q$75,MATCH($C96,'Summary-Fundraise'!$A$3:$A$75,0),MATCH(A$3,'Summary-Fundraise'!$A$2:$Q$2,0)))</f>
        <v/>
      </c>
      <c r="B96" s="20"/>
      <c r="C96" s="12"/>
      <c r="D96" s="12"/>
      <c r="E96" s="12"/>
      <c r="F96" s="64"/>
      <c r="G96" s="62"/>
      <c r="H96" s="62"/>
      <c r="I96" s="62"/>
      <c r="J96" s="62"/>
      <c r="K96" s="62"/>
      <c r="L96" s="62"/>
      <c r="M96" s="62"/>
      <c r="N96" s="62"/>
      <c r="O96" s="62"/>
      <c r="P96" s="60"/>
    </row>
    <row r="97" spans="1:16" ht="26" customHeight="1" x14ac:dyDescent="0.2">
      <c r="A97" s="12" t="str">
        <f>IF(C97="","",INDEX('Summary-Fundraise'!$A$3:$Q$75,MATCH($C97,'Summary-Fundraise'!$A$3:$A$75,0),MATCH(A$3,'Summary-Fundraise'!$A$2:$Q$2,0)))</f>
        <v/>
      </c>
      <c r="B97" s="20"/>
      <c r="C97" s="12"/>
      <c r="D97" s="12"/>
      <c r="E97" s="12"/>
      <c r="F97" s="64"/>
      <c r="G97" s="62"/>
      <c r="H97" s="62"/>
      <c r="I97" s="62"/>
      <c r="J97" s="62"/>
      <c r="K97" s="62"/>
      <c r="L97" s="62"/>
      <c r="M97" s="62"/>
      <c r="N97" s="62"/>
      <c r="O97" s="62"/>
      <c r="P97" s="60"/>
    </row>
    <row r="98" spans="1:16" ht="26" customHeight="1" x14ac:dyDescent="0.2">
      <c r="A98" s="12" t="str">
        <f>IF(C98="","",INDEX('Summary-Fundraise'!$A$3:$Q$75,MATCH($C98,'Summary-Fundraise'!$A$3:$A$75,0),MATCH(A$3,'Summary-Fundraise'!$A$2:$Q$2,0)))</f>
        <v/>
      </c>
      <c r="B98" s="20"/>
      <c r="C98" s="12"/>
      <c r="D98" s="12"/>
      <c r="E98" s="12"/>
      <c r="F98" s="64"/>
      <c r="G98" s="62"/>
      <c r="H98" s="62"/>
      <c r="I98" s="62"/>
      <c r="J98" s="62"/>
      <c r="K98" s="62"/>
      <c r="L98" s="62"/>
      <c r="M98" s="62"/>
      <c r="N98" s="62"/>
      <c r="O98" s="62"/>
      <c r="P98" s="60"/>
    </row>
    <row r="99" spans="1:16" ht="26" customHeight="1" x14ac:dyDescent="0.2">
      <c r="A99" s="12" t="str">
        <f>IF(C99="","",INDEX('Summary-Fundraise'!$A$3:$Q$75,MATCH($C99,'Summary-Fundraise'!$A$3:$A$75,0),MATCH(A$3,'Summary-Fundraise'!$A$2:$Q$2,0)))</f>
        <v/>
      </c>
      <c r="B99" s="20"/>
      <c r="C99" s="12"/>
      <c r="D99" s="12"/>
      <c r="E99" s="12"/>
      <c r="F99" s="64"/>
      <c r="G99" s="62"/>
      <c r="H99" s="62"/>
      <c r="I99" s="62"/>
      <c r="J99" s="62"/>
      <c r="K99" s="62"/>
      <c r="L99" s="62"/>
      <c r="M99" s="62"/>
      <c r="N99" s="62"/>
      <c r="O99" s="62"/>
      <c r="P99" s="60"/>
    </row>
    <row r="100" spans="1:16" ht="26" customHeight="1" x14ac:dyDescent="0.2">
      <c r="A100" s="12" t="str">
        <f>IF(C100="","",INDEX('Summary-Fundraise'!$A$3:$Q$75,MATCH($C100,'Summary-Fundraise'!$A$3:$A$75,0),MATCH(A$3,'Summary-Fundraise'!$A$2:$Q$2,0)))</f>
        <v/>
      </c>
      <c r="B100" s="20"/>
      <c r="C100" s="12"/>
      <c r="D100" s="12"/>
      <c r="E100" s="12"/>
      <c r="F100" s="64"/>
      <c r="G100" s="62"/>
      <c r="H100" s="62"/>
      <c r="I100" s="62"/>
      <c r="J100" s="62"/>
      <c r="K100" s="62"/>
      <c r="L100" s="62"/>
      <c r="M100" s="62"/>
      <c r="N100" s="62"/>
      <c r="O100" s="62"/>
      <c r="P100" s="60"/>
    </row>
    <row r="101" spans="1:16" ht="26" customHeight="1" x14ac:dyDescent="0.2">
      <c r="A101" s="12" t="str">
        <f>IF(C101="","",INDEX('Summary-Fundraise'!$A$3:$Q$75,MATCH($C101,'Summary-Fundraise'!$A$3:$A$75,0),MATCH(A$3,'Summary-Fundraise'!$A$2:$Q$2,0)))</f>
        <v/>
      </c>
      <c r="B101" s="20"/>
      <c r="C101" s="12"/>
      <c r="D101" s="12"/>
      <c r="E101" s="12"/>
      <c r="F101" s="64"/>
      <c r="G101" s="62"/>
      <c r="H101" s="62"/>
      <c r="I101" s="62"/>
      <c r="J101" s="62"/>
      <c r="K101" s="62"/>
      <c r="L101" s="62"/>
      <c r="M101" s="62"/>
      <c r="N101" s="62"/>
      <c r="O101" s="62"/>
      <c r="P101" s="60"/>
    </row>
    <row r="102" spans="1:16" ht="26" customHeight="1" x14ac:dyDescent="0.2">
      <c r="A102" s="12" t="str">
        <f>IF(C102="","",INDEX('Summary-Fundraise'!$A$3:$Q$75,MATCH($C102,'Summary-Fundraise'!$A$3:$A$75,0),MATCH(A$3,'Summary-Fundraise'!$A$2:$Q$2,0)))</f>
        <v/>
      </c>
      <c r="B102" s="20"/>
      <c r="C102" s="12"/>
      <c r="D102" s="12"/>
      <c r="E102" s="12"/>
      <c r="F102" s="64"/>
      <c r="G102" s="62"/>
      <c r="H102" s="62"/>
      <c r="I102" s="62"/>
      <c r="J102" s="62"/>
      <c r="K102" s="62"/>
      <c r="L102" s="62"/>
      <c r="M102" s="62"/>
      <c r="N102" s="62"/>
      <c r="O102" s="62"/>
      <c r="P102" s="60"/>
    </row>
    <row r="103" spans="1:16" ht="26" customHeight="1" x14ac:dyDescent="0.2">
      <c r="A103" s="12" t="str">
        <f>IF(C103="","",INDEX('Summary-Fundraise'!$A$3:$Q$75,MATCH($C103,'Summary-Fundraise'!$A$3:$A$75,0),MATCH(A$3,'Summary-Fundraise'!$A$2:$Q$2,0)))</f>
        <v/>
      </c>
      <c r="B103" s="20"/>
      <c r="C103" s="12"/>
      <c r="D103" s="12"/>
      <c r="E103" s="12"/>
      <c r="F103" s="64"/>
      <c r="G103" s="62"/>
      <c r="H103" s="62"/>
      <c r="I103" s="62"/>
      <c r="J103" s="62"/>
      <c r="K103" s="62"/>
      <c r="L103" s="62"/>
      <c r="M103" s="62"/>
      <c r="N103" s="62"/>
      <c r="O103" s="62"/>
      <c r="P103" s="60"/>
    </row>
    <row r="104" spans="1:16" ht="26" customHeight="1" x14ac:dyDescent="0.2">
      <c r="A104" s="12" t="str">
        <f>IF(C104="","",INDEX('Summary-Fundraise'!$A$3:$Q$75,MATCH($C104,'Summary-Fundraise'!$A$3:$A$75,0),MATCH(A$3,'Summary-Fundraise'!$A$2:$Q$2,0)))</f>
        <v/>
      </c>
      <c r="B104" s="20"/>
      <c r="C104" s="12"/>
      <c r="D104" s="12"/>
      <c r="E104" s="12"/>
      <c r="F104" s="64"/>
      <c r="G104" s="62"/>
      <c r="H104" s="62"/>
      <c r="I104" s="62"/>
      <c r="J104" s="62"/>
      <c r="K104" s="62"/>
      <c r="L104" s="62"/>
      <c r="M104" s="62"/>
      <c r="N104" s="62"/>
      <c r="O104" s="62"/>
      <c r="P104" s="60"/>
    </row>
    <row r="105" spans="1:16" ht="26" customHeight="1" x14ac:dyDescent="0.2">
      <c r="A105" s="12" t="str">
        <f>IF(C105="","",INDEX('Summary-Fundraise'!$A$3:$Q$75,MATCH($C105,'Summary-Fundraise'!$A$3:$A$75,0),MATCH(A$3,'Summary-Fundraise'!$A$2:$Q$2,0)))</f>
        <v/>
      </c>
      <c r="B105" s="20"/>
      <c r="C105" s="12"/>
      <c r="D105" s="12"/>
      <c r="E105" s="12"/>
      <c r="F105" s="64"/>
      <c r="G105" s="62"/>
      <c r="H105" s="62"/>
      <c r="I105" s="62"/>
      <c r="J105" s="62"/>
      <c r="K105" s="62"/>
      <c r="L105" s="62"/>
      <c r="M105" s="62"/>
      <c r="N105" s="62"/>
      <c r="O105" s="62"/>
      <c r="P105" s="60"/>
    </row>
    <row r="106" spans="1:16" ht="26" customHeight="1" x14ac:dyDescent="0.2">
      <c r="A106" s="12" t="str">
        <f>IF(C106="","",INDEX('Summary-Fundraise'!$A$3:$Q$75,MATCH($C106,'Summary-Fundraise'!$A$3:$A$75,0),MATCH(A$3,'Summary-Fundraise'!$A$2:$Q$2,0)))</f>
        <v/>
      </c>
      <c r="B106" s="20"/>
      <c r="C106" s="12"/>
      <c r="D106" s="12"/>
      <c r="E106" s="12"/>
      <c r="F106" s="64"/>
      <c r="G106" s="62"/>
      <c r="H106" s="62"/>
      <c r="I106" s="62"/>
      <c r="J106" s="62"/>
      <c r="K106" s="62"/>
      <c r="L106" s="62"/>
      <c r="M106" s="62"/>
      <c r="N106" s="62"/>
      <c r="O106" s="62"/>
      <c r="P106" s="60"/>
    </row>
    <row r="107" spans="1:16" ht="26" customHeight="1" x14ac:dyDescent="0.2">
      <c r="A107" s="12" t="str">
        <f>IF(C107="","",INDEX('Summary-Fundraise'!$A$3:$Q$75,MATCH($C107,'Summary-Fundraise'!$A$3:$A$75,0),MATCH(A$3,'Summary-Fundraise'!$A$2:$Q$2,0)))</f>
        <v/>
      </c>
      <c r="B107" s="20"/>
      <c r="C107" s="12"/>
      <c r="D107" s="12"/>
      <c r="E107" s="12"/>
      <c r="F107" s="64"/>
      <c r="G107" s="62"/>
      <c r="H107" s="62"/>
      <c r="I107" s="62"/>
      <c r="J107" s="62"/>
      <c r="K107" s="62"/>
      <c r="L107" s="62"/>
      <c r="M107" s="62"/>
      <c r="N107" s="62"/>
      <c r="O107" s="62"/>
      <c r="P107" s="60"/>
    </row>
    <row r="108" spans="1:16" ht="26" customHeight="1" x14ac:dyDescent="0.2">
      <c r="A108" s="12" t="str">
        <f>IF(C108="","",INDEX('Summary-Fundraise'!$A$3:$Q$75,MATCH($C108,'Summary-Fundraise'!$A$3:$A$75,0),MATCH(A$3,'Summary-Fundraise'!$A$2:$Q$2,0)))</f>
        <v/>
      </c>
      <c r="B108" s="20"/>
      <c r="C108" s="12"/>
      <c r="D108" s="12"/>
      <c r="E108" s="12"/>
      <c r="F108" s="64"/>
      <c r="G108" s="62"/>
      <c r="H108" s="62"/>
      <c r="I108" s="62"/>
      <c r="J108" s="62"/>
      <c r="K108" s="62"/>
      <c r="L108" s="62"/>
      <c r="M108" s="62"/>
      <c r="N108" s="62"/>
      <c r="O108" s="62"/>
      <c r="P108" s="60"/>
    </row>
    <row r="109" spans="1:16" ht="26" customHeight="1" x14ac:dyDescent="0.2">
      <c r="A109" s="12" t="str">
        <f>IF(C109="","",INDEX('Summary-Fundraise'!$A$3:$Q$75,MATCH($C109,'Summary-Fundraise'!$A$3:$A$75,0),MATCH(A$3,'Summary-Fundraise'!$A$2:$Q$2,0)))</f>
        <v/>
      </c>
      <c r="B109" s="20"/>
      <c r="C109" s="12"/>
      <c r="D109" s="12"/>
      <c r="E109" s="12"/>
      <c r="F109" s="64"/>
      <c r="G109" s="62"/>
      <c r="H109" s="62"/>
      <c r="I109" s="62"/>
      <c r="J109" s="62"/>
      <c r="K109" s="62"/>
      <c r="L109" s="62"/>
      <c r="M109" s="62"/>
      <c r="N109" s="62"/>
      <c r="O109" s="62"/>
      <c r="P109" s="60"/>
    </row>
    <row r="110" spans="1:16" ht="26" customHeight="1" x14ac:dyDescent="0.2">
      <c r="A110" s="12" t="str">
        <f>IF(C110="","",INDEX('Summary-Fundraise'!$A$3:$Q$75,MATCH($C110,'Summary-Fundraise'!$A$3:$A$75,0),MATCH(A$3,'Summary-Fundraise'!$A$2:$Q$2,0)))</f>
        <v/>
      </c>
      <c r="B110" s="20"/>
      <c r="C110" s="12"/>
      <c r="D110" s="12"/>
      <c r="E110" s="12"/>
      <c r="F110" s="64"/>
      <c r="G110" s="62"/>
      <c r="H110" s="62"/>
      <c r="I110" s="62"/>
      <c r="J110" s="62"/>
      <c r="K110" s="62"/>
      <c r="L110" s="62"/>
      <c r="M110" s="62"/>
      <c r="N110" s="62"/>
      <c r="O110" s="62"/>
      <c r="P110" s="60"/>
    </row>
    <row r="111" spans="1:16" ht="26" customHeight="1" x14ac:dyDescent="0.2">
      <c r="A111" s="12" t="str">
        <f>IF(C111="","",INDEX('Summary-Fundraise'!$A$3:$Q$75,MATCH($C111,'Summary-Fundraise'!$A$3:$A$75,0),MATCH(A$3,'Summary-Fundraise'!$A$2:$Q$2,0)))</f>
        <v/>
      </c>
      <c r="B111" s="20"/>
      <c r="C111" s="12"/>
      <c r="D111" s="12"/>
      <c r="E111" s="12"/>
      <c r="F111" s="64"/>
      <c r="G111" s="62"/>
      <c r="H111" s="62"/>
      <c r="I111" s="62"/>
      <c r="J111" s="62"/>
      <c r="K111" s="62"/>
      <c r="L111" s="62"/>
      <c r="M111" s="62"/>
      <c r="N111" s="62"/>
      <c r="O111" s="62"/>
      <c r="P111" s="60"/>
    </row>
    <row r="112" spans="1:16" ht="26" customHeight="1" x14ac:dyDescent="0.2">
      <c r="A112" s="12" t="str">
        <f>IF(C112="","",INDEX('Summary-Fundraise'!$A$3:$Q$75,MATCH($C112,'Summary-Fundraise'!$A$3:$A$75,0),MATCH(A$3,'Summary-Fundraise'!$A$2:$Q$2,0)))</f>
        <v/>
      </c>
      <c r="B112" s="20"/>
      <c r="C112" s="12"/>
      <c r="D112" s="12"/>
      <c r="E112" s="12"/>
      <c r="F112" s="64"/>
      <c r="G112" s="62"/>
      <c r="H112" s="62"/>
      <c r="I112" s="62"/>
      <c r="J112" s="62"/>
      <c r="K112" s="62"/>
      <c r="L112" s="62"/>
      <c r="M112" s="62"/>
      <c r="N112" s="62"/>
      <c r="O112" s="62"/>
      <c r="P112" s="60"/>
    </row>
    <row r="113" spans="1:16" ht="26" customHeight="1" x14ac:dyDescent="0.2">
      <c r="A113" s="12" t="str">
        <f>IF(C113="","",INDEX('Summary-Fundraise'!$A$3:$Q$75,MATCH($C113,'Summary-Fundraise'!$A$3:$A$75,0),MATCH(A$3,'Summary-Fundraise'!$A$2:$Q$2,0)))</f>
        <v/>
      </c>
      <c r="B113" s="20"/>
      <c r="C113" s="12"/>
      <c r="D113" s="12"/>
      <c r="E113" s="12"/>
      <c r="F113" s="64"/>
      <c r="G113" s="62"/>
      <c r="H113" s="62"/>
      <c r="I113" s="62"/>
      <c r="J113" s="62"/>
      <c r="K113" s="62"/>
      <c r="L113" s="62"/>
      <c r="M113" s="62"/>
      <c r="N113" s="62"/>
      <c r="O113" s="62"/>
      <c r="P113" s="60"/>
    </row>
    <row r="114" spans="1:16" ht="26" customHeight="1" x14ac:dyDescent="0.2">
      <c r="A114" s="12" t="str">
        <f>IF(C114="","",INDEX('Summary-Fundraise'!$A$3:$Q$75,MATCH($C114,'Summary-Fundraise'!$A$3:$A$75,0),MATCH(A$3,'Summary-Fundraise'!$A$2:$Q$2,0)))</f>
        <v/>
      </c>
      <c r="B114" s="20"/>
      <c r="C114" s="12"/>
      <c r="D114" s="12"/>
      <c r="E114" s="12"/>
      <c r="F114" s="64"/>
      <c r="G114" s="62"/>
      <c r="H114" s="62"/>
      <c r="I114" s="62"/>
      <c r="J114" s="62"/>
      <c r="K114" s="62"/>
      <c r="L114" s="62"/>
      <c r="M114" s="62"/>
      <c r="N114" s="62"/>
      <c r="O114" s="62"/>
      <c r="P114" s="60"/>
    </row>
    <row r="115" spans="1:16" ht="26" customHeight="1" x14ac:dyDescent="0.2">
      <c r="A115" s="12" t="str">
        <f>IF(C115="","",INDEX('Summary-Fundraise'!$A$3:$Q$75,MATCH($C115,'Summary-Fundraise'!$A$3:$A$75,0),MATCH(A$3,'Summary-Fundraise'!$A$2:$Q$2,0)))</f>
        <v/>
      </c>
      <c r="B115" s="20"/>
      <c r="C115" s="12"/>
      <c r="D115" s="12"/>
      <c r="E115" s="12"/>
      <c r="F115" s="64"/>
      <c r="G115" s="62"/>
      <c r="H115" s="62"/>
      <c r="I115" s="62"/>
      <c r="J115" s="62"/>
      <c r="K115" s="62"/>
      <c r="L115" s="62"/>
      <c r="M115" s="62"/>
      <c r="N115" s="62"/>
      <c r="O115" s="62"/>
      <c r="P115" s="60"/>
    </row>
    <row r="116" spans="1:16" ht="26" customHeight="1" x14ac:dyDescent="0.2">
      <c r="A116" s="12" t="str">
        <f>IF(C116="","",INDEX('Summary-Fundraise'!$A$3:$Q$75,MATCH($C116,'Summary-Fundraise'!$A$3:$A$75,0),MATCH(A$3,'Summary-Fundraise'!$A$2:$Q$2,0)))</f>
        <v/>
      </c>
      <c r="B116" s="20"/>
      <c r="C116" s="12"/>
      <c r="D116" s="12"/>
      <c r="E116" s="12"/>
      <c r="F116" s="64"/>
      <c r="G116" s="62"/>
      <c r="H116" s="62"/>
      <c r="I116" s="62"/>
      <c r="J116" s="62"/>
      <c r="K116" s="62"/>
      <c r="L116" s="62"/>
      <c r="M116" s="62"/>
      <c r="N116" s="62"/>
      <c r="O116" s="62"/>
      <c r="P116" s="60"/>
    </row>
    <row r="117" spans="1:16" ht="26" customHeight="1" x14ac:dyDescent="0.2">
      <c r="A117" s="12" t="str">
        <f>IF(C117="","",INDEX('Summary-Fundraise'!$A$3:$Q$75,MATCH($C117,'Summary-Fundraise'!$A$3:$A$75,0),MATCH(A$3,'Summary-Fundraise'!$A$2:$Q$2,0)))</f>
        <v/>
      </c>
      <c r="B117" s="20"/>
      <c r="C117" s="12"/>
      <c r="D117" s="12"/>
      <c r="E117" s="12"/>
      <c r="F117" s="64"/>
      <c r="G117" s="62"/>
      <c r="H117" s="62"/>
      <c r="I117" s="62"/>
      <c r="J117" s="62"/>
      <c r="K117" s="62"/>
      <c r="L117" s="62"/>
      <c r="M117" s="62"/>
      <c r="N117" s="62"/>
      <c r="O117" s="62"/>
      <c r="P117" s="60"/>
    </row>
    <row r="118" spans="1:16" ht="26" customHeight="1" x14ac:dyDescent="0.2">
      <c r="A118" s="12" t="str">
        <f>IF(C118="","",INDEX('Summary-Fundraise'!$A$3:$Q$75,MATCH($C118,'Summary-Fundraise'!$A$3:$A$75,0),MATCH(A$3,'Summary-Fundraise'!$A$2:$Q$2,0)))</f>
        <v/>
      </c>
      <c r="B118" s="20"/>
      <c r="C118" s="12"/>
      <c r="D118" s="12"/>
      <c r="E118" s="12"/>
      <c r="F118" s="64"/>
      <c r="G118" s="62"/>
      <c r="H118" s="62"/>
      <c r="I118" s="62"/>
      <c r="J118" s="62"/>
      <c r="K118" s="62"/>
      <c r="L118" s="62"/>
      <c r="M118" s="62"/>
      <c r="N118" s="62"/>
      <c r="O118" s="62"/>
      <c r="P118" s="60"/>
    </row>
    <row r="119" spans="1:16" ht="26" customHeight="1" x14ac:dyDescent="0.2">
      <c r="A119" s="12" t="str">
        <f>IF(C119="","",INDEX('Summary-Fundraise'!$A$3:$Q$75,MATCH($C119,'Summary-Fundraise'!$A$3:$A$75,0),MATCH(A$3,'Summary-Fundraise'!$A$2:$Q$2,0)))</f>
        <v/>
      </c>
      <c r="B119" s="20"/>
      <c r="C119" s="12"/>
      <c r="D119" s="12"/>
      <c r="E119" s="12"/>
      <c r="F119" s="64"/>
      <c r="G119" s="62"/>
      <c r="H119" s="62"/>
      <c r="I119" s="62"/>
      <c r="J119" s="62"/>
      <c r="K119" s="62"/>
      <c r="L119" s="62"/>
      <c r="M119" s="62"/>
      <c r="N119" s="62"/>
      <c r="O119" s="62"/>
      <c r="P119" s="60"/>
    </row>
    <row r="120" spans="1:16" ht="26" customHeight="1" x14ac:dyDescent="0.2">
      <c r="A120" s="12" t="str">
        <f>IF(C120="","",INDEX('Summary-Fundraise'!$A$3:$Q$75,MATCH($C120,'Summary-Fundraise'!$A$3:$A$75,0),MATCH(A$3,'Summary-Fundraise'!$A$2:$Q$2,0)))</f>
        <v/>
      </c>
      <c r="B120" s="20"/>
      <c r="C120" s="12"/>
      <c r="D120" s="12"/>
      <c r="E120" s="12"/>
      <c r="F120" s="64"/>
      <c r="G120" s="62"/>
      <c r="H120" s="62"/>
      <c r="I120" s="62"/>
      <c r="J120" s="62"/>
      <c r="K120" s="62"/>
      <c r="L120" s="62"/>
      <c r="M120" s="62"/>
      <c r="N120" s="62"/>
      <c r="O120" s="62"/>
      <c r="P120" s="60"/>
    </row>
    <row r="121" spans="1:16" ht="26" customHeight="1" x14ac:dyDescent="0.2">
      <c r="A121" s="12" t="str">
        <f>IF(C121="","",INDEX('Summary-Fundraise'!$A$3:$Q$75,MATCH($C121,'Summary-Fundraise'!$A$3:$A$75,0),MATCH(A$3,'Summary-Fundraise'!$A$2:$Q$2,0)))</f>
        <v/>
      </c>
      <c r="B121" s="20"/>
      <c r="C121" s="12"/>
      <c r="D121" s="12"/>
      <c r="E121" s="12"/>
      <c r="F121" s="64"/>
      <c r="G121" s="62"/>
      <c r="H121" s="62"/>
      <c r="I121" s="62"/>
      <c r="J121" s="62"/>
      <c r="K121" s="62"/>
      <c r="L121" s="62"/>
      <c r="M121" s="62"/>
      <c r="N121" s="62"/>
      <c r="O121" s="62"/>
      <c r="P121" s="60"/>
    </row>
    <row r="122" spans="1:16" ht="26" customHeight="1" x14ac:dyDescent="0.2">
      <c r="A122" s="12" t="str">
        <f>IF(C122="","",INDEX('Summary-Fundraise'!$A$3:$Q$75,MATCH($C122,'Summary-Fundraise'!$A$3:$A$75,0),MATCH(A$3,'Summary-Fundraise'!$A$2:$Q$2,0)))</f>
        <v/>
      </c>
      <c r="B122" s="20"/>
      <c r="C122" s="12"/>
      <c r="D122" s="12"/>
      <c r="E122" s="12"/>
      <c r="F122" s="64"/>
      <c r="G122" s="62"/>
      <c r="H122" s="62"/>
      <c r="I122" s="62"/>
      <c r="J122" s="62"/>
      <c r="K122" s="62"/>
      <c r="L122" s="62"/>
      <c r="M122" s="62"/>
      <c r="N122" s="62"/>
      <c r="O122" s="62"/>
      <c r="P122" s="60"/>
    </row>
    <row r="123" spans="1:16" ht="26" customHeight="1" x14ac:dyDescent="0.2">
      <c r="A123" s="12" t="str">
        <f>IF(C123="","",INDEX('Summary-Fundraise'!$A$3:$Q$75,MATCH($C123,'Summary-Fundraise'!$A$3:$A$75,0),MATCH(A$3,'Summary-Fundraise'!$A$2:$Q$2,0)))</f>
        <v/>
      </c>
      <c r="B123" s="20"/>
      <c r="C123" s="12"/>
      <c r="D123" s="12"/>
      <c r="E123" s="12"/>
      <c r="F123" s="64"/>
      <c r="G123" s="62"/>
      <c r="H123" s="62"/>
      <c r="I123" s="62"/>
      <c r="J123" s="62"/>
      <c r="K123" s="62"/>
      <c r="L123" s="62"/>
      <c r="M123" s="62"/>
      <c r="N123" s="62"/>
      <c r="O123" s="62"/>
      <c r="P123" s="60"/>
    </row>
    <row r="124" spans="1:16" ht="26" customHeight="1" x14ac:dyDescent="0.2">
      <c r="A124" s="12" t="str">
        <f>IF(C124="","",INDEX('Summary-Fundraise'!$A$3:$Q$75,MATCH($C124,'Summary-Fundraise'!$A$3:$A$75,0),MATCH(A$3,'Summary-Fundraise'!$A$2:$Q$2,0)))</f>
        <v/>
      </c>
      <c r="B124" s="20"/>
      <c r="C124" s="12"/>
      <c r="D124" s="12"/>
      <c r="E124" s="12"/>
      <c r="F124" s="64"/>
      <c r="G124" s="62"/>
      <c r="H124" s="62"/>
      <c r="I124" s="62"/>
      <c r="J124" s="62"/>
      <c r="K124" s="62"/>
      <c r="L124" s="62"/>
      <c r="M124" s="62"/>
      <c r="N124" s="62"/>
      <c r="O124" s="62"/>
      <c r="P124" s="60"/>
    </row>
    <row r="125" spans="1:16" ht="26" customHeight="1" x14ac:dyDescent="0.2">
      <c r="A125" s="12" t="str">
        <f>IF(C125="","",INDEX('Summary-Fundraise'!$A$3:$Q$75,MATCH($C125,'Summary-Fundraise'!$A$3:$A$75,0),MATCH(A$3,'Summary-Fundraise'!$A$2:$Q$2,0)))</f>
        <v/>
      </c>
      <c r="B125" s="20"/>
      <c r="C125" s="12"/>
      <c r="D125" s="12"/>
      <c r="E125" s="12"/>
      <c r="F125" s="64"/>
      <c r="G125" s="62"/>
      <c r="H125" s="62"/>
      <c r="I125" s="62"/>
      <c r="J125" s="62"/>
      <c r="K125" s="62"/>
      <c r="L125" s="62"/>
      <c r="M125" s="62"/>
      <c r="N125" s="62"/>
      <c r="O125" s="62"/>
      <c r="P125" s="60"/>
    </row>
    <row r="126" spans="1:16" ht="26" customHeight="1" x14ac:dyDescent="0.2">
      <c r="A126" s="12" t="str">
        <f>IF(C126="","",INDEX('Summary-Fundraise'!$A$3:$Q$75,MATCH($C126,'Summary-Fundraise'!$A$3:$A$75,0),MATCH(A$3,'Summary-Fundraise'!$A$2:$Q$2,0)))</f>
        <v/>
      </c>
      <c r="B126" s="20"/>
      <c r="C126" s="12"/>
      <c r="D126" s="12"/>
      <c r="E126" s="12"/>
      <c r="F126" s="64"/>
      <c r="G126" s="62"/>
      <c r="H126" s="62"/>
      <c r="I126" s="62"/>
      <c r="J126" s="62"/>
      <c r="K126" s="62"/>
      <c r="L126" s="62"/>
      <c r="M126" s="62"/>
      <c r="N126" s="62"/>
      <c r="O126" s="62"/>
      <c r="P126" s="60"/>
    </row>
    <row r="127" spans="1:16" ht="26" customHeight="1" x14ac:dyDescent="0.2">
      <c r="A127" s="12" t="str">
        <f>IF(C127="","",INDEX('Summary-Fundraise'!$A$3:$Q$75,MATCH($C127,'Summary-Fundraise'!$A$3:$A$75,0),MATCH(A$3,'Summary-Fundraise'!$A$2:$Q$2,0)))</f>
        <v/>
      </c>
      <c r="B127" s="20"/>
      <c r="C127" s="12"/>
      <c r="D127" s="12"/>
      <c r="E127" s="12"/>
      <c r="F127" s="64"/>
      <c r="G127" s="62"/>
      <c r="H127" s="62"/>
      <c r="I127" s="62"/>
      <c r="J127" s="62"/>
      <c r="K127" s="62"/>
      <c r="L127" s="62"/>
      <c r="M127" s="62"/>
      <c r="N127" s="62"/>
      <c r="O127" s="62"/>
      <c r="P127" s="60"/>
    </row>
    <row r="128" spans="1:16" ht="26" customHeight="1" x14ac:dyDescent="0.2">
      <c r="A128" s="12" t="str">
        <f>IF(C128="","",INDEX('Summary-Fundraise'!$A$3:$Q$75,MATCH($C128,'Summary-Fundraise'!$A$3:$A$75,0),MATCH(A$3,'Summary-Fundraise'!$A$2:$Q$2,0)))</f>
        <v/>
      </c>
      <c r="B128" s="20"/>
      <c r="C128" s="12"/>
      <c r="D128" s="12"/>
      <c r="E128" s="12"/>
      <c r="F128" s="64"/>
      <c r="G128" s="62"/>
      <c r="H128" s="62"/>
      <c r="I128" s="62"/>
      <c r="J128" s="62"/>
      <c r="K128" s="62"/>
      <c r="L128" s="62"/>
      <c r="M128" s="62"/>
      <c r="N128" s="62"/>
      <c r="O128" s="62"/>
      <c r="P128" s="60"/>
    </row>
    <row r="129" spans="1:16" ht="26" customHeight="1" x14ac:dyDescent="0.2">
      <c r="A129" s="12" t="str">
        <f>IF(C129="","",INDEX('Summary-Fundraise'!$A$3:$Q$75,MATCH($C129,'Summary-Fundraise'!$A$3:$A$75,0),MATCH(A$3,'Summary-Fundraise'!$A$2:$Q$2,0)))</f>
        <v/>
      </c>
      <c r="B129" s="20"/>
      <c r="C129" s="12"/>
      <c r="D129" s="12"/>
      <c r="E129" s="12"/>
      <c r="F129" s="64"/>
      <c r="G129" s="62"/>
      <c r="H129" s="62"/>
      <c r="I129" s="62"/>
      <c r="J129" s="62"/>
      <c r="K129" s="62"/>
      <c r="L129" s="62"/>
      <c r="M129" s="62"/>
      <c r="N129" s="62"/>
      <c r="O129" s="62"/>
      <c r="P129" s="60"/>
    </row>
    <row r="130" spans="1:16" ht="26" customHeight="1" x14ac:dyDescent="0.2">
      <c r="A130" s="12" t="str">
        <f>IF(C130="","",INDEX('Summary-Fundraise'!$A$3:$Q$75,MATCH($C130,'Summary-Fundraise'!$A$3:$A$75,0),MATCH(A$3,'Summary-Fundraise'!$A$2:$Q$2,0)))</f>
        <v/>
      </c>
      <c r="B130" s="20"/>
      <c r="C130" s="12"/>
      <c r="D130" s="12"/>
      <c r="E130" s="12"/>
      <c r="F130" s="64"/>
      <c r="G130" s="62"/>
      <c r="H130" s="62"/>
      <c r="I130" s="62"/>
      <c r="J130" s="62"/>
      <c r="K130" s="62"/>
      <c r="L130" s="62"/>
      <c r="M130" s="62"/>
      <c r="N130" s="62"/>
      <c r="O130" s="62"/>
      <c r="P130" s="60"/>
    </row>
    <row r="131" spans="1:16" ht="26" customHeight="1" x14ac:dyDescent="0.2">
      <c r="A131" s="12" t="str">
        <f>IF(C131="","",INDEX('Summary-Fundraise'!$A$3:$Q$75,MATCH($C131,'Summary-Fundraise'!$A$3:$A$75,0),MATCH(A$3,'Summary-Fundraise'!$A$2:$Q$2,0)))</f>
        <v/>
      </c>
      <c r="B131" s="20"/>
      <c r="C131" s="12"/>
      <c r="D131" s="12"/>
      <c r="E131" s="12"/>
      <c r="F131" s="64"/>
      <c r="G131" s="62"/>
      <c r="H131" s="62"/>
      <c r="I131" s="62"/>
      <c r="J131" s="62"/>
      <c r="K131" s="62"/>
      <c r="L131" s="62"/>
      <c r="M131" s="62"/>
      <c r="N131" s="62"/>
      <c r="O131" s="62"/>
      <c r="P131" s="60"/>
    </row>
    <row r="132" spans="1:16" ht="26" customHeight="1" x14ac:dyDescent="0.2">
      <c r="A132" s="12" t="str">
        <f>IF(C132="","",INDEX('Summary-Fundraise'!$A$3:$Q$75,MATCH($C132,'Summary-Fundraise'!$A$3:$A$75,0),MATCH(A$3,'Summary-Fundraise'!$A$2:$Q$2,0)))</f>
        <v/>
      </c>
      <c r="B132" s="20"/>
      <c r="C132" s="12"/>
      <c r="D132" s="12"/>
      <c r="E132" s="12"/>
      <c r="F132" s="64"/>
      <c r="G132" s="62"/>
      <c r="H132" s="62"/>
      <c r="I132" s="62"/>
      <c r="J132" s="62"/>
      <c r="K132" s="62"/>
      <c r="L132" s="62"/>
      <c r="M132" s="62"/>
      <c r="N132" s="62"/>
      <c r="O132" s="62"/>
      <c r="P132" s="60"/>
    </row>
    <row r="133" spans="1:16" ht="26" customHeight="1" x14ac:dyDescent="0.2">
      <c r="A133" s="12" t="str">
        <f>IF(C133="","",INDEX('Summary-Fundraise'!$A$3:$Q$75,MATCH($C133,'Summary-Fundraise'!$A$3:$A$75,0),MATCH(A$3,'Summary-Fundraise'!$A$2:$Q$2,0)))</f>
        <v/>
      </c>
      <c r="B133" s="20"/>
      <c r="C133" s="12"/>
      <c r="D133" s="12"/>
      <c r="E133" s="12"/>
      <c r="F133" s="64"/>
      <c r="G133" s="62"/>
      <c r="H133" s="62"/>
      <c r="I133" s="62"/>
      <c r="J133" s="62"/>
      <c r="K133" s="62"/>
      <c r="L133" s="62"/>
      <c r="M133" s="62"/>
      <c r="N133" s="62"/>
      <c r="O133" s="62"/>
      <c r="P133" s="60"/>
    </row>
    <row r="134" spans="1:16" ht="26" customHeight="1" x14ac:dyDescent="0.2">
      <c r="A134" s="12" t="str">
        <f>IF(C134="","",INDEX('Summary-Fundraise'!$A$3:$Q$75,MATCH($C134,'Summary-Fundraise'!$A$3:$A$75,0),MATCH(A$3,'Summary-Fundraise'!$A$2:$Q$2,0)))</f>
        <v/>
      </c>
      <c r="B134" s="20"/>
      <c r="C134" s="12"/>
      <c r="D134" s="12"/>
      <c r="E134" s="12"/>
      <c r="F134" s="64"/>
      <c r="G134" s="62"/>
      <c r="H134" s="62"/>
      <c r="I134" s="62"/>
      <c r="J134" s="62"/>
      <c r="K134" s="62"/>
      <c r="L134" s="62"/>
      <c r="M134" s="62"/>
      <c r="N134" s="62"/>
      <c r="O134" s="62"/>
      <c r="P134" s="60"/>
    </row>
    <row r="135" spans="1:16" ht="26" customHeight="1" x14ac:dyDescent="0.2">
      <c r="A135" s="12" t="str">
        <f>IF(C135="","",INDEX('Summary-Fundraise'!$A$3:$Q$75,MATCH($C135,'Summary-Fundraise'!$A$3:$A$75,0),MATCH(A$3,'Summary-Fundraise'!$A$2:$Q$2,0)))</f>
        <v/>
      </c>
      <c r="B135" s="20"/>
      <c r="C135" s="12"/>
      <c r="D135" s="12"/>
      <c r="E135" s="12"/>
      <c r="F135" s="64"/>
      <c r="G135" s="62"/>
      <c r="H135" s="62"/>
      <c r="I135" s="62"/>
      <c r="J135" s="62"/>
      <c r="K135" s="62"/>
      <c r="L135" s="62"/>
      <c r="M135" s="62"/>
      <c r="N135" s="62"/>
      <c r="O135" s="62"/>
      <c r="P135" s="60"/>
    </row>
    <row r="136" spans="1:16" ht="26" customHeight="1" x14ac:dyDescent="0.2">
      <c r="A136" s="12" t="str">
        <f>IF(C136="","",INDEX('Summary-Fundraise'!$A$3:$Q$75,MATCH($C136,'Summary-Fundraise'!$A$3:$A$75,0),MATCH(A$3,'Summary-Fundraise'!$A$2:$Q$2,0)))</f>
        <v/>
      </c>
      <c r="B136" s="20"/>
      <c r="C136" s="12"/>
      <c r="D136" s="12"/>
      <c r="E136" s="12"/>
      <c r="F136" s="64"/>
      <c r="G136" s="62"/>
      <c r="H136" s="62"/>
      <c r="I136" s="62"/>
      <c r="J136" s="62"/>
      <c r="K136" s="62"/>
      <c r="L136" s="62"/>
      <c r="M136" s="62"/>
      <c r="N136" s="62"/>
      <c r="O136" s="62"/>
      <c r="P136" s="60"/>
    </row>
    <row r="137" spans="1:16" ht="26" customHeight="1" x14ac:dyDescent="0.2">
      <c r="A137" s="12" t="str">
        <f>IF(C137="","",INDEX('Summary-Fundraise'!$A$3:$Q$75,MATCH($C137,'Summary-Fundraise'!$A$3:$A$75,0),MATCH(A$3,'Summary-Fundraise'!$A$2:$Q$2,0)))</f>
        <v/>
      </c>
      <c r="B137" s="20"/>
      <c r="C137" s="12"/>
      <c r="D137" s="12"/>
      <c r="E137" s="12"/>
      <c r="F137" s="64"/>
      <c r="G137" s="62"/>
      <c r="H137" s="62"/>
      <c r="I137" s="62"/>
      <c r="J137" s="62"/>
      <c r="K137" s="62"/>
      <c r="L137" s="62"/>
      <c r="M137" s="62"/>
      <c r="N137" s="62"/>
      <c r="O137" s="62"/>
      <c r="P137" s="60"/>
    </row>
    <row r="138" spans="1:16" ht="26" customHeight="1" x14ac:dyDescent="0.2">
      <c r="A138" s="12" t="str">
        <f>IF(C138="","",INDEX('Summary-Fundraise'!$A$3:$Q$75,MATCH($C138,'Summary-Fundraise'!$A$3:$A$75,0),MATCH(A$3,'Summary-Fundraise'!$A$2:$Q$2,0)))</f>
        <v/>
      </c>
      <c r="B138" s="20"/>
      <c r="C138" s="12"/>
      <c r="D138" s="12"/>
      <c r="E138" s="12"/>
      <c r="F138" s="64"/>
      <c r="G138" s="62"/>
      <c r="H138" s="62"/>
      <c r="I138" s="62"/>
      <c r="J138" s="62"/>
      <c r="K138" s="62"/>
      <c r="L138" s="62"/>
      <c r="M138" s="62"/>
      <c r="N138" s="62"/>
      <c r="O138" s="62"/>
      <c r="P138" s="60"/>
    </row>
    <row r="139" spans="1:16" ht="26" customHeight="1" x14ac:dyDescent="0.2">
      <c r="A139" s="12" t="str">
        <f>IF(C139="","",INDEX('Summary-Fundraise'!$A$3:$Q$75,MATCH($C139,'Summary-Fundraise'!$A$3:$A$75,0),MATCH(A$3,'Summary-Fundraise'!$A$2:$Q$2,0)))</f>
        <v/>
      </c>
      <c r="B139" s="20"/>
      <c r="C139" s="12"/>
      <c r="D139" s="12"/>
      <c r="E139" s="12"/>
      <c r="F139" s="64"/>
      <c r="G139" s="62"/>
      <c r="H139" s="62"/>
      <c r="I139" s="62"/>
      <c r="J139" s="62"/>
      <c r="K139" s="62"/>
      <c r="L139" s="62"/>
      <c r="M139" s="62"/>
      <c r="N139" s="62"/>
      <c r="O139" s="62"/>
      <c r="P139" s="60"/>
    </row>
    <row r="140" spans="1:16" ht="26" customHeight="1" x14ac:dyDescent="0.2">
      <c r="A140" s="12" t="str">
        <f>IF(C140="","",INDEX('Summary-Fundraise'!$A$3:$Q$75,MATCH($C140,'Summary-Fundraise'!$A$3:$A$75,0),MATCH(A$3,'Summary-Fundraise'!$A$2:$Q$2,0)))</f>
        <v/>
      </c>
      <c r="B140" s="20"/>
      <c r="C140" s="12"/>
      <c r="D140" s="12"/>
      <c r="E140" s="12"/>
      <c r="F140" s="64"/>
      <c r="G140" s="62"/>
      <c r="H140" s="62"/>
      <c r="I140" s="62"/>
      <c r="J140" s="62"/>
      <c r="K140" s="62"/>
      <c r="L140" s="62"/>
      <c r="M140" s="62"/>
      <c r="N140" s="62"/>
      <c r="O140" s="62"/>
      <c r="P140" s="60"/>
    </row>
    <row r="141" spans="1:16" ht="26" customHeight="1" x14ac:dyDescent="0.2">
      <c r="A141" s="12" t="str">
        <f>IF(C141="","",INDEX('Summary-Fundraise'!$A$3:$Q$75,MATCH($C141,'Summary-Fundraise'!$A$3:$A$75,0),MATCH(A$3,'Summary-Fundraise'!$A$2:$Q$2,0)))</f>
        <v/>
      </c>
      <c r="B141" s="20"/>
      <c r="C141" s="12"/>
      <c r="D141" s="12"/>
      <c r="E141" s="12"/>
      <c r="F141" s="64"/>
      <c r="G141" s="62"/>
      <c r="H141" s="62"/>
      <c r="I141" s="62"/>
      <c r="J141" s="62"/>
      <c r="K141" s="62"/>
      <c r="L141" s="62"/>
      <c r="M141" s="62"/>
      <c r="N141" s="62"/>
      <c r="O141" s="62"/>
      <c r="P141" s="60"/>
    </row>
    <row r="142" spans="1:16" ht="26" customHeight="1" x14ac:dyDescent="0.2">
      <c r="A142" s="12" t="str">
        <f>IF(C142="","",INDEX('Summary-Fundraise'!$A$3:$Q$75,MATCH($C142,'Summary-Fundraise'!$A$3:$A$75,0),MATCH(A$3,'Summary-Fundraise'!$A$2:$Q$2,0)))</f>
        <v/>
      </c>
      <c r="B142" s="20"/>
      <c r="C142" s="12"/>
      <c r="D142" s="12"/>
      <c r="E142" s="12"/>
      <c r="F142" s="64"/>
      <c r="G142" s="62"/>
      <c r="H142" s="62"/>
      <c r="I142" s="62"/>
      <c r="J142" s="62"/>
      <c r="K142" s="62"/>
      <c r="L142" s="62"/>
      <c r="M142" s="62"/>
      <c r="N142" s="62"/>
      <c r="O142" s="62"/>
      <c r="P142" s="60"/>
    </row>
    <row r="143" spans="1:16" ht="26" customHeight="1" x14ac:dyDescent="0.2">
      <c r="A143" s="62" t="str">
        <f>IF(C143="","",INDEX('Summary-Fundraise'!$A$3:$Q$75,MATCH($C143,'Summary-Fundraise'!$A$3:$A$75,0),MATCH(A$3,'Summary-Fundraise'!$A$2:$Q$2,0)))</f>
        <v/>
      </c>
      <c r="B143" s="62"/>
      <c r="C143" s="62"/>
      <c r="D143" s="62"/>
      <c r="E143" s="62"/>
      <c r="F143" s="62"/>
      <c r="G143" s="62"/>
      <c r="H143" s="62"/>
      <c r="I143" s="62"/>
      <c r="J143" s="62"/>
      <c r="K143" s="62"/>
      <c r="L143" s="62"/>
      <c r="M143" s="62"/>
      <c r="N143" s="62"/>
      <c r="O143" s="62"/>
      <c r="P143" s="9"/>
    </row>
  </sheetData>
  <autoFilter ref="A3:P3" xr:uid="{918E6C73-0D03-4928-886D-9617001AA0D8}"/>
  <dataValidations count="3">
    <dataValidation type="list" allowBlank="1" showInputMessage="1" showErrorMessage="1" sqref="E4:E142" xr:uid="{0535E074-DA34-4B6B-A54D-4F4B8CF410B1}">
      <formula1>Investor_Classification</formula1>
    </dataValidation>
    <dataValidation type="list" showInputMessage="1" showErrorMessage="1" sqref="D4:D142" xr:uid="{5CA8AF2F-2FDF-4B9D-8D69-0C6C3C685F66}">
      <formula1>Placement_Advisor</formula1>
    </dataValidation>
    <dataValidation type="list" allowBlank="1" showInputMessage="1" showErrorMessage="1" sqref="F4:F142" xr:uid="{925D9151-B549-46CF-899C-97BC55CC9E95}">
      <formula1>Team</formula1>
    </dataValidation>
  </dataValidations>
  <pageMargins left="0.70866141732283472" right="0.70866141732283472" top="0.74803149606299213" bottom="0.74803149606299213" header="0.31496062992125984" footer="0.31496062992125984"/>
  <pageSetup paperSize="9" scale="36" fitToHeight="8" orientation="landscape" r:id="rId1"/>
  <headerFooter>
    <oddHeader>&amp;A</oddHeader>
    <oddFooter>&amp;L&amp;B Confidential&amp;B&amp;C&amp;D&amp;RPage &amp;P</oddFooter>
  </headerFooter>
  <colBreaks count="1" manualBreakCount="1">
    <brk id="6" max="142"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CC6F-522C-429B-B586-DD0E06CBAD70}">
  <sheetPr codeName="Sheet3">
    <pageSetUpPr fitToPage="1"/>
  </sheetPr>
  <dimension ref="A1:V388"/>
  <sheetViews>
    <sheetView tabSelected="1" view="pageBreakPreview" zoomScaleNormal="100" zoomScaleSheetLayoutView="100" workbookViewId="0">
      <pane ySplit="3" topLeftCell="A4" activePane="bottomLeft" state="frozen"/>
      <selection pane="bottomLeft" activeCell="D367" sqref="D367"/>
    </sheetView>
  </sheetViews>
  <sheetFormatPr baseColWidth="10" defaultColWidth="8.6640625" defaultRowHeight="14" x14ac:dyDescent="0.2"/>
  <cols>
    <col min="1" max="1" width="9.5" style="69" customWidth="1"/>
    <col min="2" max="2" width="13.6640625" style="69" customWidth="1"/>
    <col min="3" max="4" width="10.6640625" style="69" customWidth="1"/>
    <col min="5" max="5" width="27.33203125" style="69" customWidth="1"/>
    <col min="6" max="6" width="11.83203125" style="69" customWidth="1"/>
    <col min="7" max="7" width="11.5" style="69" customWidth="1"/>
    <col min="8" max="8" width="20.83203125" style="69" customWidth="1"/>
    <col min="9" max="9" width="15.5" style="69" customWidth="1"/>
    <col min="10" max="16" width="15.83203125" style="69" customWidth="1"/>
    <col min="17" max="17" width="57.5" style="69" customWidth="1"/>
    <col min="18" max="18" width="79" style="69" customWidth="1"/>
    <col min="19" max="19" width="4.33203125" style="69" customWidth="1"/>
    <col min="20" max="16384" width="8.6640625" style="69"/>
  </cols>
  <sheetData>
    <row r="1" spans="1:19" x14ac:dyDescent="0.2">
      <c r="A1" s="69">
        <v>3</v>
      </c>
      <c r="B1" s="76" t="s">
        <v>176</v>
      </c>
      <c r="D1" s="119">
        <f>MAX(D4:D377)</f>
        <v>0</v>
      </c>
    </row>
    <row r="2" spans="1:19" x14ac:dyDescent="0.2">
      <c r="A2" s="69">
        <f>COUNTIF(A$4:A$500,"&gt;3")</f>
        <v>27</v>
      </c>
      <c r="B2" s="69">
        <f>COUNTIF(B$4:B$500,B1)</f>
        <v>25</v>
      </c>
      <c r="E2" s="69">
        <f>COUNTIF(E4:E500,"*")</f>
        <v>377</v>
      </c>
      <c r="J2" s="69">
        <v>7</v>
      </c>
      <c r="K2" s="69">
        <v>8</v>
      </c>
      <c r="L2" s="69">
        <v>9</v>
      </c>
      <c r="M2" s="69">
        <v>10</v>
      </c>
      <c r="N2" s="69">
        <v>11</v>
      </c>
      <c r="O2" s="69">
        <v>12</v>
      </c>
    </row>
    <row r="3" spans="1:19" ht="60" x14ac:dyDescent="0.2">
      <c r="A3" s="74" t="s">
        <v>25</v>
      </c>
      <c r="B3" s="74" t="s">
        <v>22</v>
      </c>
      <c r="C3" s="74" t="s">
        <v>139</v>
      </c>
      <c r="D3" s="74" t="s">
        <v>177</v>
      </c>
      <c r="E3" s="74" t="s">
        <v>140</v>
      </c>
      <c r="F3" s="74" t="s">
        <v>141</v>
      </c>
      <c r="G3" s="74" t="s">
        <v>178</v>
      </c>
      <c r="H3" s="74" t="s">
        <v>142</v>
      </c>
      <c r="I3" s="74" t="s">
        <v>143</v>
      </c>
      <c r="J3" s="74" t="s">
        <v>16</v>
      </c>
      <c r="K3" s="74" t="s">
        <v>17</v>
      </c>
      <c r="L3" s="74" t="s">
        <v>18</v>
      </c>
      <c r="M3" s="74" t="s">
        <v>19</v>
      </c>
      <c r="N3" s="74" t="s">
        <v>20</v>
      </c>
      <c r="O3" s="74" t="s">
        <v>21</v>
      </c>
      <c r="P3" s="74" t="s">
        <v>23</v>
      </c>
      <c r="Q3" s="74" t="s">
        <v>24</v>
      </c>
      <c r="R3" s="74" t="s">
        <v>144</v>
      </c>
    </row>
    <row r="4" spans="1:19" ht="28" x14ac:dyDescent="0.2">
      <c r="A4" s="75">
        <f t="shared" ref="A4:A67" si="0">IF(E4="",-1,IF(COUNTIF(J4:O4,"yes")=0,0,COUNTIF(J4:O4,"yes")))</f>
        <v>6</v>
      </c>
      <c r="B4" s="76" t="s">
        <v>179</v>
      </c>
      <c r="C4" s="77">
        <v>44995</v>
      </c>
      <c r="D4" s="77" t="s">
        <v>180</v>
      </c>
      <c r="E4" s="78" t="s">
        <v>26</v>
      </c>
      <c r="F4" s="79" t="s">
        <v>149</v>
      </c>
      <c r="G4" s="79">
        <v>5</v>
      </c>
      <c r="H4" s="79" t="s">
        <v>2</v>
      </c>
      <c r="I4" s="79" t="s">
        <v>146</v>
      </c>
      <c r="J4" s="69" t="s">
        <v>28</v>
      </c>
      <c r="K4" s="69" t="s">
        <v>28</v>
      </c>
      <c r="L4" s="69" t="s">
        <v>28</v>
      </c>
      <c r="M4" s="69" t="s">
        <v>28</v>
      </c>
      <c r="N4" s="69" t="s">
        <v>28</v>
      </c>
      <c r="O4" s="69" t="str">
        <f>IF(OR(ISERROR(VLOOKUP($E4,'Summary-Fundraise'!$A$3:$L$76,O$2,FALSE)),0),"",VLOOKUP($E4,'Summary-Fundraise'!$A$3:$L$76,O$2,FALSE))</f>
        <v>Yes</v>
      </c>
      <c r="P4" s="69">
        <v>5</v>
      </c>
      <c r="Q4" s="80" t="s">
        <v>170</v>
      </c>
      <c r="R4" s="80" t="s">
        <v>170</v>
      </c>
    </row>
    <row r="5" spans="1:19" ht="15" x14ac:dyDescent="0.2">
      <c r="A5" s="75">
        <f t="shared" si="0"/>
        <v>6</v>
      </c>
      <c r="B5" s="76" t="s">
        <v>179</v>
      </c>
      <c r="C5" s="77">
        <v>44652</v>
      </c>
      <c r="D5" s="77" t="s">
        <v>181</v>
      </c>
      <c r="E5" s="78" t="s">
        <v>30</v>
      </c>
      <c r="F5" s="79" t="s">
        <v>182</v>
      </c>
      <c r="G5" s="79">
        <v>30</v>
      </c>
      <c r="H5" s="79" t="s">
        <v>4</v>
      </c>
      <c r="I5" s="79" t="s">
        <v>148</v>
      </c>
      <c r="J5" s="69" t="s">
        <v>28</v>
      </c>
      <c r="K5" s="69" t="s">
        <v>28</v>
      </c>
      <c r="L5" s="69" t="s">
        <v>28</v>
      </c>
      <c r="M5" s="69" t="s">
        <v>28</v>
      </c>
      <c r="N5" s="69" t="s">
        <v>28</v>
      </c>
      <c r="O5" s="69" t="s">
        <v>28</v>
      </c>
      <c r="P5" s="69">
        <v>30</v>
      </c>
      <c r="Q5" s="80" t="s">
        <v>183</v>
      </c>
      <c r="R5" s="80"/>
    </row>
    <row r="6" spans="1:19" ht="28" x14ac:dyDescent="0.2">
      <c r="A6" s="75">
        <f t="shared" si="0"/>
        <v>6</v>
      </c>
      <c r="B6" s="76" t="s">
        <v>179</v>
      </c>
      <c r="C6" s="77">
        <v>44805</v>
      </c>
      <c r="D6" s="77" t="s">
        <v>184</v>
      </c>
      <c r="E6" s="84" t="s">
        <v>185</v>
      </c>
      <c r="F6" s="79" t="s">
        <v>182</v>
      </c>
      <c r="G6" s="79"/>
      <c r="H6" s="79" t="s">
        <v>4</v>
      </c>
      <c r="I6" s="79" t="s">
        <v>146</v>
      </c>
      <c r="J6" s="69" t="s">
        <v>28</v>
      </c>
      <c r="K6" s="69" t="s">
        <v>28</v>
      </c>
      <c r="L6" s="69" t="s">
        <v>28</v>
      </c>
      <c r="M6" s="69" t="s">
        <v>28</v>
      </c>
      <c r="N6" s="69" t="s">
        <v>28</v>
      </c>
      <c r="O6" s="69" t="s">
        <v>28</v>
      </c>
      <c r="P6" s="69">
        <v>20</v>
      </c>
      <c r="Q6" s="99"/>
      <c r="R6" s="99"/>
    </row>
    <row r="7" spans="1:19" ht="15" x14ac:dyDescent="0.2">
      <c r="A7" s="75">
        <f t="shared" si="0"/>
        <v>5</v>
      </c>
      <c r="B7" s="76" t="s">
        <v>32</v>
      </c>
      <c r="C7" s="77">
        <v>45078</v>
      </c>
      <c r="D7" s="77" t="s">
        <v>186</v>
      </c>
      <c r="E7" s="78" t="s">
        <v>107</v>
      </c>
      <c r="F7" s="79" t="s">
        <v>187</v>
      </c>
      <c r="G7" s="79">
        <v>0</v>
      </c>
      <c r="H7" s="79" t="s">
        <v>188</v>
      </c>
      <c r="I7" s="79" t="s">
        <v>148</v>
      </c>
      <c r="J7" s="69" t="s">
        <v>28</v>
      </c>
      <c r="K7" s="69" t="s">
        <v>28</v>
      </c>
      <c r="L7" s="69" t="s">
        <v>28</v>
      </c>
      <c r="M7" s="69" t="s">
        <v>28</v>
      </c>
      <c r="N7" s="69" t="s">
        <v>28</v>
      </c>
      <c r="Q7" s="80" t="s">
        <v>189</v>
      </c>
      <c r="R7" s="80" t="s">
        <v>190</v>
      </c>
    </row>
    <row r="8" spans="1:19" ht="15" x14ac:dyDescent="0.2">
      <c r="A8" s="75">
        <f t="shared" si="0"/>
        <v>5</v>
      </c>
      <c r="B8" s="76" t="s">
        <v>32</v>
      </c>
      <c r="C8" s="77">
        <v>45536</v>
      </c>
      <c r="D8" s="77" t="s">
        <v>191</v>
      </c>
      <c r="E8" s="84" t="s">
        <v>192</v>
      </c>
      <c r="F8" s="79" t="s">
        <v>145</v>
      </c>
      <c r="G8" s="79"/>
      <c r="H8" s="79" t="s">
        <v>188</v>
      </c>
      <c r="I8" s="79" t="s">
        <v>148</v>
      </c>
      <c r="J8" s="69" t="s">
        <v>28</v>
      </c>
      <c r="K8" s="69" t="s">
        <v>28</v>
      </c>
      <c r="L8" s="69" t="s">
        <v>28</v>
      </c>
      <c r="M8" s="69" t="s">
        <v>28</v>
      </c>
      <c r="N8" s="69" t="s">
        <v>28</v>
      </c>
      <c r="Q8" s="99"/>
      <c r="R8" s="99"/>
      <c r="S8" s="69" t="s">
        <v>157</v>
      </c>
    </row>
    <row r="9" spans="1:19" ht="15" x14ac:dyDescent="0.2">
      <c r="A9" s="75">
        <f t="shared" si="0"/>
        <v>5</v>
      </c>
      <c r="B9" s="76" t="s">
        <v>32</v>
      </c>
      <c r="C9" s="77">
        <v>44986</v>
      </c>
      <c r="D9" s="77" t="s">
        <v>193</v>
      </c>
      <c r="E9" s="84" t="s">
        <v>147</v>
      </c>
      <c r="F9" s="79" t="s">
        <v>145</v>
      </c>
      <c r="G9" s="79"/>
      <c r="H9" s="79" t="s">
        <v>188</v>
      </c>
      <c r="I9" s="79" t="s">
        <v>148</v>
      </c>
      <c r="J9" s="69" t="s">
        <v>28</v>
      </c>
      <c r="K9" s="69" t="s">
        <v>28</v>
      </c>
      <c r="L9" s="69" t="s">
        <v>28</v>
      </c>
      <c r="M9" s="69" t="s">
        <v>28</v>
      </c>
      <c r="N9" s="69" t="s">
        <v>28</v>
      </c>
      <c r="Q9" s="99"/>
      <c r="R9" s="99"/>
    </row>
    <row r="10" spans="1:19" ht="15" x14ac:dyDescent="0.2">
      <c r="A10" s="75">
        <f t="shared" si="0"/>
        <v>5</v>
      </c>
      <c r="B10" s="76" t="s">
        <v>32</v>
      </c>
      <c r="C10" s="77">
        <v>45536</v>
      </c>
      <c r="D10" s="77" t="s">
        <v>194</v>
      </c>
      <c r="E10" s="84" t="s">
        <v>195</v>
      </c>
      <c r="F10" s="79" t="s">
        <v>145</v>
      </c>
      <c r="G10" s="79">
        <v>0</v>
      </c>
      <c r="H10" s="79" t="s">
        <v>188</v>
      </c>
      <c r="I10" s="79" t="s">
        <v>148</v>
      </c>
      <c r="J10" s="69" t="s">
        <v>28</v>
      </c>
      <c r="K10" s="69" t="s">
        <v>28</v>
      </c>
      <c r="L10" s="69" t="s">
        <v>28</v>
      </c>
      <c r="M10" s="69" t="s">
        <v>28</v>
      </c>
      <c r="N10" s="69" t="s">
        <v>28</v>
      </c>
      <c r="Q10" s="99" t="s">
        <v>196</v>
      </c>
      <c r="R10" s="99"/>
    </row>
    <row r="11" spans="1:19" ht="28" x14ac:dyDescent="0.2">
      <c r="A11" s="75">
        <f t="shared" si="0"/>
        <v>4</v>
      </c>
      <c r="B11" s="76" t="s">
        <v>197</v>
      </c>
      <c r="C11" s="77">
        <v>45536</v>
      </c>
      <c r="D11" s="77" t="s">
        <v>198</v>
      </c>
      <c r="E11" s="78" t="s">
        <v>199</v>
      </c>
      <c r="F11" s="79" t="s">
        <v>145</v>
      </c>
      <c r="G11" s="79">
        <v>200</v>
      </c>
      <c r="H11" s="79" t="s">
        <v>12</v>
      </c>
      <c r="I11" s="79" t="s">
        <v>148</v>
      </c>
      <c r="J11" s="69" t="s">
        <v>28</v>
      </c>
      <c r="K11" s="69" t="s">
        <v>28</v>
      </c>
      <c r="L11" s="69" t="s">
        <v>28</v>
      </c>
      <c r="M11" s="69" t="s">
        <v>28</v>
      </c>
      <c r="Q11" s="80" t="s">
        <v>200</v>
      </c>
      <c r="R11" s="80" t="s">
        <v>201</v>
      </c>
    </row>
    <row r="12" spans="1:19" ht="28" x14ac:dyDescent="0.2">
      <c r="A12" s="75">
        <f t="shared" si="0"/>
        <v>4</v>
      </c>
      <c r="B12" s="76" t="s">
        <v>197</v>
      </c>
      <c r="C12" s="77">
        <v>45036</v>
      </c>
      <c r="D12" s="77" t="s">
        <v>202</v>
      </c>
      <c r="E12" s="78" t="s">
        <v>46</v>
      </c>
      <c r="F12" s="79" t="s">
        <v>145</v>
      </c>
      <c r="G12" s="79">
        <v>25</v>
      </c>
      <c r="H12" s="79" t="s">
        <v>168</v>
      </c>
      <c r="I12" s="79" t="s">
        <v>148</v>
      </c>
      <c r="J12" s="69" t="s">
        <v>28</v>
      </c>
      <c r="K12" s="69" t="s">
        <v>28</v>
      </c>
      <c r="L12" s="69" t="s">
        <v>28</v>
      </c>
      <c r="M12" s="69" t="s">
        <v>28</v>
      </c>
      <c r="Q12" s="80" t="s">
        <v>203</v>
      </c>
      <c r="R12" s="80" t="s">
        <v>158</v>
      </c>
    </row>
    <row r="13" spans="1:19" ht="28" x14ac:dyDescent="0.2">
      <c r="A13" s="75">
        <f t="shared" si="0"/>
        <v>4</v>
      </c>
      <c r="B13" s="76" t="s">
        <v>32</v>
      </c>
      <c r="C13" s="77">
        <v>45536</v>
      </c>
      <c r="D13" s="77" t="s">
        <v>204</v>
      </c>
      <c r="E13" s="84" t="s">
        <v>205</v>
      </c>
      <c r="F13" s="79" t="s">
        <v>145</v>
      </c>
      <c r="G13" s="79"/>
      <c r="H13" s="79" t="s">
        <v>12</v>
      </c>
      <c r="I13" s="79" t="s">
        <v>148</v>
      </c>
      <c r="J13" s="69" t="s">
        <v>28</v>
      </c>
      <c r="K13" s="69" t="s">
        <v>28</v>
      </c>
      <c r="L13" s="69" t="s">
        <v>28</v>
      </c>
      <c r="M13" s="69" t="s">
        <v>28</v>
      </c>
      <c r="Q13" s="99" t="s">
        <v>206</v>
      </c>
      <c r="R13" s="99"/>
    </row>
    <row r="14" spans="1:19" ht="15" x14ac:dyDescent="0.2">
      <c r="A14" s="75">
        <f t="shared" si="0"/>
        <v>4</v>
      </c>
      <c r="B14" s="76" t="s">
        <v>32</v>
      </c>
      <c r="C14" s="77">
        <v>45608</v>
      </c>
      <c r="D14" s="77" t="s">
        <v>207</v>
      </c>
      <c r="E14" s="84" t="s">
        <v>208</v>
      </c>
      <c r="F14" s="79" t="s">
        <v>145</v>
      </c>
      <c r="G14" s="79"/>
      <c r="H14" s="79" t="s">
        <v>188</v>
      </c>
      <c r="I14" s="79" t="s">
        <v>171</v>
      </c>
      <c r="J14" s="69" t="s">
        <v>28</v>
      </c>
      <c r="K14" s="69" t="s">
        <v>28</v>
      </c>
      <c r="L14" s="69" t="s">
        <v>28</v>
      </c>
      <c r="M14" s="69" t="s">
        <v>28</v>
      </c>
      <c r="Q14" s="99" t="s">
        <v>209</v>
      </c>
      <c r="R14" s="99"/>
    </row>
    <row r="15" spans="1:19" ht="25.5" customHeight="1" x14ac:dyDescent="0.2">
      <c r="A15" s="75">
        <f t="shared" si="0"/>
        <v>4</v>
      </c>
      <c r="B15" s="76" t="s">
        <v>40</v>
      </c>
      <c r="C15" s="77">
        <v>45078</v>
      </c>
      <c r="D15" s="77" t="s">
        <v>210</v>
      </c>
      <c r="E15" s="78" t="s">
        <v>211</v>
      </c>
      <c r="F15" s="79" t="s">
        <v>145</v>
      </c>
      <c r="G15" s="79">
        <v>50</v>
      </c>
      <c r="H15" s="79" t="s">
        <v>8</v>
      </c>
      <c r="I15" s="79" t="s">
        <v>148</v>
      </c>
      <c r="J15" s="69" t="s">
        <v>28</v>
      </c>
      <c r="K15" s="69" t="s">
        <v>28</v>
      </c>
      <c r="L15" s="69" t="s">
        <v>28</v>
      </c>
      <c r="M15" s="69" t="s">
        <v>28</v>
      </c>
      <c r="N15" s="69" t="s">
        <v>212</v>
      </c>
      <c r="O15" s="69" t="str">
        <f>IF(OR(ISERROR(VLOOKUP($E15,'Summary-Fundraise'!$A$3:$L$76,O$2,FALSE)),0),"",VLOOKUP($E15,'Summary-Fundraise'!$A$3:$L$76,O$2,FALSE))</f>
        <v/>
      </c>
      <c r="Q15" s="80" t="s">
        <v>213</v>
      </c>
      <c r="R15" s="80" t="s">
        <v>213</v>
      </c>
    </row>
    <row r="16" spans="1:19" ht="15" x14ac:dyDescent="0.2">
      <c r="A16" s="75">
        <f t="shared" si="0"/>
        <v>4</v>
      </c>
      <c r="B16" s="76" t="s">
        <v>176</v>
      </c>
      <c r="C16" s="77">
        <v>45078</v>
      </c>
      <c r="D16" s="77" t="s">
        <v>214</v>
      </c>
      <c r="E16" s="78" t="s">
        <v>111</v>
      </c>
      <c r="F16" s="79" t="s">
        <v>145</v>
      </c>
      <c r="G16" s="79">
        <v>25</v>
      </c>
      <c r="H16" s="79" t="s">
        <v>11</v>
      </c>
      <c r="I16" s="79" t="s">
        <v>148</v>
      </c>
      <c r="J16" s="69" t="s">
        <v>28</v>
      </c>
      <c r="K16" s="69" t="s">
        <v>28</v>
      </c>
      <c r="L16" s="69" t="s">
        <v>28</v>
      </c>
      <c r="M16" s="69" t="s">
        <v>28</v>
      </c>
      <c r="N16" s="69" t="s">
        <v>212</v>
      </c>
      <c r="O16" s="69" t="str">
        <f>IF(OR(ISERROR(VLOOKUP($E16,'Summary-Fundraise'!$A$3:$L$76,O$2,FALSE)),0),"",VLOOKUP($E16,'Summary-Fundraise'!$A$3:$L$76,O$2,FALSE))</f>
        <v/>
      </c>
      <c r="Q16" s="80" t="s">
        <v>215</v>
      </c>
      <c r="R16" s="80" t="s">
        <v>212</v>
      </c>
    </row>
    <row r="17" spans="1:18" ht="28" x14ac:dyDescent="0.2">
      <c r="A17" s="75">
        <f t="shared" si="0"/>
        <v>4</v>
      </c>
      <c r="B17" s="76" t="s">
        <v>32</v>
      </c>
      <c r="C17" s="77">
        <v>45078</v>
      </c>
      <c r="D17" s="77" t="s">
        <v>216</v>
      </c>
      <c r="E17" s="78" t="s">
        <v>217</v>
      </c>
      <c r="F17" s="79" t="s">
        <v>145</v>
      </c>
      <c r="G17" s="79">
        <v>50</v>
      </c>
      <c r="H17" s="79" t="s">
        <v>12</v>
      </c>
      <c r="I17" s="79" t="s">
        <v>148</v>
      </c>
      <c r="J17" s="69" t="s">
        <v>28</v>
      </c>
      <c r="K17" s="69" t="s">
        <v>28</v>
      </c>
      <c r="L17" s="69" t="s">
        <v>28</v>
      </c>
      <c r="M17" s="69" t="s">
        <v>28</v>
      </c>
      <c r="N17" s="69" t="s">
        <v>212</v>
      </c>
      <c r="O17" s="69" t="str">
        <f>IF(OR(ISERROR(VLOOKUP($E17,'Summary-Fundraise'!$A$3:$L$76,O$2,FALSE)),0),"",VLOOKUP($E17,'Summary-Fundraise'!$A$3:$L$76,O$2,FALSE))</f>
        <v/>
      </c>
      <c r="Q17" s="80" t="s">
        <v>218</v>
      </c>
      <c r="R17" s="80" t="s">
        <v>212</v>
      </c>
    </row>
    <row r="18" spans="1:18" ht="15" x14ac:dyDescent="0.2">
      <c r="A18" s="75">
        <f t="shared" si="0"/>
        <v>4</v>
      </c>
      <c r="B18" s="76" t="s">
        <v>32</v>
      </c>
      <c r="C18" s="77">
        <v>45078</v>
      </c>
      <c r="D18" s="77" t="s">
        <v>219</v>
      </c>
      <c r="E18" s="78" t="s">
        <v>114</v>
      </c>
      <c r="F18" s="79" t="s">
        <v>145</v>
      </c>
      <c r="G18" s="79">
        <v>50</v>
      </c>
      <c r="H18" s="79" t="s">
        <v>2</v>
      </c>
      <c r="I18" s="79" t="s">
        <v>148</v>
      </c>
      <c r="J18" s="69" t="s">
        <v>28</v>
      </c>
      <c r="K18" s="69" t="s">
        <v>28</v>
      </c>
      <c r="L18" s="69" t="s">
        <v>28</v>
      </c>
      <c r="M18" s="69" t="s">
        <v>28</v>
      </c>
      <c r="N18" s="69" t="s">
        <v>212</v>
      </c>
      <c r="O18" s="69" t="str">
        <f>IF(OR(ISERROR(VLOOKUP($E18,'Summary-Fundraise'!$A$3:$L$76,O$2,FALSE)),0),"",VLOOKUP($E18,'Summary-Fundraise'!$A$3:$L$76,O$2,FALSE))</f>
        <v/>
      </c>
      <c r="Q18" s="80" t="s">
        <v>220</v>
      </c>
      <c r="R18" s="80" t="s">
        <v>212</v>
      </c>
    </row>
    <row r="19" spans="1:18" ht="28" x14ac:dyDescent="0.2">
      <c r="A19" s="75">
        <f t="shared" si="0"/>
        <v>4</v>
      </c>
      <c r="B19" s="76" t="s">
        <v>197</v>
      </c>
      <c r="C19" s="77">
        <v>45045</v>
      </c>
      <c r="D19" s="77" t="s">
        <v>221</v>
      </c>
      <c r="E19" s="78" t="s">
        <v>34</v>
      </c>
      <c r="F19" s="79" t="s">
        <v>147</v>
      </c>
      <c r="G19" s="79">
        <v>25</v>
      </c>
      <c r="H19" s="79" t="s">
        <v>168</v>
      </c>
      <c r="I19" s="79" t="s">
        <v>146</v>
      </c>
      <c r="J19" s="69" t="s">
        <v>28</v>
      </c>
      <c r="K19" s="69" t="s">
        <v>28</v>
      </c>
      <c r="L19" s="69" t="s">
        <v>28</v>
      </c>
      <c r="M19" s="69" t="s">
        <v>28</v>
      </c>
      <c r="Q19" s="80" t="s">
        <v>222</v>
      </c>
      <c r="R19" s="80" t="s">
        <v>165</v>
      </c>
    </row>
    <row r="20" spans="1:18" ht="28" x14ac:dyDescent="0.2">
      <c r="A20" s="75">
        <f t="shared" si="0"/>
        <v>4</v>
      </c>
      <c r="B20" s="76" t="s">
        <v>176</v>
      </c>
      <c r="C20" s="77">
        <v>44652</v>
      </c>
      <c r="D20" s="77" t="s">
        <v>223</v>
      </c>
      <c r="E20" s="78" t="s">
        <v>224</v>
      </c>
      <c r="F20" s="79" t="s">
        <v>145</v>
      </c>
      <c r="G20" s="79">
        <v>300</v>
      </c>
      <c r="H20" s="79" t="s">
        <v>225</v>
      </c>
      <c r="I20" s="79" t="s">
        <v>148</v>
      </c>
      <c r="J20" s="69" t="s">
        <v>28</v>
      </c>
      <c r="K20" s="69" t="s">
        <v>28</v>
      </c>
      <c r="L20" s="69" t="s">
        <v>28</v>
      </c>
      <c r="M20" s="69" t="s">
        <v>28</v>
      </c>
      <c r="N20" s="69" t="s">
        <v>212</v>
      </c>
      <c r="O20" s="69" t="str">
        <f>IF(OR(ISERROR(VLOOKUP($E20,'Summary-Fundraise'!$A$3:$L$76,O$2,FALSE)),0),"",VLOOKUP($E20,'Summary-Fundraise'!$A$3:$L$76,O$2,FALSE))</f>
        <v/>
      </c>
      <c r="Q20" s="80" t="s">
        <v>226</v>
      </c>
      <c r="R20" s="80" t="s">
        <v>212</v>
      </c>
    </row>
    <row r="21" spans="1:18" ht="28" x14ac:dyDescent="0.2">
      <c r="A21" s="75">
        <f t="shared" si="0"/>
        <v>4</v>
      </c>
      <c r="B21" s="76" t="s">
        <v>197</v>
      </c>
      <c r="C21" s="77">
        <v>45078</v>
      </c>
      <c r="D21" s="77" t="s">
        <v>227</v>
      </c>
      <c r="E21" s="78" t="s">
        <v>228</v>
      </c>
      <c r="F21" s="79" t="s">
        <v>182</v>
      </c>
      <c r="G21" s="79">
        <v>200</v>
      </c>
      <c r="H21" s="79" t="s">
        <v>12</v>
      </c>
      <c r="I21" s="79" t="s">
        <v>148</v>
      </c>
      <c r="J21" s="69" t="s">
        <v>28</v>
      </c>
      <c r="K21" s="69" t="s">
        <v>28</v>
      </c>
      <c r="L21" s="69" t="s">
        <v>28</v>
      </c>
      <c r="M21" s="69" t="s">
        <v>28</v>
      </c>
      <c r="Q21" s="80" t="s">
        <v>229</v>
      </c>
      <c r="R21" s="80"/>
    </row>
    <row r="22" spans="1:18" ht="28" x14ac:dyDescent="0.2">
      <c r="A22" s="75">
        <f t="shared" si="0"/>
        <v>4</v>
      </c>
      <c r="B22" s="76" t="s">
        <v>197</v>
      </c>
      <c r="C22" s="77">
        <v>45078</v>
      </c>
      <c r="D22" s="77" t="s">
        <v>230</v>
      </c>
      <c r="E22" s="84" t="s">
        <v>231</v>
      </c>
      <c r="F22" s="79" t="s">
        <v>182</v>
      </c>
      <c r="G22" s="79">
        <v>300</v>
      </c>
      <c r="H22" s="79" t="s">
        <v>12</v>
      </c>
      <c r="I22" s="79" t="s">
        <v>148</v>
      </c>
      <c r="J22" s="69" t="s">
        <v>28</v>
      </c>
      <c r="K22" s="69" t="s">
        <v>28</v>
      </c>
      <c r="L22" s="69" t="s">
        <v>28</v>
      </c>
      <c r="M22" s="69" t="s">
        <v>28</v>
      </c>
      <c r="Q22" s="80" t="s">
        <v>229</v>
      </c>
      <c r="R22" s="99"/>
    </row>
    <row r="23" spans="1:18" ht="28" x14ac:dyDescent="0.2">
      <c r="A23" s="75">
        <f t="shared" si="0"/>
        <v>4</v>
      </c>
      <c r="B23" s="76" t="s">
        <v>197</v>
      </c>
      <c r="C23" s="77">
        <v>45097</v>
      </c>
      <c r="D23" s="77" t="s">
        <v>232</v>
      </c>
      <c r="E23" s="78" t="s">
        <v>42</v>
      </c>
      <c r="F23" s="79" t="s">
        <v>145</v>
      </c>
      <c r="G23" s="79">
        <v>25</v>
      </c>
      <c r="H23" s="79" t="s">
        <v>2</v>
      </c>
      <c r="I23" s="79" t="s">
        <v>146</v>
      </c>
      <c r="J23" s="69" t="s">
        <v>28</v>
      </c>
      <c r="K23" s="69" t="s">
        <v>28</v>
      </c>
      <c r="L23" s="69" t="s">
        <v>28</v>
      </c>
      <c r="M23" s="69" t="s">
        <v>28</v>
      </c>
      <c r="Q23" s="80" t="s">
        <v>233</v>
      </c>
      <c r="R23" s="80" t="s">
        <v>163</v>
      </c>
    </row>
    <row r="24" spans="1:18" ht="15" x14ac:dyDescent="0.2">
      <c r="A24" s="75">
        <f t="shared" si="0"/>
        <v>4</v>
      </c>
      <c r="B24" s="76" t="s">
        <v>40</v>
      </c>
      <c r="C24" s="77">
        <v>45078</v>
      </c>
      <c r="D24" s="77" t="s">
        <v>234</v>
      </c>
      <c r="E24" s="78" t="s">
        <v>235</v>
      </c>
      <c r="F24" s="79" t="s">
        <v>145</v>
      </c>
      <c r="G24" s="79">
        <v>100</v>
      </c>
      <c r="H24" s="79" t="s">
        <v>2</v>
      </c>
      <c r="I24" s="79" t="s">
        <v>148</v>
      </c>
      <c r="J24" s="69" t="s">
        <v>28</v>
      </c>
      <c r="K24" s="69" t="s">
        <v>28</v>
      </c>
      <c r="L24" s="69" t="s">
        <v>28</v>
      </c>
      <c r="M24" s="69" t="s">
        <v>28</v>
      </c>
      <c r="N24" s="69" t="s">
        <v>212</v>
      </c>
      <c r="O24" s="69" t="str">
        <f>IF(OR(ISERROR(VLOOKUP($E24,'Summary-Fundraise'!$A$3:$L$76,O$2,FALSE)),0),"",VLOOKUP($E24,'Summary-Fundraise'!$A$3:$L$76,O$2,FALSE))</f>
        <v/>
      </c>
      <c r="Q24" s="80" t="s">
        <v>236</v>
      </c>
      <c r="R24" s="80" t="s">
        <v>236</v>
      </c>
    </row>
    <row r="25" spans="1:18" ht="28" x14ac:dyDescent="0.2">
      <c r="A25" s="75">
        <f t="shared" si="0"/>
        <v>4</v>
      </c>
      <c r="B25" s="76" t="s">
        <v>40</v>
      </c>
      <c r="C25" s="121">
        <v>44652</v>
      </c>
      <c r="D25" s="77" t="s">
        <v>237</v>
      </c>
      <c r="E25" s="78" t="s">
        <v>238</v>
      </c>
      <c r="F25" s="79" t="s">
        <v>145</v>
      </c>
      <c r="G25" s="79">
        <v>100</v>
      </c>
      <c r="H25" s="79" t="s">
        <v>6</v>
      </c>
      <c r="I25" s="79" t="s">
        <v>146</v>
      </c>
      <c r="J25" s="69" t="s">
        <v>28</v>
      </c>
      <c r="K25" s="69" t="s">
        <v>28</v>
      </c>
      <c r="L25" s="69" t="s">
        <v>28</v>
      </c>
      <c r="M25" s="69" t="s">
        <v>28</v>
      </c>
      <c r="N25" s="69" t="s">
        <v>212</v>
      </c>
      <c r="O25" s="69" t="str">
        <f>IF(OR(ISERROR(VLOOKUP($E25,'Summary-Fundraise'!$A$3:$L$76,O$2,FALSE)),0),"",VLOOKUP($E25,'Summary-Fundraise'!$A$3:$L$76,O$2,FALSE))</f>
        <v/>
      </c>
      <c r="Q25" s="80" t="s">
        <v>239</v>
      </c>
      <c r="R25" s="80" t="s">
        <v>212</v>
      </c>
    </row>
    <row r="26" spans="1:18" ht="15" x14ac:dyDescent="0.2">
      <c r="A26" s="75">
        <f t="shared" si="0"/>
        <v>4</v>
      </c>
      <c r="B26" s="76" t="s">
        <v>32</v>
      </c>
      <c r="C26" s="77">
        <v>45383</v>
      </c>
      <c r="D26" s="77" t="s">
        <v>240</v>
      </c>
      <c r="E26" s="84" t="s">
        <v>82</v>
      </c>
      <c r="F26" s="79" t="s">
        <v>147</v>
      </c>
      <c r="G26" s="79">
        <v>100</v>
      </c>
      <c r="H26" s="79" t="s">
        <v>2</v>
      </c>
      <c r="I26" s="79" t="s">
        <v>148</v>
      </c>
      <c r="J26" s="69" t="s">
        <v>28</v>
      </c>
      <c r="K26" s="69" t="s">
        <v>28</v>
      </c>
      <c r="L26" s="69" t="s">
        <v>28</v>
      </c>
      <c r="M26" s="69" t="s">
        <v>28</v>
      </c>
      <c r="Q26" s="80" t="s">
        <v>241</v>
      </c>
      <c r="R26" s="80">
        <v>0</v>
      </c>
    </row>
    <row r="27" spans="1:18" ht="28" x14ac:dyDescent="0.2">
      <c r="A27" s="75">
        <f t="shared" si="0"/>
        <v>4</v>
      </c>
      <c r="B27" s="76" t="s">
        <v>197</v>
      </c>
      <c r="C27" s="77">
        <v>44927</v>
      </c>
      <c r="D27" s="77" t="s">
        <v>242</v>
      </c>
      <c r="E27" s="78" t="s">
        <v>243</v>
      </c>
      <c r="F27" s="79" t="s">
        <v>145</v>
      </c>
      <c r="G27" s="79">
        <v>50</v>
      </c>
      <c r="H27" s="79" t="s">
        <v>2</v>
      </c>
      <c r="I27" s="79" t="s">
        <v>146</v>
      </c>
      <c r="J27" s="69" t="s">
        <v>28</v>
      </c>
      <c r="K27" s="69" t="s">
        <v>28</v>
      </c>
      <c r="L27" s="69" t="s">
        <v>28</v>
      </c>
      <c r="M27" s="69" t="s">
        <v>28</v>
      </c>
      <c r="Q27" s="80" t="s">
        <v>241</v>
      </c>
      <c r="R27" s="80" t="s">
        <v>167</v>
      </c>
    </row>
    <row r="28" spans="1:18" ht="28" x14ac:dyDescent="0.2">
      <c r="A28" s="75">
        <f t="shared" si="0"/>
        <v>4</v>
      </c>
      <c r="B28" s="76" t="s">
        <v>197</v>
      </c>
      <c r="C28" s="77">
        <v>45078</v>
      </c>
      <c r="D28" s="77" t="s">
        <v>244</v>
      </c>
      <c r="E28" s="78" t="s">
        <v>85</v>
      </c>
      <c r="F28" s="79" t="s">
        <v>4</v>
      </c>
      <c r="G28" s="79">
        <v>25</v>
      </c>
      <c r="H28" s="79" t="s">
        <v>12</v>
      </c>
      <c r="I28" s="79" t="s">
        <v>171</v>
      </c>
      <c r="J28" s="69" t="s">
        <v>28</v>
      </c>
      <c r="K28" s="69" t="s">
        <v>28</v>
      </c>
      <c r="L28" s="69" t="s">
        <v>28</v>
      </c>
      <c r="M28" s="69" t="s">
        <v>28</v>
      </c>
      <c r="Q28" s="80" t="s">
        <v>245</v>
      </c>
      <c r="R28" s="80" t="s">
        <v>174</v>
      </c>
    </row>
    <row r="29" spans="1:18" ht="28" x14ac:dyDescent="0.2">
      <c r="A29" s="75">
        <f t="shared" si="0"/>
        <v>4</v>
      </c>
      <c r="B29" s="76" t="s">
        <v>197</v>
      </c>
      <c r="C29" s="77">
        <v>44927</v>
      </c>
      <c r="D29" s="77" t="s">
        <v>246</v>
      </c>
      <c r="E29" s="78" t="s">
        <v>36</v>
      </c>
      <c r="F29" s="79" t="s">
        <v>145</v>
      </c>
      <c r="G29" s="79">
        <v>115</v>
      </c>
      <c r="H29" s="79" t="s">
        <v>2</v>
      </c>
      <c r="I29" s="79" t="s">
        <v>146</v>
      </c>
      <c r="J29" s="69" t="s">
        <v>28</v>
      </c>
      <c r="K29" s="69" t="s">
        <v>28</v>
      </c>
      <c r="L29" s="69" t="s">
        <v>28</v>
      </c>
      <c r="M29" s="69" t="s">
        <v>28</v>
      </c>
      <c r="Q29" s="80" t="s">
        <v>241</v>
      </c>
      <c r="R29" s="80" t="s">
        <v>247</v>
      </c>
    </row>
    <row r="30" spans="1:18" ht="28" x14ac:dyDescent="0.2">
      <c r="A30" s="75">
        <f t="shared" si="0"/>
        <v>4</v>
      </c>
      <c r="B30" s="76" t="s">
        <v>197</v>
      </c>
      <c r="C30" s="77">
        <v>45078</v>
      </c>
      <c r="D30" s="77" t="s">
        <v>248</v>
      </c>
      <c r="E30" s="84" t="s">
        <v>83</v>
      </c>
      <c r="F30" s="79" t="s">
        <v>147</v>
      </c>
      <c r="G30" s="79">
        <v>25</v>
      </c>
      <c r="H30" s="79" t="s">
        <v>8</v>
      </c>
      <c r="I30" s="79" t="s">
        <v>148</v>
      </c>
      <c r="J30" s="69" t="s">
        <v>28</v>
      </c>
      <c r="K30" s="69" t="s">
        <v>28</v>
      </c>
      <c r="L30" s="69" t="s">
        <v>28</v>
      </c>
      <c r="M30" s="69" t="s">
        <v>28</v>
      </c>
      <c r="Q30" s="80" t="s">
        <v>249</v>
      </c>
      <c r="R30" s="80">
        <v>0</v>
      </c>
    </row>
    <row r="31" spans="1:18" ht="28" x14ac:dyDescent="0.2">
      <c r="A31" s="75">
        <f t="shared" si="0"/>
        <v>3</v>
      </c>
      <c r="B31" s="76" t="s">
        <v>32</v>
      </c>
      <c r="C31" s="77">
        <v>45536</v>
      </c>
      <c r="D31" s="77" t="s">
        <v>250</v>
      </c>
      <c r="E31" s="78" t="s">
        <v>251</v>
      </c>
      <c r="F31" s="79" t="s">
        <v>145</v>
      </c>
      <c r="G31" s="79"/>
      <c r="H31" s="79" t="s">
        <v>12</v>
      </c>
      <c r="I31" s="79" t="s">
        <v>148</v>
      </c>
      <c r="J31" s="69" t="s">
        <v>28</v>
      </c>
      <c r="K31" s="69" t="s">
        <v>28</v>
      </c>
      <c r="L31" s="69" t="s">
        <v>28</v>
      </c>
      <c r="Q31" s="80"/>
      <c r="R31" s="80"/>
    </row>
    <row r="32" spans="1:18" ht="28" x14ac:dyDescent="0.2">
      <c r="A32" s="75">
        <f t="shared" si="0"/>
        <v>3</v>
      </c>
      <c r="B32" s="76" t="s">
        <v>32</v>
      </c>
      <c r="C32" s="77">
        <v>45058</v>
      </c>
      <c r="D32" s="77" t="s">
        <v>252</v>
      </c>
      <c r="E32" s="78" t="s">
        <v>54</v>
      </c>
      <c r="F32" s="79" t="s">
        <v>182</v>
      </c>
      <c r="G32" s="79">
        <v>100</v>
      </c>
      <c r="H32" s="79" t="s">
        <v>12</v>
      </c>
      <c r="I32" s="79" t="s">
        <v>148</v>
      </c>
      <c r="J32" s="69" t="s">
        <v>28</v>
      </c>
      <c r="K32" s="69" t="s">
        <v>28</v>
      </c>
      <c r="L32" s="69" t="s">
        <v>28</v>
      </c>
      <c r="Q32" s="80"/>
      <c r="R32" s="80" t="s">
        <v>253</v>
      </c>
    </row>
    <row r="33" spans="1:22" ht="15" x14ac:dyDescent="0.2">
      <c r="A33" s="75">
        <f t="shared" si="0"/>
        <v>3</v>
      </c>
      <c r="B33" s="76" t="s">
        <v>32</v>
      </c>
      <c r="C33" s="77">
        <v>45536</v>
      </c>
      <c r="D33" s="77" t="s">
        <v>254</v>
      </c>
      <c r="E33" s="84" t="s">
        <v>255</v>
      </c>
      <c r="F33" s="79" t="s">
        <v>145</v>
      </c>
      <c r="G33" s="79"/>
      <c r="H33" s="79" t="s">
        <v>256</v>
      </c>
      <c r="I33" s="79" t="s">
        <v>148</v>
      </c>
      <c r="J33" s="69" t="s">
        <v>28</v>
      </c>
      <c r="K33" s="69" t="s">
        <v>28</v>
      </c>
      <c r="L33" s="69" t="s">
        <v>28</v>
      </c>
      <c r="Q33" s="80"/>
      <c r="R33" s="80"/>
    </row>
    <row r="34" spans="1:22" ht="15" x14ac:dyDescent="0.2">
      <c r="A34" s="75">
        <f t="shared" si="0"/>
        <v>3</v>
      </c>
      <c r="B34" s="76" t="s">
        <v>32</v>
      </c>
      <c r="C34" s="77">
        <v>45022</v>
      </c>
      <c r="D34" s="77" t="s">
        <v>257</v>
      </c>
      <c r="E34" s="78" t="s">
        <v>38</v>
      </c>
      <c r="F34" s="79" t="s">
        <v>147</v>
      </c>
      <c r="G34" s="79">
        <v>10</v>
      </c>
      <c r="H34" s="79" t="s">
        <v>2</v>
      </c>
      <c r="I34" s="79" t="s">
        <v>148</v>
      </c>
      <c r="J34" s="69" t="s">
        <v>28</v>
      </c>
      <c r="K34" s="69" t="s">
        <v>28</v>
      </c>
      <c r="L34" s="69" t="s">
        <v>28</v>
      </c>
      <c r="Q34" s="80"/>
      <c r="R34" s="80" t="s">
        <v>164</v>
      </c>
    </row>
    <row r="35" spans="1:22" ht="15" x14ac:dyDescent="0.2">
      <c r="A35" s="75">
        <f t="shared" si="0"/>
        <v>3</v>
      </c>
      <c r="B35" s="76" t="s">
        <v>32</v>
      </c>
      <c r="C35" s="77">
        <v>45078</v>
      </c>
      <c r="D35" s="77" t="s">
        <v>258</v>
      </c>
      <c r="E35" s="78" t="s">
        <v>98</v>
      </c>
      <c r="F35" s="79" t="s">
        <v>192</v>
      </c>
      <c r="G35" s="79">
        <v>50</v>
      </c>
      <c r="H35" s="79" t="s">
        <v>2</v>
      </c>
      <c r="I35" s="79" t="s">
        <v>148</v>
      </c>
      <c r="J35" s="69" t="s">
        <v>28</v>
      </c>
      <c r="K35" s="69" t="s">
        <v>28</v>
      </c>
      <c r="L35" s="69" t="s">
        <v>28</v>
      </c>
      <c r="M35" s="69" t="s">
        <v>212</v>
      </c>
      <c r="N35" s="69" t="s">
        <v>212</v>
      </c>
      <c r="O35" s="69" t="str">
        <f>IF(OR(ISERROR(VLOOKUP($E35,'Summary-Fundraise'!$A$3:$L$76,O$2,FALSE)),0),"",VLOOKUP($E35,'Summary-Fundraise'!$A$3:$L$76,O$2,FALSE))</f>
        <v/>
      </c>
      <c r="Q35" s="80"/>
      <c r="R35" s="80" t="s">
        <v>212</v>
      </c>
    </row>
    <row r="36" spans="1:22" ht="28" x14ac:dyDescent="0.2">
      <c r="A36" s="75">
        <f t="shared" si="0"/>
        <v>3</v>
      </c>
      <c r="B36" s="76" t="s">
        <v>176</v>
      </c>
      <c r="C36" s="77">
        <v>45031</v>
      </c>
      <c r="D36" s="77" t="s">
        <v>259</v>
      </c>
      <c r="E36" s="78" t="s">
        <v>44</v>
      </c>
      <c r="F36" s="79" t="s">
        <v>149</v>
      </c>
      <c r="G36" s="79">
        <v>25</v>
      </c>
      <c r="H36" s="79" t="s">
        <v>2</v>
      </c>
      <c r="I36" s="79" t="s">
        <v>146</v>
      </c>
      <c r="J36" s="69" t="s">
        <v>28</v>
      </c>
      <c r="K36" s="69" t="s">
        <v>28</v>
      </c>
      <c r="L36" s="69" t="s">
        <v>28</v>
      </c>
      <c r="Q36" s="80"/>
      <c r="R36" s="80" t="s">
        <v>159</v>
      </c>
      <c r="S36" s="82"/>
    </row>
    <row r="37" spans="1:22" ht="28" x14ac:dyDescent="0.2">
      <c r="A37" s="75">
        <f t="shared" si="0"/>
        <v>3</v>
      </c>
      <c r="B37" s="76" t="s">
        <v>32</v>
      </c>
      <c r="C37" s="77">
        <v>45320</v>
      </c>
      <c r="D37" s="77" t="s">
        <v>260</v>
      </c>
      <c r="E37" s="78" t="s">
        <v>84</v>
      </c>
      <c r="F37" s="79" t="s">
        <v>4</v>
      </c>
      <c r="G37" s="79">
        <v>25</v>
      </c>
      <c r="H37" s="79" t="s">
        <v>12</v>
      </c>
      <c r="I37" s="79" t="s">
        <v>171</v>
      </c>
      <c r="J37" s="69" t="s">
        <v>28</v>
      </c>
      <c r="K37" s="69" t="s">
        <v>28</v>
      </c>
      <c r="L37" s="69" t="s">
        <v>28</v>
      </c>
      <c r="Q37" s="80"/>
      <c r="R37" s="80" t="s">
        <v>172</v>
      </c>
    </row>
    <row r="38" spans="1:22" ht="28" x14ac:dyDescent="0.2">
      <c r="A38" s="75">
        <f t="shared" si="0"/>
        <v>3</v>
      </c>
      <c r="B38" s="76" t="s">
        <v>32</v>
      </c>
      <c r="C38" s="77">
        <v>45440</v>
      </c>
      <c r="D38" s="77" t="s">
        <v>261</v>
      </c>
      <c r="E38" s="78" t="s">
        <v>108</v>
      </c>
      <c r="F38" s="79" t="s">
        <v>145</v>
      </c>
      <c r="G38" s="79">
        <v>300</v>
      </c>
      <c r="H38" s="79" t="s">
        <v>8</v>
      </c>
      <c r="I38" s="79" t="s">
        <v>146</v>
      </c>
      <c r="J38" s="69" t="s">
        <v>28</v>
      </c>
      <c r="K38" s="69" t="s">
        <v>28</v>
      </c>
      <c r="L38" s="69" t="s">
        <v>28</v>
      </c>
      <c r="M38" s="69" t="s">
        <v>212</v>
      </c>
      <c r="N38" s="69" t="s">
        <v>212</v>
      </c>
      <c r="O38" s="69" t="str">
        <f>IF(OR(ISERROR(VLOOKUP($E38,'Summary-Fundraise'!$A$3:$L$76,O$2,FALSE)),0),"",VLOOKUP($E38,'Summary-Fundraise'!$A$3:$L$76,O$2,FALSE))</f>
        <v/>
      </c>
      <c r="Q38" s="80"/>
      <c r="R38" s="80" t="s">
        <v>212</v>
      </c>
    </row>
    <row r="39" spans="1:22" ht="15" x14ac:dyDescent="0.2">
      <c r="A39" s="75">
        <f t="shared" si="0"/>
        <v>3</v>
      </c>
      <c r="B39" s="76" t="s">
        <v>32</v>
      </c>
      <c r="C39" s="77">
        <v>45290</v>
      </c>
      <c r="D39" s="77" t="s">
        <v>262</v>
      </c>
      <c r="E39" s="78" t="s">
        <v>86</v>
      </c>
      <c r="F39" s="79" t="s">
        <v>145</v>
      </c>
      <c r="G39" s="79">
        <v>100</v>
      </c>
      <c r="H39" s="79" t="s">
        <v>2</v>
      </c>
      <c r="I39" s="79" t="s">
        <v>171</v>
      </c>
      <c r="J39" s="69" t="s">
        <v>28</v>
      </c>
      <c r="K39" s="69" t="s">
        <v>28</v>
      </c>
      <c r="L39" s="69" t="s">
        <v>28</v>
      </c>
      <c r="Q39" s="80"/>
      <c r="R39" s="80" t="s">
        <v>175</v>
      </c>
    </row>
    <row r="40" spans="1:22" ht="28" x14ac:dyDescent="0.2">
      <c r="A40" s="75">
        <f t="shared" si="0"/>
        <v>3</v>
      </c>
      <c r="B40" s="76" t="s">
        <v>32</v>
      </c>
      <c r="C40" s="77">
        <v>45566</v>
      </c>
      <c r="D40" s="77" t="s">
        <v>263</v>
      </c>
      <c r="E40" s="84" t="s">
        <v>264</v>
      </c>
      <c r="F40" s="79" t="s">
        <v>145</v>
      </c>
      <c r="G40" s="79"/>
      <c r="H40" s="79" t="s">
        <v>12</v>
      </c>
      <c r="I40" s="79" t="s">
        <v>171</v>
      </c>
      <c r="J40" s="69" t="s">
        <v>28</v>
      </c>
      <c r="K40" s="69" t="s">
        <v>28</v>
      </c>
      <c r="L40" s="69" t="s">
        <v>28</v>
      </c>
      <c r="Q40" s="99"/>
      <c r="R40" s="99"/>
      <c r="T40" s="69" t="e">
        <f>INDEX('Summary-Fundraise'!$C$2:$O$175,MATCH($E40,'Summary-Fundraise'!$C$2:$C$175,0),MATCH(J$3,'Summary-Fundraise'!$C$2:$O$2,0))</f>
        <v>#N/A</v>
      </c>
      <c r="U40" s="69" t="e">
        <f>MATCH($E40,'Summary-Fundraise'!$C$2:$C$175,0)</f>
        <v>#N/A</v>
      </c>
      <c r="V40" s="69" t="str">
        <f>IF(ISERROR(INDEX('RelMap+Summary'!$A$3:$P$143,MATCH($E40,'RelMap+Summary'!$C$3:$C$143,0),MATCH(R$3,'RelMap+Summary'!$A$3:$P$3,0))),"",INDEX('RelMap+Summary'!$A$3:$P$143,MATCH($E40,'RelMap+Summary'!$C$3:$C$143,0),MATCH(R$3,'RelMap+Summary'!$A$3:$P$3,0)))</f>
        <v/>
      </c>
    </row>
    <row r="41" spans="1:22" ht="30" x14ac:dyDescent="0.2">
      <c r="A41" s="75">
        <f t="shared" si="0"/>
        <v>3</v>
      </c>
      <c r="B41" s="76" t="s">
        <v>32</v>
      </c>
      <c r="C41" s="77">
        <v>45536</v>
      </c>
      <c r="D41" s="77" t="s">
        <v>265</v>
      </c>
      <c r="E41" s="84" t="s">
        <v>266</v>
      </c>
      <c r="F41" s="79" t="s">
        <v>145</v>
      </c>
      <c r="G41" s="79">
        <v>80</v>
      </c>
      <c r="H41" s="79" t="s">
        <v>12</v>
      </c>
      <c r="I41" s="79" t="s">
        <v>148</v>
      </c>
      <c r="J41" s="69" t="s">
        <v>28</v>
      </c>
      <c r="K41" s="69" t="s">
        <v>28</v>
      </c>
      <c r="L41" s="69" t="s">
        <v>28</v>
      </c>
      <c r="Q41" s="99"/>
      <c r="R41" s="99"/>
    </row>
    <row r="42" spans="1:22" ht="28" x14ac:dyDescent="0.2">
      <c r="A42" s="75">
        <f t="shared" si="0"/>
        <v>3</v>
      </c>
      <c r="B42" s="76" t="s">
        <v>32</v>
      </c>
      <c r="C42" s="77">
        <v>45536</v>
      </c>
      <c r="D42" s="77" t="s">
        <v>267</v>
      </c>
      <c r="E42" s="84" t="s">
        <v>268</v>
      </c>
      <c r="F42" s="79" t="s">
        <v>145</v>
      </c>
      <c r="G42" s="79">
        <v>100</v>
      </c>
      <c r="H42" s="79" t="s">
        <v>12</v>
      </c>
      <c r="I42" s="79" t="s">
        <v>148</v>
      </c>
      <c r="J42" s="69" t="s">
        <v>28</v>
      </c>
      <c r="K42" s="69" t="s">
        <v>28</v>
      </c>
      <c r="L42" s="69" t="s">
        <v>28</v>
      </c>
      <c r="Q42" s="99"/>
      <c r="R42" s="99"/>
    </row>
    <row r="43" spans="1:22" ht="28" x14ac:dyDescent="0.2">
      <c r="A43" s="75">
        <f t="shared" si="0"/>
        <v>3</v>
      </c>
      <c r="B43" s="76" t="s">
        <v>176</v>
      </c>
      <c r="C43" s="77">
        <v>45078</v>
      </c>
      <c r="D43" s="77" t="s">
        <v>269</v>
      </c>
      <c r="E43" s="78" t="s">
        <v>70</v>
      </c>
      <c r="F43" s="79" t="s">
        <v>147</v>
      </c>
      <c r="G43" s="79">
        <v>50</v>
      </c>
      <c r="H43" s="79" t="s">
        <v>11</v>
      </c>
      <c r="I43" s="79" t="s">
        <v>146</v>
      </c>
      <c r="J43" s="69" t="s">
        <v>28</v>
      </c>
      <c r="K43" s="69" t="s">
        <v>28</v>
      </c>
      <c r="L43" s="69" t="s">
        <v>28</v>
      </c>
      <c r="Q43" s="80"/>
      <c r="R43" s="80">
        <v>0</v>
      </c>
    </row>
    <row r="44" spans="1:22" ht="15" x14ac:dyDescent="0.2">
      <c r="A44" s="75">
        <f t="shared" si="0"/>
        <v>3</v>
      </c>
      <c r="B44" s="76" t="s">
        <v>40</v>
      </c>
      <c r="C44" s="77">
        <v>45078</v>
      </c>
      <c r="D44" s="77" t="s">
        <v>270</v>
      </c>
      <c r="E44" s="78" t="s">
        <v>113</v>
      </c>
      <c r="F44" s="79" t="s">
        <v>145</v>
      </c>
      <c r="G44" s="79"/>
      <c r="H44" s="79" t="s">
        <v>11</v>
      </c>
      <c r="I44" s="79" t="s">
        <v>148</v>
      </c>
      <c r="J44" s="69" t="s">
        <v>28</v>
      </c>
      <c r="K44" s="69" t="s">
        <v>28</v>
      </c>
      <c r="L44" s="69" t="s">
        <v>28</v>
      </c>
      <c r="M44" s="69" t="s">
        <v>212</v>
      </c>
      <c r="N44" s="69" t="s">
        <v>212</v>
      </c>
      <c r="O44" s="69" t="str">
        <f>IF(OR(ISERROR(VLOOKUP($E44,'Summary-Fundraise'!$A$3:$L$76,O$2,FALSE)),0),"",VLOOKUP($E44,'Summary-Fundraise'!$A$3:$L$76,O$2,FALSE))</f>
        <v/>
      </c>
      <c r="Q44" s="80"/>
      <c r="R44" s="80" t="s">
        <v>271</v>
      </c>
    </row>
    <row r="45" spans="1:22" ht="15" x14ac:dyDescent="0.2">
      <c r="A45" s="75">
        <f t="shared" si="0"/>
        <v>3</v>
      </c>
      <c r="B45" s="76" t="s">
        <v>32</v>
      </c>
      <c r="C45" s="77">
        <v>45078</v>
      </c>
      <c r="D45" s="77" t="s">
        <v>272</v>
      </c>
      <c r="E45" s="78" t="s">
        <v>117</v>
      </c>
      <c r="F45" s="79" t="s">
        <v>192</v>
      </c>
      <c r="G45" s="79">
        <v>50</v>
      </c>
      <c r="H45" s="79" t="s">
        <v>2</v>
      </c>
      <c r="I45" s="79" t="s">
        <v>148</v>
      </c>
      <c r="J45" s="69" t="s">
        <v>28</v>
      </c>
      <c r="K45" s="69" t="s">
        <v>28</v>
      </c>
      <c r="L45" s="69" t="s">
        <v>28</v>
      </c>
      <c r="M45" s="69" t="s">
        <v>212</v>
      </c>
      <c r="N45" s="69" t="s">
        <v>212</v>
      </c>
      <c r="O45" s="69" t="str">
        <f>IF(OR(ISERROR(VLOOKUP($E45,'Summary-Fundraise'!$A$3:$L$76,O$2,FALSE)),0),"",VLOOKUP($E45,'Summary-Fundraise'!$A$3:$L$76,O$2,FALSE))</f>
        <v/>
      </c>
      <c r="Q45" s="80"/>
      <c r="R45" s="80" t="s">
        <v>212</v>
      </c>
    </row>
    <row r="46" spans="1:22" s="82" customFormat="1" ht="28" x14ac:dyDescent="0.2">
      <c r="A46" s="75">
        <f t="shared" si="0"/>
        <v>3</v>
      </c>
      <c r="B46" s="76" t="s">
        <v>176</v>
      </c>
      <c r="C46" s="77">
        <v>44927</v>
      </c>
      <c r="D46" s="77" t="s">
        <v>273</v>
      </c>
      <c r="E46" s="78" t="s">
        <v>121</v>
      </c>
      <c r="F46" s="79" t="s">
        <v>145</v>
      </c>
      <c r="G46" s="79"/>
      <c r="H46" s="79" t="s">
        <v>168</v>
      </c>
      <c r="I46" s="79" t="s">
        <v>146</v>
      </c>
      <c r="J46" s="69" t="s">
        <v>28</v>
      </c>
      <c r="K46" s="69" t="s">
        <v>28</v>
      </c>
      <c r="L46" s="69" t="s">
        <v>28</v>
      </c>
      <c r="M46" s="69" t="s">
        <v>212</v>
      </c>
      <c r="N46" s="69" t="s">
        <v>212</v>
      </c>
      <c r="O46" s="69" t="str">
        <f>IF(OR(ISERROR(VLOOKUP($E46,'Summary-Fundraise'!$A$3:$L$76,O$2,FALSE)),0),"",VLOOKUP($E46,'Summary-Fundraise'!$A$3:$L$76,O$2,FALSE))</f>
        <v/>
      </c>
      <c r="Q46" s="80"/>
      <c r="R46" s="80" t="s">
        <v>212</v>
      </c>
      <c r="S46" s="69"/>
    </row>
    <row r="47" spans="1:22" ht="15" x14ac:dyDescent="0.2">
      <c r="A47" s="75">
        <f t="shared" si="0"/>
        <v>3</v>
      </c>
      <c r="B47" s="76" t="s">
        <v>32</v>
      </c>
      <c r="C47" s="77">
        <v>45078</v>
      </c>
      <c r="D47" s="77" t="s">
        <v>274</v>
      </c>
      <c r="E47" s="78" t="s">
        <v>81</v>
      </c>
      <c r="F47" s="79" t="s">
        <v>147</v>
      </c>
      <c r="G47" s="79">
        <v>200</v>
      </c>
      <c r="H47" s="79" t="s">
        <v>11</v>
      </c>
      <c r="I47" s="79" t="s">
        <v>148</v>
      </c>
      <c r="J47" s="69" t="s">
        <v>28</v>
      </c>
      <c r="K47" s="69" t="s">
        <v>28</v>
      </c>
      <c r="L47" s="69" t="s">
        <v>28</v>
      </c>
      <c r="Q47" s="80"/>
      <c r="R47" s="80">
        <v>0</v>
      </c>
    </row>
    <row r="48" spans="1:22" ht="28" x14ac:dyDescent="0.2">
      <c r="A48" s="75">
        <f t="shared" si="0"/>
        <v>3</v>
      </c>
      <c r="B48" s="76" t="s">
        <v>32</v>
      </c>
      <c r="C48" s="77">
        <v>45078</v>
      </c>
      <c r="D48" s="77" t="s">
        <v>275</v>
      </c>
      <c r="E48" s="78" t="s">
        <v>276</v>
      </c>
      <c r="F48" s="79" t="s">
        <v>145</v>
      </c>
      <c r="G48" s="79">
        <v>100</v>
      </c>
      <c r="H48" s="79" t="s">
        <v>12</v>
      </c>
      <c r="I48" s="79" t="s">
        <v>148</v>
      </c>
      <c r="J48" s="69" t="s">
        <v>28</v>
      </c>
      <c r="K48" s="69" t="s">
        <v>28</v>
      </c>
      <c r="L48" s="69" t="s">
        <v>28</v>
      </c>
      <c r="Q48" s="80"/>
      <c r="R48" s="80"/>
    </row>
    <row r="49" spans="1:18" ht="28" x14ac:dyDescent="0.2">
      <c r="A49" s="75">
        <f t="shared" si="0"/>
        <v>3</v>
      </c>
      <c r="B49" s="76" t="s">
        <v>32</v>
      </c>
      <c r="C49" s="77">
        <v>45536</v>
      </c>
      <c r="D49" s="77" t="s">
        <v>277</v>
      </c>
      <c r="E49" s="84" t="s">
        <v>278</v>
      </c>
      <c r="F49" s="79" t="s">
        <v>145</v>
      </c>
      <c r="G49" s="79"/>
      <c r="H49" s="79" t="s">
        <v>12</v>
      </c>
      <c r="I49" s="79" t="s">
        <v>148</v>
      </c>
      <c r="J49" s="69" t="s">
        <v>28</v>
      </c>
      <c r="K49" s="69" t="s">
        <v>28</v>
      </c>
      <c r="L49" s="69" t="s">
        <v>28</v>
      </c>
      <c r="Q49" s="99"/>
      <c r="R49" s="99"/>
    </row>
    <row r="50" spans="1:18" ht="28" x14ac:dyDescent="0.2">
      <c r="A50" s="75">
        <f t="shared" si="0"/>
        <v>3</v>
      </c>
      <c r="B50" s="76" t="s">
        <v>32</v>
      </c>
      <c r="C50" s="77">
        <v>45444</v>
      </c>
      <c r="D50" s="77" t="s">
        <v>279</v>
      </c>
      <c r="E50" s="78" t="s">
        <v>68</v>
      </c>
      <c r="F50" s="79" t="s">
        <v>145</v>
      </c>
      <c r="G50" s="79">
        <v>25</v>
      </c>
      <c r="H50" s="79" t="s">
        <v>168</v>
      </c>
      <c r="I50" s="79" t="s">
        <v>146</v>
      </c>
      <c r="J50" s="69" t="s">
        <v>28</v>
      </c>
      <c r="K50" s="69" t="s">
        <v>28</v>
      </c>
      <c r="L50" s="69" t="s">
        <v>28</v>
      </c>
      <c r="Q50" s="80"/>
      <c r="R50" s="80">
        <v>0</v>
      </c>
    </row>
    <row r="51" spans="1:18" ht="15" x14ac:dyDescent="0.2">
      <c r="A51" s="75">
        <f t="shared" si="0"/>
        <v>3</v>
      </c>
      <c r="B51" s="76" t="s">
        <v>32</v>
      </c>
      <c r="C51" s="77">
        <v>45536</v>
      </c>
      <c r="D51" s="77" t="s">
        <v>280</v>
      </c>
      <c r="E51" s="84" t="s">
        <v>281</v>
      </c>
      <c r="F51" s="79" t="s">
        <v>145</v>
      </c>
      <c r="G51" s="79">
        <v>50</v>
      </c>
      <c r="H51" s="79" t="s">
        <v>11</v>
      </c>
      <c r="I51" s="79" t="s">
        <v>171</v>
      </c>
      <c r="J51" s="69" t="s">
        <v>28</v>
      </c>
      <c r="K51" s="69" t="s">
        <v>28</v>
      </c>
      <c r="L51" s="69" t="s">
        <v>28</v>
      </c>
      <c r="Q51" s="99"/>
      <c r="R51" s="99"/>
    </row>
    <row r="52" spans="1:18" ht="15" x14ac:dyDescent="0.2">
      <c r="A52" s="75">
        <f t="shared" si="0"/>
        <v>3</v>
      </c>
      <c r="B52" s="76" t="s">
        <v>176</v>
      </c>
      <c r="C52" s="77">
        <v>45290</v>
      </c>
      <c r="D52" s="77" t="s">
        <v>282</v>
      </c>
      <c r="E52" s="78" t="s">
        <v>283</v>
      </c>
      <c r="F52" s="79" t="s">
        <v>145</v>
      </c>
      <c r="G52" s="79">
        <v>100</v>
      </c>
      <c r="H52" s="79" t="s">
        <v>256</v>
      </c>
      <c r="I52" s="79" t="s">
        <v>148</v>
      </c>
      <c r="J52" s="69" t="s">
        <v>28</v>
      </c>
      <c r="K52" s="69" t="s">
        <v>28</v>
      </c>
      <c r="L52" s="69" t="s">
        <v>28</v>
      </c>
      <c r="Q52" s="80"/>
      <c r="R52" s="99"/>
    </row>
    <row r="53" spans="1:18" ht="15" x14ac:dyDescent="0.2">
      <c r="A53" s="75">
        <f t="shared" si="0"/>
        <v>3</v>
      </c>
      <c r="B53" s="76" t="s">
        <v>32</v>
      </c>
      <c r="C53" s="77">
        <v>45536</v>
      </c>
      <c r="D53" s="77" t="s">
        <v>284</v>
      </c>
      <c r="E53" s="84" t="s">
        <v>285</v>
      </c>
      <c r="F53" s="79" t="s">
        <v>145</v>
      </c>
      <c r="G53" s="79">
        <v>50</v>
      </c>
      <c r="H53" s="79" t="s">
        <v>2</v>
      </c>
      <c r="I53" s="79" t="s">
        <v>148</v>
      </c>
      <c r="J53" s="69" t="s">
        <v>28</v>
      </c>
      <c r="K53" s="69" t="s">
        <v>28</v>
      </c>
      <c r="L53" s="69" t="s">
        <v>28</v>
      </c>
      <c r="Q53" s="99"/>
      <c r="R53" s="99"/>
    </row>
    <row r="54" spans="1:18" ht="30" x14ac:dyDescent="0.2">
      <c r="A54" s="75">
        <f t="shared" si="0"/>
        <v>3</v>
      </c>
      <c r="B54" s="76" t="s">
        <v>32</v>
      </c>
      <c r="C54" s="77">
        <v>45290</v>
      </c>
      <c r="D54" s="77" t="s">
        <v>286</v>
      </c>
      <c r="E54" s="78" t="s">
        <v>127</v>
      </c>
      <c r="F54" s="79" t="s">
        <v>145</v>
      </c>
      <c r="G54" s="79">
        <v>80</v>
      </c>
      <c r="H54" s="79" t="s">
        <v>12</v>
      </c>
      <c r="I54" s="79" t="s">
        <v>148</v>
      </c>
      <c r="J54" s="69" t="s">
        <v>28</v>
      </c>
      <c r="K54" s="69" t="s">
        <v>28</v>
      </c>
      <c r="L54" s="69" t="s">
        <v>28</v>
      </c>
      <c r="M54" s="69" t="s">
        <v>212</v>
      </c>
      <c r="N54" s="69" t="s">
        <v>212</v>
      </c>
      <c r="O54" s="69" t="str">
        <f>IF(OR(ISERROR(VLOOKUP($E54,'Summary-Fundraise'!$A$3:$L$76,O$2,FALSE)),0),"",VLOOKUP($E54,'Summary-Fundraise'!$A$3:$L$76,O$2,FALSE))</f>
        <v/>
      </c>
      <c r="Q54" s="80"/>
      <c r="R54" s="80" t="s">
        <v>212</v>
      </c>
    </row>
    <row r="55" spans="1:18" ht="30" x14ac:dyDescent="0.2">
      <c r="A55" s="75">
        <f t="shared" si="0"/>
        <v>3</v>
      </c>
      <c r="B55" s="76" t="s">
        <v>32</v>
      </c>
      <c r="C55" s="77">
        <v>45078</v>
      </c>
      <c r="D55" s="77" t="s">
        <v>287</v>
      </c>
      <c r="E55" s="78" t="s">
        <v>128</v>
      </c>
      <c r="F55" s="79" t="s">
        <v>145</v>
      </c>
      <c r="G55" s="79">
        <v>80</v>
      </c>
      <c r="H55" s="79" t="s">
        <v>12</v>
      </c>
      <c r="I55" s="79" t="s">
        <v>148</v>
      </c>
      <c r="J55" s="69" t="s">
        <v>28</v>
      </c>
      <c r="K55" s="69" t="s">
        <v>28</v>
      </c>
      <c r="L55" s="69" t="s">
        <v>28</v>
      </c>
      <c r="M55" s="69" t="s">
        <v>212</v>
      </c>
      <c r="N55" s="69" t="s">
        <v>212</v>
      </c>
      <c r="O55" s="69" t="str">
        <f>IF(OR(ISERROR(VLOOKUP($E55,'Summary-Fundraise'!$A$3:$L$76,O$2,FALSE)),0),"",VLOOKUP($E55,'Summary-Fundraise'!$A$3:$L$76,O$2,FALSE))</f>
        <v/>
      </c>
      <c r="Q55" s="80"/>
      <c r="R55" s="80" t="s">
        <v>212</v>
      </c>
    </row>
    <row r="56" spans="1:18" ht="15" x14ac:dyDescent="0.2">
      <c r="A56" s="75">
        <f t="shared" si="0"/>
        <v>3</v>
      </c>
      <c r="B56" s="76" t="s">
        <v>32</v>
      </c>
      <c r="C56" s="77">
        <v>45444</v>
      </c>
      <c r="D56" s="77" t="s">
        <v>288</v>
      </c>
      <c r="E56" s="78" t="s">
        <v>78</v>
      </c>
      <c r="F56" s="79" t="s">
        <v>192</v>
      </c>
      <c r="G56" s="79"/>
      <c r="H56" s="79" t="s">
        <v>2</v>
      </c>
      <c r="I56" s="79" t="s">
        <v>171</v>
      </c>
      <c r="J56" s="69" t="s">
        <v>28</v>
      </c>
      <c r="K56" s="69" t="s">
        <v>28</v>
      </c>
      <c r="L56" s="69" t="s">
        <v>28</v>
      </c>
      <c r="Q56" s="80"/>
      <c r="R56" s="80">
        <v>0</v>
      </c>
    </row>
    <row r="57" spans="1:18" ht="15" x14ac:dyDescent="0.2">
      <c r="A57" s="75">
        <f t="shared" si="0"/>
        <v>3</v>
      </c>
      <c r="B57" s="76" t="s">
        <v>176</v>
      </c>
      <c r="C57" s="77">
        <v>45536</v>
      </c>
      <c r="D57" s="77" t="s">
        <v>289</v>
      </c>
      <c r="E57" s="84" t="s">
        <v>52</v>
      </c>
      <c r="F57" s="79" t="s">
        <v>145</v>
      </c>
      <c r="G57" s="79">
        <v>50</v>
      </c>
      <c r="H57" s="79" t="s">
        <v>2</v>
      </c>
      <c r="I57" s="79" t="s">
        <v>148</v>
      </c>
      <c r="J57" s="69" t="s">
        <v>28</v>
      </c>
      <c r="K57" s="69" t="s">
        <v>28</v>
      </c>
      <c r="L57" s="69" t="s">
        <v>28</v>
      </c>
      <c r="Q57" s="99"/>
      <c r="R57" s="99"/>
    </row>
    <row r="58" spans="1:18" ht="28" x14ac:dyDescent="0.2">
      <c r="A58" s="75">
        <f t="shared" si="0"/>
        <v>3</v>
      </c>
      <c r="B58" s="76" t="s">
        <v>32</v>
      </c>
      <c r="C58" s="77">
        <v>45078</v>
      </c>
      <c r="D58" s="77" t="s">
        <v>290</v>
      </c>
      <c r="E58" s="78" t="s">
        <v>115</v>
      </c>
      <c r="F58" s="79" t="s">
        <v>192</v>
      </c>
      <c r="G58" s="79">
        <v>50</v>
      </c>
      <c r="H58" s="79" t="s">
        <v>12</v>
      </c>
      <c r="I58" s="79" t="s">
        <v>171</v>
      </c>
      <c r="J58" s="69" t="s">
        <v>28</v>
      </c>
      <c r="K58" s="69" t="s">
        <v>28</v>
      </c>
      <c r="L58" s="69" t="s">
        <v>28</v>
      </c>
      <c r="M58" s="69" t="s">
        <v>212</v>
      </c>
      <c r="N58" s="69" t="s">
        <v>212</v>
      </c>
      <c r="O58" s="69" t="str">
        <f>IF(OR(ISERROR(VLOOKUP($E58,'Summary-Fundraise'!$A$3:$L$76,O$2,FALSE)),0),"",VLOOKUP($E58,'Summary-Fundraise'!$A$3:$L$76,O$2,FALSE))</f>
        <v/>
      </c>
      <c r="Q58" s="80"/>
      <c r="R58" s="80" t="s">
        <v>173</v>
      </c>
    </row>
    <row r="59" spans="1:18" ht="15" x14ac:dyDescent="0.2">
      <c r="A59" s="75">
        <f t="shared" si="0"/>
        <v>3</v>
      </c>
      <c r="B59" s="76" t="s">
        <v>32</v>
      </c>
      <c r="C59" s="77">
        <v>45028</v>
      </c>
      <c r="D59" s="77" t="s">
        <v>291</v>
      </c>
      <c r="E59" s="78" t="s">
        <v>129</v>
      </c>
      <c r="F59" s="79" t="s">
        <v>147</v>
      </c>
      <c r="G59" s="79">
        <v>25</v>
      </c>
      <c r="H59" s="79" t="s">
        <v>2</v>
      </c>
      <c r="I59" s="79" t="s">
        <v>148</v>
      </c>
      <c r="J59" s="69" t="s">
        <v>28</v>
      </c>
      <c r="K59" s="69" t="s">
        <v>28</v>
      </c>
      <c r="L59" s="69" t="s">
        <v>28</v>
      </c>
      <c r="M59" s="69" t="s">
        <v>212</v>
      </c>
      <c r="N59" s="69" t="s">
        <v>212</v>
      </c>
      <c r="O59" s="69" t="str">
        <f>IF(OR(ISERROR(VLOOKUP($E59,'Summary-Fundraise'!$A$3:$L$76,O$2,FALSE)),0),"",VLOOKUP($E59,'Summary-Fundraise'!$A$3:$L$76,O$2,FALSE))</f>
        <v/>
      </c>
      <c r="Q59" s="80"/>
      <c r="R59" s="80" t="s">
        <v>212</v>
      </c>
    </row>
    <row r="60" spans="1:18" ht="28" x14ac:dyDescent="0.2">
      <c r="A60" s="75">
        <f t="shared" si="0"/>
        <v>3</v>
      </c>
      <c r="B60" s="76" t="s">
        <v>32</v>
      </c>
      <c r="C60" s="77">
        <v>45608</v>
      </c>
      <c r="D60" s="77" t="s">
        <v>292</v>
      </c>
      <c r="E60" s="84" t="s">
        <v>293</v>
      </c>
      <c r="F60" s="79" t="s">
        <v>145</v>
      </c>
      <c r="G60" s="79"/>
      <c r="H60" s="79" t="s">
        <v>11</v>
      </c>
      <c r="I60" s="79" t="s">
        <v>146</v>
      </c>
      <c r="J60" s="69" t="s">
        <v>28</v>
      </c>
      <c r="K60" s="69" t="s">
        <v>28</v>
      </c>
      <c r="L60" s="69" t="s">
        <v>28</v>
      </c>
      <c r="Q60" s="99" t="s">
        <v>294</v>
      </c>
      <c r="R60" s="99"/>
    </row>
    <row r="61" spans="1:18" ht="28" x14ac:dyDescent="0.2">
      <c r="A61" s="75">
        <f t="shared" si="0"/>
        <v>3</v>
      </c>
      <c r="B61" s="76" t="s">
        <v>32</v>
      </c>
      <c r="C61" s="77">
        <v>45290</v>
      </c>
      <c r="D61" s="77" t="s">
        <v>295</v>
      </c>
      <c r="E61" s="78" t="s">
        <v>63</v>
      </c>
      <c r="F61" s="79" t="s">
        <v>192</v>
      </c>
      <c r="G61" s="79">
        <v>100</v>
      </c>
      <c r="H61" s="79" t="s">
        <v>2</v>
      </c>
      <c r="I61" s="79" t="s">
        <v>146</v>
      </c>
      <c r="J61" s="69" t="s">
        <v>28</v>
      </c>
      <c r="K61" s="69" t="s">
        <v>28</v>
      </c>
      <c r="L61" s="69" t="s">
        <v>28</v>
      </c>
      <c r="Q61" s="80"/>
      <c r="R61" s="80">
        <v>0</v>
      </c>
    </row>
    <row r="62" spans="1:18" ht="28" x14ac:dyDescent="0.2">
      <c r="A62" s="75">
        <f t="shared" si="0"/>
        <v>3</v>
      </c>
      <c r="B62" s="76" t="s">
        <v>197</v>
      </c>
      <c r="C62" s="77">
        <v>45536</v>
      </c>
      <c r="D62" s="77" t="s">
        <v>296</v>
      </c>
      <c r="E62" s="84" t="s">
        <v>297</v>
      </c>
      <c r="F62" s="79" t="s">
        <v>145</v>
      </c>
      <c r="G62" s="79">
        <v>300</v>
      </c>
      <c r="H62" s="79" t="s">
        <v>12</v>
      </c>
      <c r="I62" s="79" t="s">
        <v>148</v>
      </c>
      <c r="J62" s="69" t="s">
        <v>28</v>
      </c>
      <c r="K62" s="69" t="s">
        <v>28</v>
      </c>
      <c r="L62" s="69" t="s">
        <v>28</v>
      </c>
      <c r="Q62" s="99"/>
      <c r="R62" s="99"/>
    </row>
    <row r="63" spans="1:18" ht="28" x14ac:dyDescent="0.2">
      <c r="A63" s="75">
        <f t="shared" si="0"/>
        <v>3</v>
      </c>
      <c r="B63" s="76" t="s">
        <v>32</v>
      </c>
      <c r="C63" s="77">
        <v>45290</v>
      </c>
      <c r="D63" s="77" t="s">
        <v>298</v>
      </c>
      <c r="E63" s="78" t="s">
        <v>66</v>
      </c>
      <c r="F63" s="79" t="s">
        <v>192</v>
      </c>
      <c r="G63" s="79">
        <v>25</v>
      </c>
      <c r="H63" s="79" t="s">
        <v>8</v>
      </c>
      <c r="I63" s="79" t="s">
        <v>146</v>
      </c>
      <c r="J63" s="69" t="s">
        <v>28</v>
      </c>
      <c r="K63" s="69" t="s">
        <v>28</v>
      </c>
      <c r="L63" s="69" t="s">
        <v>28</v>
      </c>
      <c r="Q63" s="80"/>
      <c r="R63" s="80">
        <v>0</v>
      </c>
    </row>
    <row r="64" spans="1:18" ht="28" x14ac:dyDescent="0.2">
      <c r="A64" s="75">
        <f t="shared" si="0"/>
        <v>3</v>
      </c>
      <c r="B64" s="76" t="s">
        <v>32</v>
      </c>
      <c r="C64" s="77">
        <v>45444</v>
      </c>
      <c r="D64" s="77" t="s">
        <v>299</v>
      </c>
      <c r="E64" s="78" t="s">
        <v>64</v>
      </c>
      <c r="F64" s="79" t="s">
        <v>192</v>
      </c>
      <c r="G64" s="79"/>
      <c r="H64" s="79" t="s">
        <v>8</v>
      </c>
      <c r="I64" s="79" t="s">
        <v>146</v>
      </c>
      <c r="J64" s="69" t="s">
        <v>28</v>
      </c>
      <c r="K64" s="69" t="s">
        <v>28</v>
      </c>
      <c r="L64" s="69" t="s">
        <v>28</v>
      </c>
      <c r="Q64" s="80"/>
      <c r="R64" s="80">
        <v>0</v>
      </c>
    </row>
    <row r="65" spans="1:18" ht="28" x14ac:dyDescent="0.2">
      <c r="A65" s="75">
        <f t="shared" si="0"/>
        <v>3</v>
      </c>
      <c r="B65" s="76" t="s">
        <v>32</v>
      </c>
      <c r="C65" s="77">
        <v>45078</v>
      </c>
      <c r="D65" s="77" t="s">
        <v>300</v>
      </c>
      <c r="E65" s="78" t="s">
        <v>133</v>
      </c>
      <c r="F65" s="79" t="s">
        <v>145</v>
      </c>
      <c r="G65" s="79">
        <v>25</v>
      </c>
      <c r="H65" s="79" t="s">
        <v>12</v>
      </c>
      <c r="I65" s="79" t="s">
        <v>148</v>
      </c>
      <c r="J65" s="69" t="s">
        <v>28</v>
      </c>
      <c r="K65" s="69" t="s">
        <v>28</v>
      </c>
      <c r="L65" s="69" t="s">
        <v>28</v>
      </c>
      <c r="M65" s="69" t="s">
        <v>212</v>
      </c>
      <c r="N65" s="69" t="s">
        <v>212</v>
      </c>
      <c r="O65" s="69" t="str">
        <f>IF(OR(ISERROR(VLOOKUP($E65,'Summary-Fundraise'!$A$3:$L$76,O$2,FALSE)),0),"",VLOOKUP($E65,'Summary-Fundraise'!$A$3:$L$76,O$2,FALSE))</f>
        <v/>
      </c>
      <c r="Q65" s="80"/>
      <c r="R65" s="80" t="s">
        <v>212</v>
      </c>
    </row>
    <row r="66" spans="1:18" ht="28" x14ac:dyDescent="0.2">
      <c r="A66" s="75">
        <f t="shared" si="0"/>
        <v>3</v>
      </c>
      <c r="B66" s="76" t="s">
        <v>40</v>
      </c>
      <c r="C66" s="77">
        <v>45047</v>
      </c>
      <c r="D66" s="77" t="s">
        <v>301</v>
      </c>
      <c r="E66" s="122" t="s">
        <v>43</v>
      </c>
      <c r="F66" s="79" t="s">
        <v>149</v>
      </c>
      <c r="G66" s="79">
        <v>10</v>
      </c>
      <c r="H66" s="79" t="s">
        <v>13</v>
      </c>
      <c r="I66" s="79" t="s">
        <v>146</v>
      </c>
      <c r="J66" s="69" t="s">
        <v>28</v>
      </c>
      <c r="K66" s="69" t="s">
        <v>28</v>
      </c>
      <c r="L66" s="69" t="s">
        <v>28</v>
      </c>
      <c r="Q66" s="80"/>
      <c r="R66" s="80" t="s">
        <v>161</v>
      </c>
    </row>
    <row r="67" spans="1:18" ht="28" x14ac:dyDescent="0.2">
      <c r="A67" s="75">
        <f t="shared" si="0"/>
        <v>3</v>
      </c>
      <c r="B67" s="76" t="s">
        <v>40</v>
      </c>
      <c r="C67" s="77">
        <v>45078</v>
      </c>
      <c r="D67" s="77" t="s">
        <v>302</v>
      </c>
      <c r="E67" s="78" t="s">
        <v>137</v>
      </c>
      <c r="F67" s="79" t="s">
        <v>149</v>
      </c>
      <c r="G67" s="79">
        <v>10</v>
      </c>
      <c r="H67" s="79" t="s">
        <v>2</v>
      </c>
      <c r="I67" s="79" t="s">
        <v>146</v>
      </c>
      <c r="J67" s="69" t="s">
        <v>28</v>
      </c>
      <c r="K67" s="69" t="s">
        <v>28</v>
      </c>
      <c r="L67" s="69" t="s">
        <v>28</v>
      </c>
      <c r="Q67" s="80"/>
      <c r="R67" s="80">
        <v>0</v>
      </c>
    </row>
    <row r="68" spans="1:18" ht="28" x14ac:dyDescent="0.2">
      <c r="A68" s="75">
        <f t="shared" ref="A68:A131" si="1">IF(E68="",-1,IF(COUNTIF(J68:O68,"yes")=0,0,COUNTIF(J68:O68,"yes")))</f>
        <v>3</v>
      </c>
      <c r="B68" s="76" t="s">
        <v>176</v>
      </c>
      <c r="C68" s="77">
        <v>45536</v>
      </c>
      <c r="D68" s="77" t="s">
        <v>303</v>
      </c>
      <c r="E68" s="84" t="s">
        <v>304</v>
      </c>
      <c r="F68" s="79" t="s">
        <v>182</v>
      </c>
      <c r="G68" s="79"/>
      <c r="H68" s="79" t="s">
        <v>12</v>
      </c>
      <c r="I68" s="79" t="s">
        <v>148</v>
      </c>
      <c r="J68" s="69" t="s">
        <v>28</v>
      </c>
      <c r="K68" s="69" t="s">
        <v>28</v>
      </c>
      <c r="L68" s="69" t="s">
        <v>28</v>
      </c>
      <c r="Q68" s="99"/>
      <c r="R68" s="99"/>
    </row>
    <row r="69" spans="1:18" ht="15" x14ac:dyDescent="0.2">
      <c r="A69" s="75">
        <f t="shared" si="1"/>
        <v>2</v>
      </c>
      <c r="B69" s="76" t="s">
        <v>32</v>
      </c>
      <c r="C69" s="77">
        <v>45536</v>
      </c>
      <c r="D69" s="77" t="s">
        <v>305</v>
      </c>
      <c r="E69" s="78" t="s">
        <v>306</v>
      </c>
      <c r="F69" s="79" t="s">
        <v>145</v>
      </c>
      <c r="G69" s="79"/>
      <c r="H69" s="79" t="s">
        <v>256</v>
      </c>
      <c r="I69" s="79" t="s">
        <v>148</v>
      </c>
      <c r="J69" s="69" t="s">
        <v>28</v>
      </c>
      <c r="K69" s="69" t="s">
        <v>28</v>
      </c>
      <c r="Q69" s="80"/>
      <c r="R69" s="80"/>
    </row>
    <row r="70" spans="1:18" ht="28" x14ac:dyDescent="0.2">
      <c r="A70" s="75">
        <f t="shared" si="1"/>
        <v>2</v>
      </c>
      <c r="B70" s="76" t="s">
        <v>176</v>
      </c>
      <c r="C70" s="77">
        <v>45036</v>
      </c>
      <c r="D70" s="77" t="s">
        <v>307</v>
      </c>
      <c r="E70" s="78" t="s">
        <v>99</v>
      </c>
      <c r="F70" s="79" t="s">
        <v>149</v>
      </c>
      <c r="G70" s="79">
        <v>25</v>
      </c>
      <c r="H70" s="79" t="s">
        <v>2</v>
      </c>
      <c r="I70" s="79" t="s">
        <v>146</v>
      </c>
      <c r="J70" s="69" t="s">
        <v>28</v>
      </c>
      <c r="K70" s="69" t="s">
        <v>28</v>
      </c>
      <c r="Q70" s="80"/>
      <c r="R70" s="80" t="s">
        <v>151</v>
      </c>
    </row>
    <row r="71" spans="1:18" ht="28" x14ac:dyDescent="0.2">
      <c r="A71" s="75">
        <f t="shared" si="1"/>
        <v>2</v>
      </c>
      <c r="B71" s="76" t="s">
        <v>40</v>
      </c>
      <c r="C71" s="77">
        <v>45078</v>
      </c>
      <c r="D71" s="77" t="s">
        <v>308</v>
      </c>
      <c r="E71" s="78" t="s">
        <v>101</v>
      </c>
      <c r="F71" s="79" t="s">
        <v>145</v>
      </c>
      <c r="G71" s="79"/>
      <c r="H71" s="79" t="s">
        <v>13</v>
      </c>
      <c r="I71" s="79" t="s">
        <v>146</v>
      </c>
      <c r="J71" s="69" t="s">
        <v>28</v>
      </c>
      <c r="K71" s="69" t="s">
        <v>28</v>
      </c>
      <c r="L71" s="69" t="s">
        <v>212</v>
      </c>
      <c r="M71" s="69" t="s">
        <v>212</v>
      </c>
      <c r="N71" s="69" t="s">
        <v>212</v>
      </c>
      <c r="O71" s="69" t="str">
        <f>IF(OR(ISERROR(VLOOKUP($E71,'Summary-Fundraise'!$A$3:$L$76,O$2,FALSE)),0),"",VLOOKUP($E71,'Summary-Fundraise'!$A$3:$L$76,O$2,FALSE))</f>
        <v/>
      </c>
      <c r="Q71" s="80"/>
      <c r="R71" s="80" t="s">
        <v>212</v>
      </c>
    </row>
    <row r="72" spans="1:18" ht="15" x14ac:dyDescent="0.2">
      <c r="A72" s="75">
        <f t="shared" si="1"/>
        <v>2</v>
      </c>
      <c r="B72" s="76" t="s">
        <v>176</v>
      </c>
      <c r="C72" s="77">
        <v>45078</v>
      </c>
      <c r="D72" s="77" t="s">
        <v>309</v>
      </c>
      <c r="E72" s="78" t="s">
        <v>102</v>
      </c>
      <c r="F72" s="79" t="s">
        <v>145</v>
      </c>
      <c r="G72" s="79"/>
      <c r="H72" s="79" t="s">
        <v>2</v>
      </c>
      <c r="I72" s="79" t="s">
        <v>148</v>
      </c>
      <c r="J72" s="69" t="s">
        <v>28</v>
      </c>
      <c r="K72" s="69" t="s">
        <v>28</v>
      </c>
      <c r="L72" s="69" t="s">
        <v>212</v>
      </c>
      <c r="M72" s="69" t="s">
        <v>212</v>
      </c>
      <c r="N72" s="69" t="s">
        <v>212</v>
      </c>
      <c r="O72" s="69" t="str">
        <f>IF(OR(ISERROR(VLOOKUP($E72,'Summary-Fundraise'!$A$3:$L$76,O$2,FALSE)),0),"",VLOOKUP($E72,'Summary-Fundraise'!$A$3:$L$76,O$2,FALSE))</f>
        <v/>
      </c>
      <c r="Q72" s="80"/>
      <c r="R72" s="80" t="s">
        <v>212</v>
      </c>
    </row>
    <row r="73" spans="1:18" ht="28" x14ac:dyDescent="0.2">
      <c r="A73" s="75">
        <f t="shared" si="1"/>
        <v>2</v>
      </c>
      <c r="B73" s="76" t="s">
        <v>176</v>
      </c>
      <c r="C73" s="77">
        <v>45047</v>
      </c>
      <c r="D73" s="77" t="s">
        <v>310</v>
      </c>
      <c r="E73" s="78" t="s">
        <v>49</v>
      </c>
      <c r="F73" s="79" t="s">
        <v>149</v>
      </c>
      <c r="G73" s="79">
        <v>10</v>
      </c>
      <c r="H73" s="79" t="s">
        <v>2</v>
      </c>
      <c r="I73" s="79" t="s">
        <v>146</v>
      </c>
      <c r="J73" s="69" t="s">
        <v>28</v>
      </c>
      <c r="K73" s="69" t="s">
        <v>28</v>
      </c>
      <c r="Q73" s="80"/>
      <c r="R73" s="80" t="s">
        <v>150</v>
      </c>
    </row>
    <row r="74" spans="1:18" ht="28" x14ac:dyDescent="0.2">
      <c r="A74" s="75">
        <f t="shared" si="1"/>
        <v>2</v>
      </c>
      <c r="B74" s="76" t="s">
        <v>32</v>
      </c>
      <c r="C74" s="77">
        <v>45536</v>
      </c>
      <c r="D74" s="77" t="s">
        <v>311</v>
      </c>
      <c r="E74" s="84" t="s">
        <v>312</v>
      </c>
      <c r="F74" s="79" t="s">
        <v>192</v>
      </c>
      <c r="G74" s="79"/>
      <c r="H74" s="79" t="s">
        <v>12</v>
      </c>
      <c r="I74" s="79" t="s">
        <v>148</v>
      </c>
      <c r="J74" s="69" t="s">
        <v>28</v>
      </c>
      <c r="K74" s="69" t="s">
        <v>28</v>
      </c>
      <c r="Q74" s="99"/>
      <c r="R74" s="99"/>
    </row>
    <row r="75" spans="1:18" ht="28" x14ac:dyDescent="0.2">
      <c r="A75" s="75">
        <f t="shared" si="1"/>
        <v>2</v>
      </c>
      <c r="B75" s="76" t="s">
        <v>32</v>
      </c>
      <c r="C75" s="77">
        <v>45536</v>
      </c>
      <c r="D75" s="77" t="s">
        <v>313</v>
      </c>
      <c r="E75" s="84" t="s">
        <v>314</v>
      </c>
      <c r="F75" s="79" t="s">
        <v>145</v>
      </c>
      <c r="G75" s="79"/>
      <c r="H75" s="79" t="s">
        <v>12</v>
      </c>
      <c r="I75" s="79" t="s">
        <v>148</v>
      </c>
      <c r="J75" s="69" t="s">
        <v>28</v>
      </c>
      <c r="K75" s="69" t="s">
        <v>28</v>
      </c>
      <c r="Q75" s="99"/>
      <c r="R75" s="99"/>
    </row>
    <row r="76" spans="1:18" ht="28" x14ac:dyDescent="0.2">
      <c r="A76" s="75">
        <f t="shared" si="1"/>
        <v>2</v>
      </c>
      <c r="B76" s="76" t="s">
        <v>176</v>
      </c>
      <c r="C76" s="77">
        <v>45536</v>
      </c>
      <c r="D76" s="77" t="s">
        <v>315</v>
      </c>
      <c r="E76" s="84" t="s">
        <v>316</v>
      </c>
      <c r="F76" s="79" t="s">
        <v>145</v>
      </c>
      <c r="G76" s="79"/>
      <c r="H76" s="79" t="s">
        <v>12</v>
      </c>
      <c r="I76" s="79" t="s">
        <v>148</v>
      </c>
      <c r="J76" s="69" t="s">
        <v>28</v>
      </c>
      <c r="K76" s="69" t="s">
        <v>28</v>
      </c>
      <c r="Q76" s="99"/>
      <c r="R76" s="99"/>
    </row>
    <row r="77" spans="1:18" ht="28" x14ac:dyDescent="0.2">
      <c r="A77" s="75">
        <f t="shared" si="1"/>
        <v>2</v>
      </c>
      <c r="B77" s="76" t="s">
        <v>32</v>
      </c>
      <c r="C77" s="77">
        <v>45536</v>
      </c>
      <c r="D77" s="77" t="s">
        <v>317</v>
      </c>
      <c r="E77" s="84" t="s">
        <v>318</v>
      </c>
      <c r="F77" s="79" t="s">
        <v>145</v>
      </c>
      <c r="G77" s="79"/>
      <c r="H77" s="79" t="s">
        <v>12</v>
      </c>
      <c r="I77" s="79" t="s">
        <v>148</v>
      </c>
      <c r="J77" s="69" t="s">
        <v>28</v>
      </c>
      <c r="K77" s="69" t="s">
        <v>28</v>
      </c>
      <c r="Q77" s="99"/>
      <c r="R77" s="99"/>
    </row>
    <row r="78" spans="1:18" ht="28" x14ac:dyDescent="0.2">
      <c r="A78" s="75">
        <f t="shared" si="1"/>
        <v>2</v>
      </c>
      <c r="B78" s="76" t="s">
        <v>32</v>
      </c>
      <c r="C78" s="77">
        <v>45536</v>
      </c>
      <c r="D78" s="77" t="s">
        <v>319</v>
      </c>
      <c r="E78" s="84" t="s">
        <v>320</v>
      </c>
      <c r="F78" s="79" t="s">
        <v>192</v>
      </c>
      <c r="G78" s="79"/>
      <c r="H78" s="79" t="s">
        <v>12</v>
      </c>
      <c r="I78" s="79" t="s">
        <v>171</v>
      </c>
      <c r="J78" s="69" t="s">
        <v>28</v>
      </c>
      <c r="K78" s="69" t="s">
        <v>28</v>
      </c>
      <c r="Q78" s="99"/>
      <c r="R78" s="99"/>
    </row>
    <row r="79" spans="1:18" ht="28" x14ac:dyDescent="0.2">
      <c r="A79" s="75">
        <f t="shared" si="1"/>
        <v>2</v>
      </c>
      <c r="B79" s="76" t="s">
        <v>32</v>
      </c>
      <c r="C79" s="77">
        <v>45536</v>
      </c>
      <c r="D79" s="77" t="s">
        <v>321</v>
      </c>
      <c r="E79" s="84" t="s">
        <v>322</v>
      </c>
      <c r="F79" s="79" t="s">
        <v>145</v>
      </c>
      <c r="G79" s="79"/>
      <c r="H79" s="79" t="s">
        <v>12</v>
      </c>
      <c r="I79" s="79" t="s">
        <v>148</v>
      </c>
      <c r="J79" s="69" t="s">
        <v>28</v>
      </c>
      <c r="K79" s="69" t="s">
        <v>28</v>
      </c>
      <c r="Q79" s="99"/>
      <c r="R79" s="99"/>
    </row>
    <row r="80" spans="1:18" ht="28" x14ac:dyDescent="0.2">
      <c r="A80" s="75">
        <f t="shared" si="1"/>
        <v>2</v>
      </c>
      <c r="B80" s="76" t="s">
        <v>40</v>
      </c>
      <c r="C80" s="77">
        <v>45031</v>
      </c>
      <c r="D80" s="77" t="s">
        <v>323</v>
      </c>
      <c r="E80" s="78" t="s">
        <v>41</v>
      </c>
      <c r="F80" s="79" t="s">
        <v>149</v>
      </c>
      <c r="G80" s="79">
        <v>25</v>
      </c>
      <c r="H80" s="79" t="s">
        <v>2</v>
      </c>
      <c r="I80" s="79" t="s">
        <v>146</v>
      </c>
      <c r="J80" s="69" t="s">
        <v>28</v>
      </c>
      <c r="K80" s="69" t="s">
        <v>28</v>
      </c>
      <c r="Q80" s="80"/>
      <c r="R80" s="80" t="s">
        <v>162</v>
      </c>
    </row>
    <row r="81" spans="1:18" ht="28" x14ac:dyDescent="0.2">
      <c r="A81" s="75">
        <f t="shared" si="1"/>
        <v>2</v>
      </c>
      <c r="B81" s="76" t="s">
        <v>32</v>
      </c>
      <c r="C81" s="77">
        <v>45078</v>
      </c>
      <c r="D81" s="77" t="s">
        <v>324</v>
      </c>
      <c r="E81" s="78" t="s">
        <v>59</v>
      </c>
      <c r="F81" s="79" t="s">
        <v>147</v>
      </c>
      <c r="G81" s="81">
        <v>50</v>
      </c>
      <c r="H81" s="79" t="s">
        <v>2</v>
      </c>
      <c r="I81" s="79" t="s">
        <v>146</v>
      </c>
      <c r="J81" s="69" t="s">
        <v>28</v>
      </c>
      <c r="K81" s="69" t="s">
        <v>28</v>
      </c>
      <c r="Q81" s="80"/>
      <c r="R81" s="80" t="s">
        <v>156</v>
      </c>
    </row>
    <row r="82" spans="1:18" ht="28" x14ac:dyDescent="0.2">
      <c r="A82" s="75">
        <f t="shared" si="1"/>
        <v>2</v>
      </c>
      <c r="B82" s="76" t="s">
        <v>176</v>
      </c>
      <c r="C82" s="77">
        <v>45078</v>
      </c>
      <c r="D82" s="77" t="s">
        <v>325</v>
      </c>
      <c r="E82" s="84" t="s">
        <v>60</v>
      </c>
      <c r="F82" s="79" t="s">
        <v>145</v>
      </c>
      <c r="G82" s="79">
        <v>0</v>
      </c>
      <c r="H82" s="79" t="s">
        <v>2</v>
      </c>
      <c r="I82" s="79" t="s">
        <v>146</v>
      </c>
      <c r="J82" s="69" t="s">
        <v>28</v>
      </c>
      <c r="K82" s="69" t="s">
        <v>28</v>
      </c>
      <c r="Q82" s="80"/>
      <c r="R82" s="80" t="s">
        <v>326</v>
      </c>
    </row>
    <row r="83" spans="1:18" ht="28" x14ac:dyDescent="0.2">
      <c r="A83" s="75">
        <f t="shared" si="1"/>
        <v>2</v>
      </c>
      <c r="B83" s="76" t="s">
        <v>176</v>
      </c>
      <c r="C83" s="77">
        <v>45290</v>
      </c>
      <c r="D83" s="77" t="s">
        <v>327</v>
      </c>
      <c r="E83" s="78" t="s">
        <v>328</v>
      </c>
      <c r="F83" s="79" t="s">
        <v>145</v>
      </c>
      <c r="G83" s="79">
        <v>0</v>
      </c>
      <c r="H83" s="79" t="s">
        <v>12</v>
      </c>
      <c r="I83" s="79" t="s">
        <v>148</v>
      </c>
      <c r="J83" s="69" t="s">
        <v>28</v>
      </c>
      <c r="K83" s="69" t="s">
        <v>28</v>
      </c>
      <c r="Q83" s="80"/>
      <c r="R83" s="80" t="s">
        <v>329</v>
      </c>
    </row>
    <row r="84" spans="1:18" ht="15" x14ac:dyDescent="0.2">
      <c r="A84" s="75">
        <f t="shared" si="1"/>
        <v>2</v>
      </c>
      <c r="B84" s="76" t="s">
        <v>176</v>
      </c>
      <c r="C84" s="77">
        <v>45536</v>
      </c>
      <c r="D84" s="77" t="s">
        <v>330</v>
      </c>
      <c r="E84" s="84" t="s">
        <v>331</v>
      </c>
      <c r="F84" s="79" t="s">
        <v>145</v>
      </c>
      <c r="G84" s="79"/>
      <c r="H84" s="79" t="s">
        <v>256</v>
      </c>
      <c r="I84" s="79" t="s">
        <v>148</v>
      </c>
      <c r="J84" s="69" t="s">
        <v>28</v>
      </c>
      <c r="K84" s="69" t="s">
        <v>28</v>
      </c>
      <c r="Q84" s="99"/>
      <c r="R84" s="99"/>
    </row>
    <row r="85" spans="1:18" ht="28" x14ac:dyDescent="0.2">
      <c r="A85" s="75">
        <f t="shared" si="1"/>
        <v>2</v>
      </c>
      <c r="B85" s="76" t="s">
        <v>32</v>
      </c>
      <c r="C85" s="77">
        <v>45536</v>
      </c>
      <c r="D85" s="77" t="s">
        <v>332</v>
      </c>
      <c r="E85" s="84" t="s">
        <v>333</v>
      </c>
      <c r="F85" s="79" t="s">
        <v>145</v>
      </c>
      <c r="G85" s="79"/>
      <c r="H85" s="79" t="s">
        <v>12</v>
      </c>
      <c r="I85" s="79" t="s">
        <v>148</v>
      </c>
      <c r="J85" s="69" t="s">
        <v>28</v>
      </c>
      <c r="K85" s="69" t="s">
        <v>28</v>
      </c>
      <c r="Q85" s="99"/>
      <c r="R85" s="99"/>
    </row>
    <row r="86" spans="1:18" ht="28" x14ac:dyDescent="0.2">
      <c r="A86" s="75">
        <f t="shared" si="1"/>
        <v>2</v>
      </c>
      <c r="B86" s="76" t="s">
        <v>32</v>
      </c>
      <c r="C86" s="77">
        <v>45536</v>
      </c>
      <c r="D86" s="77" t="s">
        <v>334</v>
      </c>
      <c r="E86" s="84" t="s">
        <v>335</v>
      </c>
      <c r="F86" s="79" t="s">
        <v>145</v>
      </c>
      <c r="G86" s="79"/>
      <c r="H86" s="79" t="s">
        <v>12</v>
      </c>
      <c r="I86" s="79" t="s">
        <v>148</v>
      </c>
      <c r="J86" s="69" t="s">
        <v>28</v>
      </c>
      <c r="K86" s="69" t="s">
        <v>28</v>
      </c>
      <c r="Q86" s="99"/>
      <c r="R86" s="99"/>
    </row>
    <row r="87" spans="1:18" ht="28" x14ac:dyDescent="0.2">
      <c r="A87" s="75">
        <f t="shared" si="1"/>
        <v>2</v>
      </c>
      <c r="B87" s="76" t="s">
        <v>176</v>
      </c>
      <c r="C87" s="77">
        <v>45031</v>
      </c>
      <c r="D87" s="77" t="s">
        <v>336</v>
      </c>
      <c r="E87" s="78" t="s">
        <v>45</v>
      </c>
      <c r="F87" s="79" t="s">
        <v>149</v>
      </c>
      <c r="G87" s="79">
        <v>10</v>
      </c>
      <c r="H87" s="79" t="s">
        <v>2</v>
      </c>
      <c r="I87" s="79" t="s">
        <v>146</v>
      </c>
      <c r="J87" s="69" t="s">
        <v>28</v>
      </c>
      <c r="K87" s="69" t="s">
        <v>28</v>
      </c>
      <c r="Q87" s="80"/>
      <c r="R87" s="80" t="s">
        <v>160</v>
      </c>
    </row>
    <row r="88" spans="1:18" ht="28" x14ac:dyDescent="0.2">
      <c r="A88" s="75">
        <f t="shared" si="1"/>
        <v>2</v>
      </c>
      <c r="B88" s="76" t="s">
        <v>32</v>
      </c>
      <c r="C88" s="77">
        <v>45444</v>
      </c>
      <c r="D88" s="77" t="s">
        <v>337</v>
      </c>
      <c r="E88" s="78" t="s">
        <v>62</v>
      </c>
      <c r="F88" s="79" t="s">
        <v>147</v>
      </c>
      <c r="G88" s="79"/>
      <c r="H88" s="79" t="s">
        <v>8</v>
      </c>
      <c r="I88" s="79" t="s">
        <v>146</v>
      </c>
      <c r="J88" s="69" t="s">
        <v>28</v>
      </c>
      <c r="K88" s="69" t="s">
        <v>28</v>
      </c>
      <c r="Q88" s="80"/>
      <c r="R88" s="80">
        <v>0</v>
      </c>
    </row>
    <row r="89" spans="1:18" ht="28" x14ac:dyDescent="0.2">
      <c r="A89" s="75">
        <f t="shared" si="1"/>
        <v>2</v>
      </c>
      <c r="B89" s="76" t="s">
        <v>32</v>
      </c>
      <c r="C89" s="77">
        <v>45444</v>
      </c>
      <c r="D89" s="77" t="s">
        <v>338</v>
      </c>
      <c r="E89" s="78" t="s">
        <v>61</v>
      </c>
      <c r="F89" s="79" t="s">
        <v>147</v>
      </c>
      <c r="G89" s="79"/>
      <c r="H89" s="79" t="s">
        <v>8</v>
      </c>
      <c r="I89" s="79" t="s">
        <v>146</v>
      </c>
      <c r="J89" s="69" t="s">
        <v>28</v>
      </c>
      <c r="K89" s="69" t="s">
        <v>28</v>
      </c>
      <c r="Q89" s="80"/>
      <c r="R89" s="80">
        <v>0</v>
      </c>
    </row>
    <row r="90" spans="1:18" ht="30" x14ac:dyDescent="0.2">
      <c r="A90" s="75">
        <f t="shared" si="1"/>
        <v>2</v>
      </c>
      <c r="B90" s="76" t="s">
        <v>32</v>
      </c>
      <c r="C90" s="77">
        <v>44927</v>
      </c>
      <c r="D90" s="77" t="s">
        <v>339</v>
      </c>
      <c r="E90" s="78" t="s">
        <v>340</v>
      </c>
      <c r="F90" s="79" t="s">
        <v>145</v>
      </c>
      <c r="G90" s="79"/>
      <c r="H90" s="79" t="s">
        <v>12</v>
      </c>
      <c r="I90" s="79" t="s">
        <v>146</v>
      </c>
      <c r="J90" s="69" t="s">
        <v>28</v>
      </c>
      <c r="K90" s="69" t="s">
        <v>28</v>
      </c>
      <c r="L90" s="69" t="s">
        <v>212</v>
      </c>
      <c r="M90" s="69" t="s">
        <v>212</v>
      </c>
      <c r="N90" s="69" t="s">
        <v>212</v>
      </c>
      <c r="O90" s="69" t="str">
        <f>IF(OR(ISERROR(VLOOKUP($E90,'Summary-Fundraise'!$A$3:$L$76,O$2,FALSE)),0),"",VLOOKUP($E90,'Summary-Fundraise'!$A$3:$L$76,O$2,FALSE))</f>
        <v/>
      </c>
      <c r="Q90" s="80"/>
      <c r="R90" s="80" t="s">
        <v>212</v>
      </c>
    </row>
    <row r="91" spans="1:18" ht="28" x14ac:dyDescent="0.2">
      <c r="A91" s="75">
        <f t="shared" si="1"/>
        <v>2</v>
      </c>
      <c r="B91" s="76" t="s">
        <v>32</v>
      </c>
      <c r="C91" s="77">
        <v>45536</v>
      </c>
      <c r="D91" s="77" t="s">
        <v>341</v>
      </c>
      <c r="E91" s="84" t="s">
        <v>342</v>
      </c>
      <c r="F91" s="79" t="s">
        <v>145</v>
      </c>
      <c r="G91" s="79"/>
      <c r="H91" s="79" t="s">
        <v>12</v>
      </c>
      <c r="I91" s="79" t="s">
        <v>148</v>
      </c>
      <c r="J91" s="69" t="s">
        <v>28</v>
      </c>
      <c r="K91" s="69" t="s">
        <v>28</v>
      </c>
      <c r="Q91" s="99"/>
      <c r="R91" s="99"/>
    </row>
    <row r="92" spans="1:18" ht="28" x14ac:dyDescent="0.2">
      <c r="A92" s="75">
        <f t="shared" si="1"/>
        <v>2</v>
      </c>
      <c r="B92" s="76" t="s">
        <v>32</v>
      </c>
      <c r="C92" s="77">
        <v>45536</v>
      </c>
      <c r="D92" s="77" t="s">
        <v>343</v>
      </c>
      <c r="E92" s="84" t="s">
        <v>344</v>
      </c>
      <c r="F92" s="79" t="s">
        <v>145</v>
      </c>
      <c r="G92" s="79"/>
      <c r="H92" s="79" t="s">
        <v>12</v>
      </c>
      <c r="I92" s="79" t="s">
        <v>148</v>
      </c>
      <c r="J92" s="69" t="s">
        <v>28</v>
      </c>
      <c r="K92" s="69" t="s">
        <v>28</v>
      </c>
      <c r="Q92" s="99"/>
      <c r="R92" s="99"/>
    </row>
    <row r="93" spans="1:18" ht="28" x14ac:dyDescent="0.2">
      <c r="A93" s="75">
        <f t="shared" si="1"/>
        <v>2</v>
      </c>
      <c r="B93" s="76" t="s">
        <v>32</v>
      </c>
      <c r="C93" s="77">
        <v>45444</v>
      </c>
      <c r="D93" s="77" t="s">
        <v>345</v>
      </c>
      <c r="E93" s="78" t="s">
        <v>346</v>
      </c>
      <c r="F93" s="79" t="s">
        <v>145</v>
      </c>
      <c r="G93" s="79"/>
      <c r="H93" s="79" t="s">
        <v>12</v>
      </c>
      <c r="I93" s="79" t="s">
        <v>148</v>
      </c>
      <c r="J93" s="69" t="s">
        <v>28</v>
      </c>
      <c r="K93" s="69" t="s">
        <v>28</v>
      </c>
      <c r="Q93" s="80"/>
      <c r="R93" s="80"/>
    </row>
    <row r="94" spans="1:18" ht="30" x14ac:dyDescent="0.2">
      <c r="A94" s="75">
        <f t="shared" si="1"/>
        <v>2</v>
      </c>
      <c r="B94" s="76" t="s">
        <v>32</v>
      </c>
      <c r="C94" s="77">
        <v>45536</v>
      </c>
      <c r="D94" s="77" t="s">
        <v>347</v>
      </c>
      <c r="E94" s="84" t="s">
        <v>348</v>
      </c>
      <c r="F94" s="79" t="s">
        <v>145</v>
      </c>
      <c r="G94" s="79"/>
      <c r="H94" s="79" t="s">
        <v>256</v>
      </c>
      <c r="I94" s="79" t="s">
        <v>148</v>
      </c>
      <c r="J94" s="69" t="s">
        <v>28</v>
      </c>
      <c r="K94" s="69" t="s">
        <v>28</v>
      </c>
      <c r="Q94" s="99"/>
    </row>
    <row r="95" spans="1:18" ht="28" x14ac:dyDescent="0.2">
      <c r="A95" s="75">
        <f t="shared" si="1"/>
        <v>2</v>
      </c>
      <c r="B95" s="76" t="s">
        <v>40</v>
      </c>
      <c r="C95" s="77">
        <v>45444</v>
      </c>
      <c r="D95" s="77" t="s">
        <v>349</v>
      </c>
      <c r="E95" s="78" t="s">
        <v>67</v>
      </c>
      <c r="F95" s="79" t="s">
        <v>147</v>
      </c>
      <c r="G95" s="79"/>
      <c r="H95" s="79" t="s">
        <v>4</v>
      </c>
      <c r="I95" s="79" t="s">
        <v>146</v>
      </c>
      <c r="J95" s="69" t="s">
        <v>28</v>
      </c>
      <c r="K95" s="69" t="s">
        <v>28</v>
      </c>
      <c r="Q95" s="80"/>
      <c r="R95" s="80">
        <v>0</v>
      </c>
    </row>
    <row r="96" spans="1:18" ht="15" x14ac:dyDescent="0.2">
      <c r="A96" s="75">
        <f t="shared" si="1"/>
        <v>2</v>
      </c>
      <c r="B96" s="76" t="s">
        <v>32</v>
      </c>
      <c r="C96" s="77">
        <v>45536</v>
      </c>
      <c r="D96" s="77" t="s">
        <v>350</v>
      </c>
      <c r="E96" s="84" t="s">
        <v>351</v>
      </c>
      <c r="F96" s="79" t="s">
        <v>145</v>
      </c>
      <c r="G96" s="79"/>
      <c r="H96" s="79" t="s">
        <v>4</v>
      </c>
      <c r="I96" s="79" t="s">
        <v>148</v>
      </c>
      <c r="J96" s="69" t="s">
        <v>28</v>
      </c>
      <c r="K96" s="69" t="s">
        <v>28</v>
      </c>
      <c r="Q96" s="99"/>
      <c r="R96" s="99"/>
    </row>
    <row r="97" spans="1:18" ht="15" x14ac:dyDescent="0.2">
      <c r="A97" s="75">
        <f t="shared" si="1"/>
        <v>2</v>
      </c>
      <c r="B97" s="76" t="s">
        <v>32</v>
      </c>
      <c r="C97" s="77">
        <v>45078</v>
      </c>
      <c r="D97" s="77" t="s">
        <v>352</v>
      </c>
      <c r="E97" s="78" t="s">
        <v>138</v>
      </c>
      <c r="F97" s="79" t="s">
        <v>145</v>
      </c>
      <c r="G97" s="79"/>
      <c r="H97" s="79" t="s">
        <v>256</v>
      </c>
      <c r="I97" s="79" t="s">
        <v>148</v>
      </c>
      <c r="J97" s="69" t="s">
        <v>28</v>
      </c>
      <c r="K97" s="69" t="s">
        <v>28</v>
      </c>
      <c r="L97" s="69" t="s">
        <v>212</v>
      </c>
      <c r="M97" s="69" t="s">
        <v>212</v>
      </c>
      <c r="N97" s="69" t="s">
        <v>212</v>
      </c>
      <c r="O97" s="69" t="str">
        <f>IF(OR(ISERROR(VLOOKUP($E97,'Summary-Fundraise'!$A$3:$L$76,O$2,FALSE)),0),"",VLOOKUP($E97,'Summary-Fundraise'!$A$3:$L$76,O$2,FALSE))</f>
        <v/>
      </c>
      <c r="Q97" s="80"/>
      <c r="R97" s="80" t="s">
        <v>212</v>
      </c>
    </row>
    <row r="98" spans="1:18" ht="30" x14ac:dyDescent="0.2">
      <c r="A98" s="75">
        <f t="shared" si="1"/>
        <v>1</v>
      </c>
      <c r="B98" s="76" t="s">
        <v>176</v>
      </c>
      <c r="C98" s="77">
        <v>45536</v>
      </c>
      <c r="D98" s="77" t="s">
        <v>353</v>
      </c>
      <c r="E98" s="78" t="s">
        <v>354</v>
      </c>
      <c r="F98" s="79" t="s">
        <v>145</v>
      </c>
      <c r="G98" s="79"/>
      <c r="H98" s="79" t="s">
        <v>12</v>
      </c>
      <c r="I98" s="79" t="s">
        <v>148</v>
      </c>
      <c r="J98" s="69" t="s">
        <v>28</v>
      </c>
      <c r="Q98" s="80"/>
      <c r="R98" s="80" t="s">
        <v>355</v>
      </c>
    </row>
    <row r="99" spans="1:18" ht="28" x14ac:dyDescent="0.2">
      <c r="A99" s="75">
        <f t="shared" si="1"/>
        <v>1</v>
      </c>
      <c r="B99" s="76" t="s">
        <v>32</v>
      </c>
      <c r="C99" s="77">
        <v>45078</v>
      </c>
      <c r="D99" s="77" t="s">
        <v>356</v>
      </c>
      <c r="E99" s="78" t="s">
        <v>93</v>
      </c>
      <c r="F99" s="79" t="s">
        <v>145</v>
      </c>
      <c r="G99" s="79">
        <v>100</v>
      </c>
      <c r="H99" s="79" t="s">
        <v>12</v>
      </c>
      <c r="I99" s="79" t="s">
        <v>148</v>
      </c>
      <c r="J99" s="69" t="s">
        <v>28</v>
      </c>
      <c r="K99" s="69" t="s">
        <v>212</v>
      </c>
      <c r="L99" s="69" t="s">
        <v>212</v>
      </c>
      <c r="M99" s="69" t="s">
        <v>212</v>
      </c>
      <c r="N99" s="69" t="s">
        <v>212</v>
      </c>
      <c r="O99" s="69" t="str">
        <f>IF(OR(ISERROR(VLOOKUP($E99,'Summary-Fundraise'!$A$3:$L$76,O$2,FALSE)),0),"",VLOOKUP($E99,'Summary-Fundraise'!$A$3:$L$76,O$2,FALSE))</f>
        <v/>
      </c>
      <c r="Q99" s="80"/>
      <c r="R99" s="80" t="s">
        <v>212</v>
      </c>
    </row>
    <row r="100" spans="1:18" ht="28" x14ac:dyDescent="0.2">
      <c r="A100" s="75">
        <f t="shared" si="1"/>
        <v>1</v>
      </c>
      <c r="B100" s="76" t="s">
        <v>32</v>
      </c>
      <c r="C100" s="77">
        <v>45536</v>
      </c>
      <c r="D100" s="77" t="s">
        <v>357</v>
      </c>
      <c r="E100" s="78" t="s">
        <v>358</v>
      </c>
      <c r="F100" s="79" t="s">
        <v>145</v>
      </c>
      <c r="G100" s="79"/>
      <c r="H100" s="79" t="s">
        <v>12</v>
      </c>
      <c r="I100" s="79" t="s">
        <v>148</v>
      </c>
      <c r="J100" s="69" t="s">
        <v>28</v>
      </c>
      <c r="Q100" s="80"/>
      <c r="R100" s="80"/>
    </row>
    <row r="101" spans="1:18" ht="28" x14ac:dyDescent="0.2">
      <c r="A101" s="75">
        <f t="shared" si="1"/>
        <v>1</v>
      </c>
      <c r="B101" s="76" t="s">
        <v>32</v>
      </c>
      <c r="C101" s="77">
        <v>45078</v>
      </c>
      <c r="D101" s="77" t="s">
        <v>359</v>
      </c>
      <c r="E101" s="78" t="s">
        <v>94</v>
      </c>
      <c r="F101" s="79" t="s">
        <v>145</v>
      </c>
      <c r="G101" s="79"/>
      <c r="H101" s="79" t="s">
        <v>12</v>
      </c>
      <c r="I101" s="79" t="s">
        <v>171</v>
      </c>
      <c r="J101" s="69" t="s">
        <v>28</v>
      </c>
      <c r="K101" s="69" t="s">
        <v>212</v>
      </c>
      <c r="L101" s="69" t="s">
        <v>212</v>
      </c>
      <c r="M101" s="69" t="s">
        <v>212</v>
      </c>
      <c r="N101" s="69" t="s">
        <v>212</v>
      </c>
      <c r="O101" s="69" t="str">
        <f>IF(OR(ISERROR(VLOOKUP($E101,'Summary-Fundraise'!$A$3:$L$76,O$2,FALSE)),0),"",VLOOKUP($E101,'Summary-Fundraise'!$A$3:$L$76,O$2,FALSE))</f>
        <v/>
      </c>
      <c r="Q101" s="80"/>
      <c r="R101" s="80" t="s">
        <v>212</v>
      </c>
    </row>
    <row r="102" spans="1:18" ht="28" x14ac:dyDescent="0.2">
      <c r="A102" s="75">
        <f t="shared" si="1"/>
        <v>1</v>
      </c>
      <c r="B102" s="76" t="s">
        <v>32</v>
      </c>
      <c r="C102" s="77">
        <v>45536</v>
      </c>
      <c r="D102" s="77" t="s">
        <v>360</v>
      </c>
      <c r="E102" s="83" t="s">
        <v>361</v>
      </c>
      <c r="F102" s="79" t="s">
        <v>145</v>
      </c>
      <c r="G102" s="79"/>
      <c r="H102" s="79" t="s">
        <v>12</v>
      </c>
      <c r="I102" s="79" t="s">
        <v>148</v>
      </c>
      <c r="J102" s="69" t="s">
        <v>28</v>
      </c>
      <c r="Q102" s="80"/>
      <c r="R102" s="80" t="s">
        <v>212</v>
      </c>
    </row>
    <row r="103" spans="1:18" ht="28" x14ac:dyDescent="0.2">
      <c r="A103" s="75">
        <f t="shared" si="1"/>
        <v>1</v>
      </c>
      <c r="B103" s="76" t="s">
        <v>32</v>
      </c>
      <c r="C103" s="77">
        <v>45078</v>
      </c>
      <c r="D103" s="77" t="s">
        <v>362</v>
      </c>
      <c r="E103" s="78" t="s">
        <v>96</v>
      </c>
      <c r="F103" s="79" t="s">
        <v>145</v>
      </c>
      <c r="G103" s="79"/>
      <c r="H103" s="79" t="s">
        <v>12</v>
      </c>
      <c r="I103" s="79" t="s">
        <v>148</v>
      </c>
      <c r="J103" s="69" t="s">
        <v>28</v>
      </c>
      <c r="K103" s="69" t="s">
        <v>212</v>
      </c>
      <c r="L103" s="69" t="s">
        <v>212</v>
      </c>
      <c r="M103" s="69" t="s">
        <v>212</v>
      </c>
      <c r="N103" s="69" t="s">
        <v>212</v>
      </c>
      <c r="O103" s="69" t="str">
        <f>IF(OR(ISERROR(VLOOKUP($E103,'Summary-Fundraise'!$A$3:$L$76,O$2,FALSE)),0),"",VLOOKUP($E103,'Summary-Fundraise'!$A$3:$L$76,O$2,FALSE))</f>
        <v/>
      </c>
      <c r="Q103" s="80"/>
      <c r="R103" s="80" t="s">
        <v>212</v>
      </c>
    </row>
    <row r="104" spans="1:18" ht="28" x14ac:dyDescent="0.2">
      <c r="A104" s="75">
        <f t="shared" si="1"/>
        <v>1</v>
      </c>
      <c r="B104" s="76" t="s">
        <v>176</v>
      </c>
      <c r="C104" s="77">
        <v>45536</v>
      </c>
      <c r="D104" s="77" t="s">
        <v>363</v>
      </c>
      <c r="E104" s="84" t="s">
        <v>364</v>
      </c>
      <c r="F104" s="79" t="s">
        <v>145</v>
      </c>
      <c r="G104" s="79"/>
      <c r="H104" s="79" t="s">
        <v>12</v>
      </c>
      <c r="I104" s="79" t="s">
        <v>148</v>
      </c>
      <c r="J104" s="69" t="s">
        <v>28</v>
      </c>
      <c r="Q104" s="80"/>
      <c r="R104" s="80" t="s">
        <v>365</v>
      </c>
    </row>
    <row r="105" spans="1:18" ht="30" x14ac:dyDescent="0.2">
      <c r="A105" s="75">
        <f t="shared" si="1"/>
        <v>1</v>
      </c>
      <c r="B105" s="76" t="s">
        <v>32</v>
      </c>
      <c r="C105" s="77">
        <v>45078</v>
      </c>
      <c r="D105" s="77" t="s">
        <v>366</v>
      </c>
      <c r="E105" s="78" t="s">
        <v>367</v>
      </c>
      <c r="F105" s="79" t="s">
        <v>145</v>
      </c>
      <c r="G105" s="79"/>
      <c r="H105" s="79" t="s">
        <v>12</v>
      </c>
      <c r="I105" s="79" t="s">
        <v>148</v>
      </c>
      <c r="J105" s="69" t="s">
        <v>28</v>
      </c>
      <c r="K105" s="69" t="s">
        <v>212</v>
      </c>
      <c r="L105" s="69" t="s">
        <v>212</v>
      </c>
      <c r="M105" s="69" t="s">
        <v>212</v>
      </c>
      <c r="N105" s="69" t="s">
        <v>212</v>
      </c>
      <c r="O105" s="69" t="str">
        <f>IF(OR(ISERROR(VLOOKUP($E105,'Summary-Fundraise'!$A$3:$L$76,O$2,FALSE)),0),"",VLOOKUP($E105,'Summary-Fundraise'!$A$3:$L$76,O$2,FALSE))</f>
        <v/>
      </c>
      <c r="Q105" s="80"/>
      <c r="R105" s="80" t="s">
        <v>212</v>
      </c>
    </row>
    <row r="106" spans="1:18" ht="28" x14ac:dyDescent="0.2">
      <c r="A106" s="75">
        <f t="shared" si="1"/>
        <v>1</v>
      </c>
      <c r="B106" s="76" t="s">
        <v>32</v>
      </c>
      <c r="C106" s="77">
        <v>45444</v>
      </c>
      <c r="D106" s="77" t="s">
        <v>368</v>
      </c>
      <c r="E106" s="78" t="s">
        <v>369</v>
      </c>
      <c r="F106" s="79" t="s">
        <v>145</v>
      </c>
      <c r="G106" s="79"/>
      <c r="H106" s="79" t="s">
        <v>12</v>
      </c>
      <c r="I106" s="79" t="s">
        <v>148</v>
      </c>
      <c r="J106" s="69" t="s">
        <v>28</v>
      </c>
      <c r="Q106" s="80"/>
      <c r="R106" s="80"/>
    </row>
    <row r="107" spans="1:18" ht="28" x14ac:dyDescent="0.2">
      <c r="A107" s="75">
        <f t="shared" si="1"/>
        <v>1</v>
      </c>
      <c r="B107" s="76" t="s">
        <v>32</v>
      </c>
      <c r="C107" s="77">
        <v>45536</v>
      </c>
      <c r="D107" s="77" t="s">
        <v>370</v>
      </c>
      <c r="E107" s="84" t="s">
        <v>371</v>
      </c>
      <c r="F107" s="79" t="s">
        <v>145</v>
      </c>
      <c r="G107" s="79"/>
      <c r="H107" s="79" t="s">
        <v>12</v>
      </c>
      <c r="I107" s="79" t="s">
        <v>148</v>
      </c>
      <c r="J107" s="69" t="s">
        <v>28</v>
      </c>
      <c r="Q107" s="99"/>
      <c r="R107" s="99"/>
    </row>
    <row r="108" spans="1:18" ht="30" x14ac:dyDescent="0.2">
      <c r="A108" s="75">
        <f t="shared" si="1"/>
        <v>1</v>
      </c>
      <c r="B108" s="76" t="s">
        <v>32</v>
      </c>
      <c r="C108" s="77">
        <v>45627</v>
      </c>
      <c r="D108" s="77" t="s">
        <v>372</v>
      </c>
      <c r="E108" s="84" t="s">
        <v>373</v>
      </c>
      <c r="F108" s="79" t="s">
        <v>145</v>
      </c>
      <c r="G108" s="79"/>
      <c r="H108" s="79" t="s">
        <v>256</v>
      </c>
      <c r="I108" s="79" t="s">
        <v>171</v>
      </c>
      <c r="J108" s="69" t="s">
        <v>28</v>
      </c>
      <c r="Q108" s="99"/>
      <c r="R108" s="99"/>
    </row>
    <row r="109" spans="1:18" ht="28" x14ac:dyDescent="0.2">
      <c r="A109" s="75">
        <f t="shared" si="1"/>
        <v>1</v>
      </c>
      <c r="B109" s="76" t="s">
        <v>32</v>
      </c>
      <c r="C109" s="77">
        <v>45078</v>
      </c>
      <c r="D109" s="77" t="s">
        <v>374</v>
      </c>
      <c r="E109" s="78" t="s">
        <v>103</v>
      </c>
      <c r="F109" s="79" t="s">
        <v>145</v>
      </c>
      <c r="G109" s="79"/>
      <c r="H109" s="79" t="s">
        <v>11</v>
      </c>
      <c r="I109" s="79" t="s">
        <v>146</v>
      </c>
      <c r="J109" s="69" t="s">
        <v>28</v>
      </c>
      <c r="K109" s="69" t="s">
        <v>212</v>
      </c>
      <c r="L109" s="69" t="s">
        <v>212</v>
      </c>
      <c r="M109" s="69" t="s">
        <v>212</v>
      </c>
      <c r="N109" s="69" t="s">
        <v>212</v>
      </c>
      <c r="O109" s="69" t="str">
        <f>IF(OR(ISERROR(VLOOKUP($E109,'Summary-Fundraise'!$A$3:$L$76,O$2,FALSE)),0),"",VLOOKUP($E109,'Summary-Fundraise'!$A$3:$L$76,O$2,FALSE))</f>
        <v/>
      </c>
      <c r="Q109" s="80"/>
      <c r="R109" s="80" t="s">
        <v>212</v>
      </c>
    </row>
    <row r="110" spans="1:18" ht="28" x14ac:dyDescent="0.2">
      <c r="A110" s="75">
        <f t="shared" si="1"/>
        <v>1</v>
      </c>
      <c r="B110" s="76" t="s">
        <v>40</v>
      </c>
      <c r="C110" s="77">
        <v>45078</v>
      </c>
      <c r="D110" s="77" t="s">
        <v>375</v>
      </c>
      <c r="E110" s="78" t="s">
        <v>104</v>
      </c>
      <c r="F110" s="79" t="s">
        <v>145</v>
      </c>
      <c r="G110" s="79"/>
      <c r="H110" s="79" t="s">
        <v>11</v>
      </c>
      <c r="I110" s="79" t="s">
        <v>146</v>
      </c>
      <c r="J110" s="69" t="s">
        <v>28</v>
      </c>
      <c r="K110" s="69" t="s">
        <v>212</v>
      </c>
      <c r="L110" s="69" t="s">
        <v>212</v>
      </c>
      <c r="M110" s="69" t="s">
        <v>212</v>
      </c>
      <c r="N110" s="69" t="s">
        <v>212</v>
      </c>
      <c r="O110" s="69" t="str">
        <f>IF(OR(ISERROR(VLOOKUP($E110,'Summary-Fundraise'!$A$3:$L$76,O$2,FALSE)),0),"",VLOOKUP($E110,'Summary-Fundraise'!$A$3:$L$76,O$2,FALSE))</f>
        <v/>
      </c>
      <c r="Q110" s="80"/>
      <c r="R110" s="80" t="s">
        <v>376</v>
      </c>
    </row>
    <row r="111" spans="1:18" ht="28" x14ac:dyDescent="0.2">
      <c r="A111" s="75">
        <f t="shared" si="1"/>
        <v>1</v>
      </c>
      <c r="B111" s="76" t="s">
        <v>40</v>
      </c>
      <c r="C111" s="77">
        <v>45078</v>
      </c>
      <c r="D111" s="77" t="s">
        <v>377</v>
      </c>
      <c r="E111" s="78" t="s">
        <v>105</v>
      </c>
      <c r="F111" s="79" t="s">
        <v>145</v>
      </c>
      <c r="G111" s="79"/>
      <c r="H111" s="79" t="s">
        <v>12</v>
      </c>
      <c r="I111" s="79" t="s">
        <v>146</v>
      </c>
      <c r="J111" s="69" t="s">
        <v>28</v>
      </c>
      <c r="K111" s="69" t="s">
        <v>212</v>
      </c>
      <c r="L111" s="69" t="s">
        <v>212</v>
      </c>
      <c r="M111" s="69" t="s">
        <v>212</v>
      </c>
      <c r="N111" s="69" t="s">
        <v>212</v>
      </c>
      <c r="O111" s="69" t="str">
        <f>IF(OR(ISERROR(VLOOKUP($E111,'Summary-Fundraise'!$A$3:$L$76,O$2,FALSE)),0),"",VLOOKUP($E111,'Summary-Fundraise'!$A$3:$L$76,O$2,FALSE))</f>
        <v/>
      </c>
      <c r="Q111" s="80"/>
      <c r="R111" s="80" t="s">
        <v>376</v>
      </c>
    </row>
    <row r="112" spans="1:18" ht="28" x14ac:dyDescent="0.2">
      <c r="A112" s="75">
        <f t="shared" si="1"/>
        <v>1</v>
      </c>
      <c r="B112" s="76" t="s">
        <v>176</v>
      </c>
      <c r="C112" s="77">
        <v>45536</v>
      </c>
      <c r="D112" s="77" t="s">
        <v>378</v>
      </c>
      <c r="E112" s="84" t="s">
        <v>379</v>
      </c>
      <c r="F112" s="79" t="s">
        <v>145</v>
      </c>
      <c r="G112" s="79"/>
      <c r="H112" s="79" t="s">
        <v>225</v>
      </c>
      <c r="I112" s="79" t="s">
        <v>148</v>
      </c>
      <c r="J112" s="69" t="s">
        <v>28</v>
      </c>
      <c r="Q112" s="99"/>
      <c r="R112" s="99" t="s">
        <v>380</v>
      </c>
    </row>
    <row r="113" spans="1:18" ht="28" x14ac:dyDescent="0.2">
      <c r="A113" s="75">
        <f t="shared" si="1"/>
        <v>1</v>
      </c>
      <c r="B113" s="76" t="s">
        <v>176</v>
      </c>
      <c r="C113" s="77">
        <v>45047</v>
      </c>
      <c r="D113" s="77" t="s">
        <v>381</v>
      </c>
      <c r="E113" s="78" t="s">
        <v>106</v>
      </c>
      <c r="F113" s="79" t="s">
        <v>145</v>
      </c>
      <c r="G113" s="79">
        <v>5</v>
      </c>
      <c r="H113" s="79" t="s">
        <v>2</v>
      </c>
      <c r="I113" s="79" t="s">
        <v>146</v>
      </c>
      <c r="J113" s="69" t="s">
        <v>28</v>
      </c>
      <c r="K113" s="69" t="s">
        <v>212</v>
      </c>
      <c r="L113" s="69" t="s">
        <v>212</v>
      </c>
      <c r="M113" s="69" t="s">
        <v>212</v>
      </c>
      <c r="N113" s="69" t="s">
        <v>212</v>
      </c>
      <c r="O113" s="69" t="str">
        <f>IF(OR(ISERROR(VLOOKUP($E113,'Summary-Fundraise'!$A$3:$L$76,O$2,FALSE)),0),"",VLOOKUP($E113,'Summary-Fundraise'!$A$3:$L$76,O$2,FALSE))</f>
        <v/>
      </c>
      <c r="Q113" s="80"/>
      <c r="R113" s="80" t="s">
        <v>212</v>
      </c>
    </row>
    <row r="114" spans="1:18" ht="28" x14ac:dyDescent="0.2">
      <c r="A114" s="75">
        <f t="shared" si="1"/>
        <v>1</v>
      </c>
      <c r="B114" s="76" t="s">
        <v>32</v>
      </c>
      <c r="C114" s="77">
        <v>45536</v>
      </c>
      <c r="D114" s="77" t="s">
        <v>382</v>
      </c>
      <c r="E114" s="84" t="s">
        <v>383</v>
      </c>
      <c r="F114" s="79" t="s">
        <v>145</v>
      </c>
      <c r="G114" s="79"/>
      <c r="H114" s="79" t="s">
        <v>12</v>
      </c>
      <c r="I114" s="79" t="s">
        <v>148</v>
      </c>
      <c r="J114" s="69" t="s">
        <v>28</v>
      </c>
      <c r="Q114" s="99"/>
      <c r="R114" s="99"/>
    </row>
    <row r="115" spans="1:18" ht="28" x14ac:dyDescent="0.2">
      <c r="A115" s="75">
        <f t="shared" si="1"/>
        <v>1</v>
      </c>
      <c r="B115" s="76" t="s">
        <v>176</v>
      </c>
      <c r="C115" s="77">
        <v>45047</v>
      </c>
      <c r="D115" s="77" t="s">
        <v>384</v>
      </c>
      <c r="E115" s="78" t="s">
        <v>53</v>
      </c>
      <c r="F115" s="79" t="s">
        <v>149</v>
      </c>
      <c r="G115" s="79">
        <v>10</v>
      </c>
      <c r="H115" s="79" t="s">
        <v>8</v>
      </c>
      <c r="I115" s="79" t="s">
        <v>146</v>
      </c>
      <c r="J115" s="69" t="s">
        <v>28</v>
      </c>
      <c r="Q115" s="80"/>
      <c r="R115" s="80" t="s">
        <v>153</v>
      </c>
    </row>
    <row r="116" spans="1:18" ht="28" x14ac:dyDescent="0.2">
      <c r="A116" s="75">
        <f t="shared" si="1"/>
        <v>1</v>
      </c>
      <c r="B116" s="76" t="s">
        <v>32</v>
      </c>
      <c r="C116" s="77">
        <v>45444</v>
      </c>
      <c r="D116" s="77" t="s">
        <v>385</v>
      </c>
      <c r="E116" s="78" t="s">
        <v>73</v>
      </c>
      <c r="F116" s="79" t="s">
        <v>147</v>
      </c>
      <c r="G116" s="79"/>
      <c r="H116" s="79" t="s">
        <v>11</v>
      </c>
      <c r="I116" s="79" t="s">
        <v>146</v>
      </c>
      <c r="J116" s="69" t="s">
        <v>28</v>
      </c>
      <c r="Q116" s="80"/>
      <c r="R116" s="80">
        <v>0</v>
      </c>
    </row>
    <row r="117" spans="1:18" ht="28" x14ac:dyDescent="0.2">
      <c r="A117" s="75">
        <f t="shared" si="1"/>
        <v>1</v>
      </c>
      <c r="B117" s="76" t="s">
        <v>32</v>
      </c>
      <c r="C117" s="77">
        <v>45536</v>
      </c>
      <c r="D117" s="77" t="s">
        <v>386</v>
      </c>
      <c r="E117" s="84" t="s">
        <v>387</v>
      </c>
      <c r="F117" s="79" t="s">
        <v>145</v>
      </c>
      <c r="G117" s="79"/>
      <c r="H117" s="79" t="s">
        <v>12</v>
      </c>
      <c r="I117" s="79" t="s">
        <v>148</v>
      </c>
      <c r="J117" s="69" t="s">
        <v>28</v>
      </c>
      <c r="Q117" s="99"/>
      <c r="R117" s="99"/>
    </row>
    <row r="118" spans="1:18" ht="28" x14ac:dyDescent="0.2">
      <c r="A118" s="75">
        <f t="shared" si="1"/>
        <v>1</v>
      </c>
      <c r="B118" s="76" t="s">
        <v>32</v>
      </c>
      <c r="C118" s="77">
        <v>45536</v>
      </c>
      <c r="D118" s="77" t="s">
        <v>388</v>
      </c>
      <c r="E118" s="84" t="s">
        <v>389</v>
      </c>
      <c r="F118" s="79" t="s">
        <v>145</v>
      </c>
      <c r="G118" s="79"/>
      <c r="H118" s="79" t="s">
        <v>12</v>
      </c>
      <c r="I118" s="79" t="s">
        <v>148</v>
      </c>
      <c r="J118" s="69" t="s">
        <v>28</v>
      </c>
      <c r="Q118" s="99"/>
      <c r="R118" s="99"/>
    </row>
    <row r="119" spans="1:18" ht="28" x14ac:dyDescent="0.2">
      <c r="A119" s="75">
        <f t="shared" si="1"/>
        <v>1</v>
      </c>
      <c r="B119" s="76" t="s">
        <v>32</v>
      </c>
      <c r="C119" s="77">
        <v>45444</v>
      </c>
      <c r="D119" s="77" t="s">
        <v>390</v>
      </c>
      <c r="E119" s="78" t="s">
        <v>72</v>
      </c>
      <c r="F119" s="79" t="s">
        <v>147</v>
      </c>
      <c r="G119" s="79"/>
      <c r="H119" s="79" t="s">
        <v>11</v>
      </c>
      <c r="I119" s="79" t="s">
        <v>146</v>
      </c>
      <c r="J119" s="69" t="s">
        <v>28</v>
      </c>
      <c r="Q119" s="80"/>
      <c r="R119" s="80">
        <v>0</v>
      </c>
    </row>
    <row r="120" spans="1:18" ht="28" x14ac:dyDescent="0.2">
      <c r="A120" s="75">
        <f t="shared" si="1"/>
        <v>1</v>
      </c>
      <c r="B120" s="76" t="s">
        <v>32</v>
      </c>
      <c r="C120" s="77">
        <v>45536</v>
      </c>
      <c r="D120" s="77" t="s">
        <v>391</v>
      </c>
      <c r="E120" s="84" t="s">
        <v>392</v>
      </c>
      <c r="F120" s="79" t="s">
        <v>145</v>
      </c>
      <c r="G120" s="79"/>
      <c r="H120" s="79" t="s">
        <v>12</v>
      </c>
      <c r="I120" s="79" t="s">
        <v>148</v>
      </c>
      <c r="J120" s="69" t="s">
        <v>28</v>
      </c>
      <c r="Q120" s="99"/>
      <c r="R120" s="99"/>
    </row>
    <row r="121" spans="1:18" ht="28" x14ac:dyDescent="0.2">
      <c r="A121" s="75">
        <f t="shared" si="1"/>
        <v>1</v>
      </c>
      <c r="B121" s="76" t="s">
        <v>40</v>
      </c>
      <c r="C121" s="77">
        <v>45078</v>
      </c>
      <c r="D121" s="77" t="s">
        <v>393</v>
      </c>
      <c r="E121" s="78" t="s">
        <v>120</v>
      </c>
      <c r="F121" s="79" t="s">
        <v>149</v>
      </c>
      <c r="G121" s="79"/>
      <c r="H121" s="79" t="s">
        <v>2</v>
      </c>
      <c r="I121" s="79" t="s">
        <v>146</v>
      </c>
      <c r="J121" s="69" t="s">
        <v>28</v>
      </c>
      <c r="K121" s="69" t="s">
        <v>212</v>
      </c>
      <c r="L121" s="69" t="s">
        <v>212</v>
      </c>
      <c r="M121" s="69" t="s">
        <v>212</v>
      </c>
      <c r="N121" s="69" t="s">
        <v>212</v>
      </c>
      <c r="O121" s="69" t="str">
        <f>IF(OR(ISERROR(VLOOKUP($E121,'Summary-Fundraise'!$A$3:$L$76,O$2,FALSE)),0),"",VLOOKUP($E121,'Summary-Fundraise'!$A$3:$L$76,O$2,FALSE))</f>
        <v/>
      </c>
      <c r="Q121" s="80"/>
      <c r="R121" s="80" t="s">
        <v>376</v>
      </c>
    </row>
    <row r="122" spans="1:18" ht="28" x14ac:dyDescent="0.2">
      <c r="A122" s="75">
        <f t="shared" si="1"/>
        <v>1</v>
      </c>
      <c r="B122" s="76" t="s">
        <v>32</v>
      </c>
      <c r="C122" s="77">
        <v>45078</v>
      </c>
      <c r="D122" s="77" t="s">
        <v>394</v>
      </c>
      <c r="E122" s="78" t="s">
        <v>395</v>
      </c>
      <c r="F122" s="79" t="s">
        <v>145</v>
      </c>
      <c r="G122" s="79">
        <v>100</v>
      </c>
      <c r="H122" s="79" t="s">
        <v>2</v>
      </c>
      <c r="I122" s="79" t="s">
        <v>146</v>
      </c>
      <c r="J122" s="69" t="s">
        <v>28</v>
      </c>
      <c r="K122" s="69" t="s">
        <v>212</v>
      </c>
      <c r="L122" s="69" t="s">
        <v>212</v>
      </c>
      <c r="M122" s="69" t="s">
        <v>212</v>
      </c>
      <c r="N122" s="69" t="s">
        <v>212</v>
      </c>
      <c r="O122" s="69" t="str">
        <f>IF(OR(ISERROR(VLOOKUP($E122,'Summary-Fundraise'!$A$3:$L$76,O$2,FALSE)),0),"",VLOOKUP($E122,'Summary-Fundraise'!$A$3:$L$76,O$2,FALSE))</f>
        <v/>
      </c>
      <c r="Q122" s="80"/>
      <c r="R122" s="80" t="s">
        <v>212</v>
      </c>
    </row>
    <row r="123" spans="1:18" ht="28" x14ac:dyDescent="0.2">
      <c r="A123" s="75">
        <f t="shared" si="1"/>
        <v>1</v>
      </c>
      <c r="B123" s="76" t="s">
        <v>40</v>
      </c>
      <c r="C123" s="77">
        <v>45536</v>
      </c>
      <c r="D123" s="77" t="s">
        <v>396</v>
      </c>
      <c r="E123" s="84" t="s">
        <v>397</v>
      </c>
      <c r="F123" s="79" t="s">
        <v>145</v>
      </c>
      <c r="G123" s="79"/>
      <c r="H123" s="79" t="s">
        <v>12</v>
      </c>
      <c r="I123" s="79" t="s">
        <v>148</v>
      </c>
      <c r="J123" s="69" t="s">
        <v>28</v>
      </c>
      <c r="Q123" s="99"/>
      <c r="R123" s="99"/>
    </row>
    <row r="124" spans="1:18" ht="28" x14ac:dyDescent="0.2">
      <c r="A124" s="75">
        <f t="shared" si="1"/>
        <v>1</v>
      </c>
      <c r="B124" s="76" t="s">
        <v>32</v>
      </c>
      <c r="C124" s="77">
        <v>45536</v>
      </c>
      <c r="D124" s="77" t="s">
        <v>398</v>
      </c>
      <c r="E124" s="84" t="s">
        <v>399</v>
      </c>
      <c r="F124" s="79" t="s">
        <v>145</v>
      </c>
      <c r="G124" s="79"/>
      <c r="H124" s="79" t="s">
        <v>12</v>
      </c>
      <c r="I124" s="79" t="s">
        <v>148</v>
      </c>
      <c r="J124" s="69" t="s">
        <v>28</v>
      </c>
      <c r="Q124" s="99"/>
      <c r="R124" s="99"/>
    </row>
    <row r="125" spans="1:18" ht="15" x14ac:dyDescent="0.2">
      <c r="A125" s="75">
        <f t="shared" si="1"/>
        <v>1</v>
      </c>
      <c r="B125" s="76" t="s">
        <v>32</v>
      </c>
      <c r="C125" s="77">
        <v>45536</v>
      </c>
      <c r="D125" s="77" t="s">
        <v>400</v>
      </c>
      <c r="E125" s="84" t="s">
        <v>401</v>
      </c>
      <c r="F125" s="79" t="s">
        <v>145</v>
      </c>
      <c r="G125" s="79"/>
      <c r="H125" s="79" t="s">
        <v>256</v>
      </c>
      <c r="I125" s="79" t="s">
        <v>148</v>
      </c>
      <c r="J125" s="69" t="s">
        <v>28</v>
      </c>
      <c r="Q125" s="99"/>
      <c r="R125" s="99"/>
    </row>
    <row r="126" spans="1:18" ht="15" x14ac:dyDescent="0.2">
      <c r="A126" s="75">
        <f t="shared" si="1"/>
        <v>1</v>
      </c>
      <c r="B126" s="76" t="s">
        <v>32</v>
      </c>
      <c r="C126" s="77">
        <v>45444</v>
      </c>
      <c r="D126" s="77" t="s">
        <v>402</v>
      </c>
      <c r="E126" s="78" t="s">
        <v>75</v>
      </c>
      <c r="F126" s="79" t="s">
        <v>147</v>
      </c>
      <c r="G126" s="79"/>
      <c r="H126" s="79" t="s">
        <v>11</v>
      </c>
      <c r="I126" s="79" t="s">
        <v>148</v>
      </c>
      <c r="J126" s="69" t="s">
        <v>28</v>
      </c>
      <c r="Q126" s="80"/>
      <c r="R126" s="80">
        <v>0</v>
      </c>
    </row>
    <row r="127" spans="1:18" ht="28" x14ac:dyDescent="0.2">
      <c r="A127" s="75">
        <f t="shared" si="1"/>
        <v>1</v>
      </c>
      <c r="B127" s="76" t="s">
        <v>32</v>
      </c>
      <c r="C127" s="77">
        <v>45444</v>
      </c>
      <c r="D127" s="77" t="s">
        <v>403</v>
      </c>
      <c r="E127" s="78" t="s">
        <v>76</v>
      </c>
      <c r="F127" s="79" t="s">
        <v>147</v>
      </c>
      <c r="G127" s="79"/>
      <c r="H127" s="79" t="s">
        <v>11</v>
      </c>
      <c r="I127" s="79" t="s">
        <v>146</v>
      </c>
      <c r="J127" s="69" t="s">
        <v>28</v>
      </c>
      <c r="Q127" s="80"/>
      <c r="R127" s="80">
        <v>0</v>
      </c>
    </row>
    <row r="128" spans="1:18" ht="28" x14ac:dyDescent="0.2">
      <c r="A128" s="75">
        <f t="shared" si="1"/>
        <v>1</v>
      </c>
      <c r="B128" s="76" t="s">
        <v>32</v>
      </c>
      <c r="C128" s="77">
        <v>45536</v>
      </c>
      <c r="D128" s="77" t="s">
        <v>404</v>
      </c>
      <c r="E128" s="84" t="s">
        <v>405</v>
      </c>
      <c r="F128" s="79" t="s">
        <v>145</v>
      </c>
      <c r="G128" s="79"/>
      <c r="H128" s="79" t="s">
        <v>12</v>
      </c>
      <c r="I128" s="79" t="s">
        <v>148</v>
      </c>
      <c r="J128" s="69" t="s">
        <v>28</v>
      </c>
      <c r="Q128" s="99"/>
      <c r="R128" s="99"/>
    </row>
    <row r="129" spans="1:18" ht="28" x14ac:dyDescent="0.2">
      <c r="A129" s="75">
        <f t="shared" si="1"/>
        <v>1</v>
      </c>
      <c r="B129" s="76" t="s">
        <v>32</v>
      </c>
      <c r="C129" s="77">
        <v>45536</v>
      </c>
      <c r="D129" s="77" t="s">
        <v>406</v>
      </c>
      <c r="E129" s="84" t="s">
        <v>407</v>
      </c>
      <c r="F129" s="79" t="s">
        <v>145</v>
      </c>
      <c r="G129" s="79"/>
      <c r="H129" s="79" t="s">
        <v>12</v>
      </c>
      <c r="I129" s="79" t="s">
        <v>148</v>
      </c>
      <c r="J129" s="69" t="s">
        <v>28</v>
      </c>
      <c r="Q129" s="99"/>
      <c r="R129" s="99"/>
    </row>
    <row r="130" spans="1:18" ht="28" x14ac:dyDescent="0.2">
      <c r="A130" s="75">
        <f t="shared" si="1"/>
        <v>1</v>
      </c>
      <c r="B130" s="76" t="s">
        <v>32</v>
      </c>
      <c r="C130" s="77">
        <v>45053</v>
      </c>
      <c r="D130" s="77" t="s">
        <v>408</v>
      </c>
      <c r="E130" s="78" t="s">
        <v>55</v>
      </c>
      <c r="F130" s="79" t="s">
        <v>145</v>
      </c>
      <c r="G130" s="79">
        <v>100</v>
      </c>
      <c r="H130" s="79" t="s">
        <v>12</v>
      </c>
      <c r="I130" s="79" t="s">
        <v>148</v>
      </c>
      <c r="J130" s="69" t="s">
        <v>28</v>
      </c>
      <c r="Q130" s="80"/>
      <c r="R130" s="80">
        <v>0</v>
      </c>
    </row>
    <row r="131" spans="1:18" ht="28" x14ac:dyDescent="0.2">
      <c r="A131" s="75">
        <f t="shared" si="1"/>
        <v>1</v>
      </c>
      <c r="B131" s="76" t="s">
        <v>40</v>
      </c>
      <c r="C131" s="77">
        <v>45078</v>
      </c>
      <c r="D131" s="77" t="s">
        <v>409</v>
      </c>
      <c r="E131" s="78" t="s">
        <v>126</v>
      </c>
      <c r="F131" s="79" t="s">
        <v>145</v>
      </c>
      <c r="G131" s="79"/>
      <c r="H131" s="79" t="s">
        <v>12</v>
      </c>
      <c r="I131" s="79" t="s">
        <v>148</v>
      </c>
      <c r="J131" s="69" t="s">
        <v>28</v>
      </c>
      <c r="K131" s="69" t="s">
        <v>212</v>
      </c>
      <c r="L131" s="69" t="s">
        <v>212</v>
      </c>
      <c r="M131" s="69" t="s">
        <v>212</v>
      </c>
      <c r="N131" s="69" t="s">
        <v>212</v>
      </c>
      <c r="O131" s="69" t="str">
        <f>IF(OR(ISERROR(VLOOKUP($E131,'Summary-Fundraise'!$A$3:$L$76,O$2,FALSE)),0),"",VLOOKUP($E131,'Summary-Fundraise'!$A$3:$L$76,O$2,FALSE))</f>
        <v/>
      </c>
      <c r="Q131" s="80"/>
      <c r="R131" s="80" t="s">
        <v>410</v>
      </c>
    </row>
    <row r="132" spans="1:18" ht="28" x14ac:dyDescent="0.2">
      <c r="A132" s="75">
        <f t="shared" ref="A132:A195" si="2">IF(E132="",-1,IF(COUNTIF(J132:O132,"yes")=0,0,COUNTIF(J132:O132,"yes")))</f>
        <v>1</v>
      </c>
      <c r="B132" s="76" t="s">
        <v>32</v>
      </c>
      <c r="C132" s="77">
        <v>45444</v>
      </c>
      <c r="D132" s="77" t="s">
        <v>411</v>
      </c>
      <c r="E132" s="78" t="s">
        <v>74</v>
      </c>
      <c r="F132" s="79" t="s">
        <v>147</v>
      </c>
      <c r="G132" s="79"/>
      <c r="H132" s="79" t="s">
        <v>4</v>
      </c>
      <c r="I132" s="79" t="s">
        <v>146</v>
      </c>
      <c r="J132" s="69" t="s">
        <v>28</v>
      </c>
      <c r="Q132" s="80"/>
      <c r="R132" s="80">
        <v>0</v>
      </c>
    </row>
    <row r="133" spans="1:18" ht="15" x14ac:dyDescent="0.2">
      <c r="A133" s="75">
        <f t="shared" si="2"/>
        <v>1</v>
      </c>
      <c r="B133" s="76" t="s">
        <v>32</v>
      </c>
      <c r="C133" s="77">
        <v>45444</v>
      </c>
      <c r="D133" s="77" t="s">
        <v>412</v>
      </c>
      <c r="E133" s="78" t="s">
        <v>71</v>
      </c>
      <c r="F133" s="79" t="s">
        <v>147</v>
      </c>
      <c r="G133" s="79"/>
      <c r="H133" s="79" t="s">
        <v>4</v>
      </c>
      <c r="I133" s="79" t="s">
        <v>148</v>
      </c>
      <c r="J133" s="69" t="s">
        <v>28</v>
      </c>
      <c r="Q133" s="80"/>
      <c r="R133" s="80">
        <v>0</v>
      </c>
    </row>
    <row r="134" spans="1:18" ht="28" x14ac:dyDescent="0.2">
      <c r="A134" s="75">
        <f t="shared" si="2"/>
        <v>1</v>
      </c>
      <c r="B134" s="76" t="s">
        <v>32</v>
      </c>
      <c r="C134" s="77">
        <v>45078</v>
      </c>
      <c r="D134" s="77" t="s">
        <v>413</v>
      </c>
      <c r="E134" s="78" t="s">
        <v>130</v>
      </c>
      <c r="F134" s="79" t="s">
        <v>145</v>
      </c>
      <c r="G134" s="79"/>
      <c r="H134" s="79" t="s">
        <v>12</v>
      </c>
      <c r="I134" s="79" t="s">
        <v>148</v>
      </c>
      <c r="J134" s="69" t="s">
        <v>28</v>
      </c>
      <c r="K134" s="69" t="s">
        <v>212</v>
      </c>
      <c r="L134" s="69" t="s">
        <v>212</v>
      </c>
      <c r="M134" s="69" t="s">
        <v>212</v>
      </c>
      <c r="N134" s="69" t="s">
        <v>212</v>
      </c>
      <c r="O134" s="69" t="str">
        <f>IF(OR(ISERROR(VLOOKUP($E134,'Summary-Fundraise'!$A$3:$L$76,O$2,FALSE)),0),"",VLOOKUP($E134,'Summary-Fundraise'!$A$3:$L$76,O$2,FALSE))</f>
        <v/>
      </c>
      <c r="Q134" s="80"/>
      <c r="R134" s="80" t="s">
        <v>212</v>
      </c>
    </row>
    <row r="135" spans="1:18" ht="28" x14ac:dyDescent="0.2">
      <c r="A135" s="75">
        <f t="shared" si="2"/>
        <v>1</v>
      </c>
      <c r="B135" s="76" t="s">
        <v>32</v>
      </c>
      <c r="C135" s="77">
        <v>45536</v>
      </c>
      <c r="D135" s="77" t="s">
        <v>414</v>
      </c>
      <c r="E135" s="84" t="s">
        <v>415</v>
      </c>
      <c r="F135" s="79" t="s">
        <v>145</v>
      </c>
      <c r="G135" s="79"/>
      <c r="H135" s="79" t="s">
        <v>225</v>
      </c>
      <c r="I135" s="79" t="s">
        <v>148</v>
      </c>
      <c r="J135" s="69" t="s">
        <v>28</v>
      </c>
      <c r="Q135" s="99"/>
      <c r="R135" s="99"/>
    </row>
    <row r="136" spans="1:18" ht="28" x14ac:dyDescent="0.2">
      <c r="A136" s="75">
        <f t="shared" si="2"/>
        <v>1</v>
      </c>
      <c r="B136" s="76" t="s">
        <v>40</v>
      </c>
      <c r="C136" s="77">
        <v>45078</v>
      </c>
      <c r="D136" s="77" t="s">
        <v>416</v>
      </c>
      <c r="E136" s="78" t="s">
        <v>132</v>
      </c>
      <c r="F136" s="79" t="s">
        <v>145</v>
      </c>
      <c r="G136" s="79"/>
      <c r="H136" s="79" t="s">
        <v>4</v>
      </c>
      <c r="I136" s="79" t="s">
        <v>417</v>
      </c>
      <c r="J136" s="69" t="s">
        <v>28</v>
      </c>
      <c r="K136" s="69" t="s">
        <v>212</v>
      </c>
      <c r="L136" s="69" t="s">
        <v>212</v>
      </c>
      <c r="M136" s="69" t="s">
        <v>212</v>
      </c>
      <c r="N136" s="69" t="s">
        <v>212</v>
      </c>
      <c r="O136" s="69" t="str">
        <f>IF(OR(ISERROR(VLOOKUP($E136,'Summary-Fundraise'!$A$3:$L$76,O$2,FALSE)),0),"",VLOOKUP($E136,'Summary-Fundraise'!$A$3:$L$76,O$2,FALSE))</f>
        <v/>
      </c>
      <c r="Q136" s="80"/>
      <c r="R136" s="80" t="s">
        <v>212</v>
      </c>
    </row>
    <row r="137" spans="1:18" ht="28" x14ac:dyDescent="0.2">
      <c r="A137" s="75">
        <f t="shared" si="2"/>
        <v>1</v>
      </c>
      <c r="B137" s="76" t="s">
        <v>176</v>
      </c>
      <c r="C137" s="77">
        <v>45078</v>
      </c>
      <c r="D137" s="77" t="s">
        <v>418</v>
      </c>
      <c r="E137" s="78" t="s">
        <v>419</v>
      </c>
      <c r="F137" s="79" t="s">
        <v>145</v>
      </c>
      <c r="G137" s="79"/>
      <c r="H137" s="79" t="s">
        <v>12</v>
      </c>
      <c r="I137" s="79" t="s">
        <v>417</v>
      </c>
      <c r="J137" s="69" t="s">
        <v>28</v>
      </c>
      <c r="Q137" s="80"/>
      <c r="R137" s="80" t="s">
        <v>420</v>
      </c>
    </row>
    <row r="138" spans="1:18" ht="28" x14ac:dyDescent="0.2">
      <c r="A138" s="75">
        <f t="shared" si="2"/>
        <v>1</v>
      </c>
      <c r="B138" s="76" t="s">
        <v>176</v>
      </c>
      <c r="C138" s="77">
        <v>45536</v>
      </c>
      <c r="D138" s="77" t="s">
        <v>421</v>
      </c>
      <c r="E138" s="84" t="s">
        <v>422</v>
      </c>
      <c r="F138" s="79" t="s">
        <v>145</v>
      </c>
      <c r="G138" s="79"/>
      <c r="H138" s="79" t="s">
        <v>6</v>
      </c>
      <c r="I138" s="79" t="s">
        <v>148</v>
      </c>
      <c r="J138" s="69" t="s">
        <v>28</v>
      </c>
      <c r="Q138" s="99"/>
      <c r="R138" s="99" t="s">
        <v>423</v>
      </c>
    </row>
    <row r="139" spans="1:18" ht="30" x14ac:dyDescent="0.2">
      <c r="A139" s="75">
        <f t="shared" si="2"/>
        <v>1</v>
      </c>
      <c r="B139" s="76" t="s">
        <v>32</v>
      </c>
      <c r="C139" s="77">
        <v>45536</v>
      </c>
      <c r="D139" s="77" t="s">
        <v>424</v>
      </c>
      <c r="E139" s="84" t="s">
        <v>425</v>
      </c>
      <c r="F139" s="79" t="s">
        <v>145</v>
      </c>
      <c r="G139" s="79"/>
      <c r="H139" s="79" t="s">
        <v>225</v>
      </c>
      <c r="I139" s="79" t="s">
        <v>148</v>
      </c>
      <c r="J139" s="69" t="s">
        <v>28</v>
      </c>
      <c r="Q139" s="99"/>
      <c r="R139" s="99"/>
    </row>
    <row r="140" spans="1:18" ht="28" x14ac:dyDescent="0.2">
      <c r="A140" s="75">
        <f t="shared" si="2"/>
        <v>1</v>
      </c>
      <c r="B140" s="76" t="s">
        <v>176</v>
      </c>
      <c r="C140" s="77">
        <v>45536</v>
      </c>
      <c r="D140" s="77" t="s">
        <v>426</v>
      </c>
      <c r="E140" s="84" t="s">
        <v>427</v>
      </c>
      <c r="F140" s="79" t="s">
        <v>145</v>
      </c>
      <c r="G140" s="79"/>
      <c r="H140" s="79" t="s">
        <v>12</v>
      </c>
      <c r="I140" s="79" t="s">
        <v>148</v>
      </c>
      <c r="J140" s="69" t="s">
        <v>28</v>
      </c>
      <c r="Q140" s="99"/>
      <c r="R140" s="99"/>
    </row>
    <row r="141" spans="1:18" ht="28" x14ac:dyDescent="0.2">
      <c r="A141" s="75">
        <f t="shared" si="2"/>
        <v>1</v>
      </c>
      <c r="B141" s="76" t="s">
        <v>40</v>
      </c>
      <c r="C141" s="77">
        <v>45047</v>
      </c>
      <c r="D141" s="77" t="s">
        <v>428</v>
      </c>
      <c r="E141" s="78" t="s">
        <v>135</v>
      </c>
      <c r="F141" s="79" t="s">
        <v>149</v>
      </c>
      <c r="G141" s="79">
        <v>5</v>
      </c>
      <c r="H141" s="79" t="s">
        <v>13</v>
      </c>
      <c r="I141" s="79" t="s">
        <v>146</v>
      </c>
      <c r="J141" s="69" t="s">
        <v>28</v>
      </c>
      <c r="K141" s="69" t="s">
        <v>212</v>
      </c>
      <c r="L141" s="69" t="s">
        <v>212</v>
      </c>
      <c r="M141" s="69" t="s">
        <v>212</v>
      </c>
      <c r="N141" s="69" t="s">
        <v>212</v>
      </c>
      <c r="O141" s="69" t="str">
        <f>IF(OR(ISERROR(VLOOKUP($E141,'Summary-Fundraise'!$A$3:$L$76,O$2,FALSE)),0),"",VLOOKUP($E141,'Summary-Fundraise'!$A$3:$L$76,O$2,FALSE))</f>
        <v/>
      </c>
      <c r="Q141" s="80"/>
      <c r="R141" s="80" t="s">
        <v>212</v>
      </c>
    </row>
    <row r="142" spans="1:18" ht="30" x14ac:dyDescent="0.2">
      <c r="A142" s="75">
        <f t="shared" si="2"/>
        <v>1</v>
      </c>
      <c r="B142" s="76" t="s">
        <v>32</v>
      </c>
      <c r="C142" s="77">
        <v>45078</v>
      </c>
      <c r="D142" s="77" t="s">
        <v>429</v>
      </c>
      <c r="E142" s="78" t="s">
        <v>136</v>
      </c>
      <c r="F142" s="79" t="s">
        <v>145</v>
      </c>
      <c r="G142" s="79"/>
      <c r="H142" s="79" t="s">
        <v>12</v>
      </c>
      <c r="I142" s="79" t="s">
        <v>171</v>
      </c>
      <c r="J142" s="69" t="s">
        <v>28</v>
      </c>
      <c r="K142" s="69" t="s">
        <v>212</v>
      </c>
      <c r="L142" s="69" t="s">
        <v>212</v>
      </c>
      <c r="M142" s="69" t="s">
        <v>212</v>
      </c>
      <c r="N142" s="69" t="s">
        <v>212</v>
      </c>
      <c r="O142" s="69" t="str">
        <f>IF(OR(ISERROR(VLOOKUP($E142,'Summary-Fundraise'!$A$3:$L$76,O$2,FALSE)),0),"",VLOOKUP($E142,'Summary-Fundraise'!$A$3:$L$76,O$2,FALSE))</f>
        <v/>
      </c>
      <c r="Q142" s="80"/>
      <c r="R142" s="80" t="s">
        <v>212</v>
      </c>
    </row>
    <row r="143" spans="1:18" ht="28" x14ac:dyDescent="0.2">
      <c r="A143" s="75">
        <f t="shared" si="2"/>
        <v>1</v>
      </c>
      <c r="B143" s="76" t="s">
        <v>32</v>
      </c>
      <c r="C143" s="77">
        <v>45536</v>
      </c>
      <c r="D143" s="77" t="s">
        <v>430</v>
      </c>
      <c r="E143" s="84" t="s">
        <v>431</v>
      </c>
      <c r="F143" s="79" t="s">
        <v>145</v>
      </c>
      <c r="G143" s="79"/>
      <c r="H143" s="79" t="s">
        <v>12</v>
      </c>
      <c r="I143" s="79" t="s">
        <v>148</v>
      </c>
      <c r="J143" s="69" t="s">
        <v>28</v>
      </c>
      <c r="Q143" s="99"/>
      <c r="R143" s="99"/>
    </row>
    <row r="144" spans="1:18" ht="15" x14ac:dyDescent="0.2">
      <c r="A144" s="75">
        <f t="shared" si="2"/>
        <v>1</v>
      </c>
      <c r="B144" s="76" t="s">
        <v>176</v>
      </c>
      <c r="C144" s="77">
        <v>44999</v>
      </c>
      <c r="D144" s="77" t="s">
        <v>432</v>
      </c>
      <c r="E144" s="78" t="s">
        <v>56</v>
      </c>
      <c r="F144" s="79" t="s">
        <v>149</v>
      </c>
      <c r="G144" s="79">
        <v>25</v>
      </c>
      <c r="H144" s="79" t="s">
        <v>2</v>
      </c>
      <c r="I144" s="79" t="s">
        <v>148</v>
      </c>
      <c r="J144" s="69" t="s">
        <v>28</v>
      </c>
      <c r="Q144" s="80"/>
      <c r="R144" s="80" t="s">
        <v>155</v>
      </c>
    </row>
    <row r="145" spans="1:18" ht="28" x14ac:dyDescent="0.2">
      <c r="A145" s="75">
        <f t="shared" si="2"/>
        <v>1</v>
      </c>
      <c r="B145" s="76" t="s">
        <v>32</v>
      </c>
      <c r="C145" s="77">
        <v>45536</v>
      </c>
      <c r="D145" s="77" t="s">
        <v>433</v>
      </c>
      <c r="E145" s="84" t="s">
        <v>434</v>
      </c>
      <c r="F145" s="79" t="s">
        <v>145</v>
      </c>
      <c r="G145" s="79"/>
      <c r="H145" s="79" t="s">
        <v>225</v>
      </c>
      <c r="I145" s="79" t="s">
        <v>148</v>
      </c>
      <c r="J145" s="69" t="s">
        <v>28</v>
      </c>
      <c r="Q145" s="99"/>
      <c r="R145" s="99"/>
    </row>
    <row r="146" spans="1:18" ht="28" x14ac:dyDescent="0.2">
      <c r="A146" s="75">
        <f t="shared" si="2"/>
        <v>0</v>
      </c>
      <c r="B146" s="76" t="s">
        <v>32</v>
      </c>
      <c r="C146" s="77">
        <v>45536</v>
      </c>
      <c r="D146" s="77" t="s">
        <v>435</v>
      </c>
      <c r="E146" s="78" t="s">
        <v>436</v>
      </c>
      <c r="F146" s="79" t="s">
        <v>145</v>
      </c>
      <c r="G146" s="79"/>
      <c r="H146" s="79" t="s">
        <v>12</v>
      </c>
      <c r="I146" s="79" t="s">
        <v>148</v>
      </c>
      <c r="J146" s="69" t="s">
        <v>31</v>
      </c>
      <c r="Q146" s="80"/>
      <c r="R146" s="80"/>
    </row>
    <row r="147" spans="1:18" ht="28" x14ac:dyDescent="0.2">
      <c r="A147" s="75">
        <f t="shared" si="2"/>
        <v>0</v>
      </c>
      <c r="B147" s="76" t="s">
        <v>32</v>
      </c>
      <c r="C147" s="77">
        <v>45536</v>
      </c>
      <c r="D147" s="77" t="s">
        <v>437</v>
      </c>
      <c r="E147" s="78" t="s">
        <v>438</v>
      </c>
      <c r="F147" s="79" t="s">
        <v>145</v>
      </c>
      <c r="G147" s="79"/>
      <c r="H147" s="79" t="s">
        <v>12</v>
      </c>
      <c r="I147" s="79" t="s">
        <v>148</v>
      </c>
      <c r="J147" s="69" t="s">
        <v>31</v>
      </c>
      <c r="Q147" s="80"/>
      <c r="R147" s="80"/>
    </row>
    <row r="148" spans="1:18" ht="28" x14ac:dyDescent="0.2">
      <c r="A148" s="75">
        <f t="shared" si="2"/>
        <v>0</v>
      </c>
      <c r="B148" s="76" t="s">
        <v>32</v>
      </c>
      <c r="C148" s="77">
        <v>45536</v>
      </c>
      <c r="D148" s="77" t="s">
        <v>439</v>
      </c>
      <c r="E148" s="78" t="s">
        <v>440</v>
      </c>
      <c r="F148" s="79" t="s">
        <v>145</v>
      </c>
      <c r="G148" s="79"/>
      <c r="H148" s="79" t="s">
        <v>12</v>
      </c>
      <c r="I148" s="79" t="s">
        <v>148</v>
      </c>
      <c r="J148" s="69" t="s">
        <v>31</v>
      </c>
      <c r="Q148" s="80"/>
      <c r="R148" s="80"/>
    </row>
    <row r="149" spans="1:18" ht="28" x14ac:dyDescent="0.2">
      <c r="A149" s="75">
        <f t="shared" si="2"/>
        <v>0</v>
      </c>
      <c r="B149" s="76" t="s">
        <v>32</v>
      </c>
      <c r="C149" s="77">
        <v>45536</v>
      </c>
      <c r="D149" s="77" t="s">
        <v>441</v>
      </c>
      <c r="E149" s="78" t="s">
        <v>442</v>
      </c>
      <c r="F149" s="79" t="s">
        <v>145</v>
      </c>
      <c r="G149" s="79"/>
      <c r="H149" s="79" t="s">
        <v>12</v>
      </c>
      <c r="I149" s="79" t="s">
        <v>148</v>
      </c>
      <c r="J149" s="69" t="s">
        <v>31</v>
      </c>
      <c r="Q149" s="80"/>
      <c r="R149" s="80"/>
    </row>
    <row r="150" spans="1:18" ht="28" x14ac:dyDescent="0.2">
      <c r="A150" s="75">
        <f t="shared" si="2"/>
        <v>0</v>
      </c>
      <c r="B150" s="76" t="s">
        <v>32</v>
      </c>
      <c r="C150" s="77">
        <v>45536</v>
      </c>
      <c r="D150" s="77" t="s">
        <v>443</v>
      </c>
      <c r="E150" s="78" t="s">
        <v>444</v>
      </c>
      <c r="F150" s="79" t="s">
        <v>145</v>
      </c>
      <c r="G150" s="79"/>
      <c r="H150" s="79" t="s">
        <v>12</v>
      </c>
      <c r="I150" s="79" t="s">
        <v>148</v>
      </c>
      <c r="J150" s="69" t="s">
        <v>31</v>
      </c>
      <c r="Q150" s="80"/>
      <c r="R150" s="80"/>
    </row>
    <row r="151" spans="1:18" ht="28" x14ac:dyDescent="0.2">
      <c r="A151" s="75">
        <f t="shared" si="2"/>
        <v>0</v>
      </c>
      <c r="B151" s="76" t="s">
        <v>32</v>
      </c>
      <c r="C151" s="77">
        <v>45536</v>
      </c>
      <c r="D151" s="77" t="s">
        <v>445</v>
      </c>
      <c r="E151" s="78" t="s">
        <v>446</v>
      </c>
      <c r="F151" s="79" t="s">
        <v>145</v>
      </c>
      <c r="G151" s="79"/>
      <c r="H151" s="79" t="s">
        <v>12</v>
      </c>
      <c r="I151" s="79" t="s">
        <v>148</v>
      </c>
      <c r="J151" s="69" t="s">
        <v>31</v>
      </c>
      <c r="Q151" s="80"/>
      <c r="R151" s="80"/>
    </row>
    <row r="152" spans="1:18" ht="28" x14ac:dyDescent="0.2">
      <c r="A152" s="75">
        <f t="shared" si="2"/>
        <v>0</v>
      </c>
      <c r="B152" s="76" t="s">
        <v>32</v>
      </c>
      <c r="C152" s="77">
        <v>45536</v>
      </c>
      <c r="D152" s="77" t="s">
        <v>447</v>
      </c>
      <c r="E152" s="78" t="s">
        <v>448</v>
      </c>
      <c r="F152" s="79" t="s">
        <v>145</v>
      </c>
      <c r="G152" s="79"/>
      <c r="H152" s="79" t="s">
        <v>12</v>
      </c>
      <c r="I152" s="79" t="s">
        <v>148</v>
      </c>
      <c r="J152" s="69" t="s">
        <v>31</v>
      </c>
      <c r="Q152" s="80"/>
      <c r="R152" s="80"/>
    </row>
    <row r="153" spans="1:18" ht="28" x14ac:dyDescent="0.2">
      <c r="A153" s="75">
        <f t="shared" si="2"/>
        <v>0</v>
      </c>
      <c r="B153" s="76" t="s">
        <v>32</v>
      </c>
      <c r="C153" s="77">
        <v>45536</v>
      </c>
      <c r="D153" s="77" t="s">
        <v>449</v>
      </c>
      <c r="E153" s="78" t="s">
        <v>450</v>
      </c>
      <c r="F153" s="79" t="s">
        <v>145</v>
      </c>
      <c r="G153" s="79"/>
      <c r="H153" s="79" t="s">
        <v>12</v>
      </c>
      <c r="I153" s="79" t="s">
        <v>148</v>
      </c>
      <c r="J153" s="69" t="s">
        <v>31</v>
      </c>
      <c r="Q153" s="80"/>
      <c r="R153" s="80"/>
    </row>
    <row r="154" spans="1:18" ht="28" x14ac:dyDescent="0.2">
      <c r="A154" s="75">
        <f t="shared" si="2"/>
        <v>0</v>
      </c>
      <c r="B154" s="76" t="s">
        <v>32</v>
      </c>
      <c r="C154" s="77">
        <v>45536</v>
      </c>
      <c r="D154" s="77" t="s">
        <v>451</v>
      </c>
      <c r="E154" s="78" t="s">
        <v>452</v>
      </c>
      <c r="F154" s="79" t="s">
        <v>145</v>
      </c>
      <c r="G154" s="79"/>
      <c r="H154" s="79" t="s">
        <v>12</v>
      </c>
      <c r="I154" s="79" t="s">
        <v>148</v>
      </c>
      <c r="J154" s="69" t="s">
        <v>31</v>
      </c>
      <c r="Q154" s="80"/>
      <c r="R154" s="80"/>
    </row>
    <row r="155" spans="1:18" ht="28" x14ac:dyDescent="0.2">
      <c r="A155" s="75">
        <f t="shared" si="2"/>
        <v>0</v>
      </c>
      <c r="B155" s="76" t="s">
        <v>32</v>
      </c>
      <c r="C155" s="77">
        <v>45536</v>
      </c>
      <c r="D155" s="77" t="s">
        <v>453</v>
      </c>
      <c r="E155" s="78" t="s">
        <v>454</v>
      </c>
      <c r="F155" s="79" t="s">
        <v>145</v>
      </c>
      <c r="G155" s="79"/>
      <c r="H155" s="79" t="s">
        <v>12</v>
      </c>
      <c r="I155" s="79" t="s">
        <v>148</v>
      </c>
      <c r="J155" s="69" t="s">
        <v>31</v>
      </c>
      <c r="Q155" s="80"/>
      <c r="R155" s="80"/>
    </row>
    <row r="156" spans="1:18" ht="30" x14ac:dyDescent="0.2">
      <c r="A156" s="75">
        <f t="shared" si="2"/>
        <v>0</v>
      </c>
      <c r="B156" s="76" t="s">
        <v>32</v>
      </c>
      <c r="C156" s="77">
        <v>45536</v>
      </c>
      <c r="D156" s="77" t="s">
        <v>455</v>
      </c>
      <c r="E156" s="78" t="s">
        <v>456</v>
      </c>
      <c r="F156" s="79" t="s">
        <v>145</v>
      </c>
      <c r="G156" s="79"/>
      <c r="H156" s="79" t="s">
        <v>12</v>
      </c>
      <c r="I156" s="79" t="s">
        <v>148</v>
      </c>
      <c r="J156" s="69" t="s">
        <v>31</v>
      </c>
      <c r="Q156" s="80"/>
      <c r="R156" s="80"/>
    </row>
    <row r="157" spans="1:18" ht="28" x14ac:dyDescent="0.2">
      <c r="A157" s="75">
        <f t="shared" si="2"/>
        <v>0</v>
      </c>
      <c r="B157" s="76" t="s">
        <v>32</v>
      </c>
      <c r="C157" s="77">
        <v>45536</v>
      </c>
      <c r="D157" s="77" t="s">
        <v>457</v>
      </c>
      <c r="E157" s="78" t="s">
        <v>458</v>
      </c>
      <c r="F157" s="79" t="s">
        <v>145</v>
      </c>
      <c r="G157" s="79"/>
      <c r="H157" s="79" t="s">
        <v>12</v>
      </c>
      <c r="I157" s="79" t="s">
        <v>148</v>
      </c>
      <c r="J157" s="69" t="s">
        <v>31</v>
      </c>
      <c r="Q157" s="102"/>
      <c r="R157" s="102"/>
    </row>
    <row r="158" spans="1:18" ht="28" x14ac:dyDescent="0.2">
      <c r="A158" s="75">
        <f t="shared" si="2"/>
        <v>0</v>
      </c>
      <c r="B158" s="76" t="s">
        <v>32</v>
      </c>
      <c r="C158" s="77">
        <v>45536</v>
      </c>
      <c r="D158" s="77" t="s">
        <v>459</v>
      </c>
      <c r="E158" s="84" t="s">
        <v>460</v>
      </c>
      <c r="F158" s="79" t="s">
        <v>145</v>
      </c>
      <c r="G158" s="79"/>
      <c r="H158" s="79" t="s">
        <v>12</v>
      </c>
      <c r="I158" s="79" t="s">
        <v>148</v>
      </c>
      <c r="J158" s="69" t="s">
        <v>31</v>
      </c>
      <c r="Q158" s="102"/>
      <c r="R158" s="102"/>
    </row>
    <row r="159" spans="1:18" ht="30" x14ac:dyDescent="0.2">
      <c r="A159" s="75">
        <f t="shared" si="2"/>
        <v>0</v>
      </c>
      <c r="B159" s="76" t="s">
        <v>32</v>
      </c>
      <c r="C159" s="77">
        <v>45078</v>
      </c>
      <c r="D159" s="77" t="s">
        <v>461</v>
      </c>
      <c r="E159" s="78" t="s">
        <v>95</v>
      </c>
      <c r="F159" s="79" t="s">
        <v>145</v>
      </c>
      <c r="G159" s="79"/>
      <c r="H159" s="79" t="s">
        <v>188</v>
      </c>
      <c r="I159" s="79" t="s">
        <v>171</v>
      </c>
      <c r="J159" s="69" t="s">
        <v>31</v>
      </c>
      <c r="K159" s="69" t="s">
        <v>212</v>
      </c>
      <c r="M159" s="69" t="s">
        <v>212</v>
      </c>
      <c r="N159" s="69" t="s">
        <v>212</v>
      </c>
      <c r="O159" s="69" t="str">
        <f>IF(OR(ISERROR(VLOOKUP($E159,'Summary-Fundraise'!$A$3:$L$76,O$2,FALSE)),0),"",VLOOKUP($E159,'Summary-Fundraise'!$A$3:$L$76,O$2,FALSE))</f>
        <v/>
      </c>
      <c r="Q159" s="102"/>
      <c r="R159" s="102" t="s">
        <v>212</v>
      </c>
    </row>
    <row r="160" spans="1:18" ht="28" x14ac:dyDescent="0.2">
      <c r="A160" s="75">
        <f t="shared" si="2"/>
        <v>0</v>
      </c>
      <c r="B160" s="76" t="s">
        <v>32</v>
      </c>
      <c r="C160" s="77">
        <v>45536</v>
      </c>
      <c r="D160" s="77" t="s">
        <v>462</v>
      </c>
      <c r="E160" s="84" t="s">
        <v>463</v>
      </c>
      <c r="F160" s="79" t="s">
        <v>145</v>
      </c>
      <c r="G160" s="79"/>
      <c r="H160" s="79" t="s">
        <v>12</v>
      </c>
      <c r="I160" s="79" t="s">
        <v>148</v>
      </c>
      <c r="J160" s="69" t="s">
        <v>31</v>
      </c>
      <c r="Q160" s="102"/>
      <c r="R160" s="102"/>
    </row>
    <row r="161" spans="1:18" ht="28" x14ac:dyDescent="0.2">
      <c r="A161" s="75">
        <f t="shared" si="2"/>
        <v>0</v>
      </c>
      <c r="B161" s="76" t="s">
        <v>32</v>
      </c>
      <c r="C161" s="77">
        <v>45536</v>
      </c>
      <c r="D161" s="77" t="s">
        <v>464</v>
      </c>
      <c r="E161" s="84" t="s">
        <v>465</v>
      </c>
      <c r="F161" s="79" t="s">
        <v>145</v>
      </c>
      <c r="G161" s="79"/>
      <c r="H161" s="79" t="s">
        <v>12</v>
      </c>
      <c r="I161" s="79" t="s">
        <v>148</v>
      </c>
      <c r="J161" s="69" t="s">
        <v>31</v>
      </c>
      <c r="Q161" s="102"/>
      <c r="R161" s="102"/>
    </row>
    <row r="162" spans="1:18" ht="28" x14ac:dyDescent="0.2">
      <c r="A162" s="75">
        <f t="shared" si="2"/>
        <v>0</v>
      </c>
      <c r="B162" s="76" t="s">
        <v>32</v>
      </c>
      <c r="C162" s="77">
        <v>45536</v>
      </c>
      <c r="D162" s="77" t="s">
        <v>466</v>
      </c>
      <c r="E162" s="84" t="s">
        <v>467</v>
      </c>
      <c r="F162" s="79" t="s">
        <v>145</v>
      </c>
      <c r="G162" s="79"/>
      <c r="H162" s="79" t="s">
        <v>12</v>
      </c>
      <c r="I162" s="79" t="s">
        <v>148</v>
      </c>
      <c r="J162" s="69" t="s">
        <v>31</v>
      </c>
      <c r="Q162" s="102"/>
      <c r="R162" s="102"/>
    </row>
    <row r="163" spans="1:18" ht="28" x14ac:dyDescent="0.2">
      <c r="A163" s="75">
        <f t="shared" si="2"/>
        <v>0</v>
      </c>
      <c r="B163" s="76" t="s">
        <v>32</v>
      </c>
      <c r="C163" s="77">
        <v>45536</v>
      </c>
      <c r="D163" s="77" t="s">
        <v>468</v>
      </c>
      <c r="E163" s="84" t="s">
        <v>469</v>
      </c>
      <c r="F163" s="79" t="s">
        <v>145</v>
      </c>
      <c r="G163" s="79"/>
      <c r="H163" s="79" t="s">
        <v>12</v>
      </c>
      <c r="I163" s="79" t="s">
        <v>148</v>
      </c>
      <c r="J163" s="69" t="s">
        <v>31</v>
      </c>
      <c r="Q163" s="102"/>
      <c r="R163" s="102"/>
    </row>
    <row r="164" spans="1:18" ht="30" x14ac:dyDescent="0.2">
      <c r="A164" s="75">
        <f t="shared" si="2"/>
        <v>0</v>
      </c>
      <c r="B164" s="76" t="s">
        <v>32</v>
      </c>
      <c r="C164" s="77">
        <v>45536</v>
      </c>
      <c r="D164" s="77" t="s">
        <v>470</v>
      </c>
      <c r="E164" s="84" t="s">
        <v>471</v>
      </c>
      <c r="F164" s="79" t="s">
        <v>145</v>
      </c>
      <c r="G164" s="79"/>
      <c r="H164" s="79" t="s">
        <v>12</v>
      </c>
      <c r="I164" s="79" t="s">
        <v>148</v>
      </c>
      <c r="J164" s="69" t="s">
        <v>31</v>
      </c>
      <c r="Q164" s="102"/>
      <c r="R164" s="102"/>
    </row>
    <row r="165" spans="1:18" ht="28" x14ac:dyDescent="0.2">
      <c r="A165" s="75">
        <f t="shared" si="2"/>
        <v>0</v>
      </c>
      <c r="B165" s="76" t="s">
        <v>32</v>
      </c>
      <c r="C165" s="77">
        <v>45536</v>
      </c>
      <c r="D165" s="77" t="s">
        <v>472</v>
      </c>
      <c r="E165" s="84" t="s">
        <v>473</v>
      </c>
      <c r="F165" s="79" t="s">
        <v>145</v>
      </c>
      <c r="G165" s="79"/>
      <c r="H165" s="79" t="s">
        <v>12</v>
      </c>
      <c r="I165" s="79" t="s">
        <v>148</v>
      </c>
      <c r="J165" s="69" t="s">
        <v>31</v>
      </c>
      <c r="Q165" s="102"/>
      <c r="R165" s="102"/>
    </row>
    <row r="166" spans="1:18" ht="28" x14ac:dyDescent="0.2">
      <c r="A166" s="75">
        <f t="shared" si="2"/>
        <v>0</v>
      </c>
      <c r="B166" s="76" t="s">
        <v>32</v>
      </c>
      <c r="C166" s="77">
        <v>45536</v>
      </c>
      <c r="D166" s="77" t="s">
        <v>474</v>
      </c>
      <c r="E166" s="84" t="s">
        <v>475</v>
      </c>
      <c r="F166" s="79" t="s">
        <v>145</v>
      </c>
      <c r="G166" s="79"/>
      <c r="H166" s="79" t="s">
        <v>12</v>
      </c>
      <c r="I166" s="79" t="s">
        <v>148</v>
      </c>
      <c r="J166" s="69" t="s">
        <v>31</v>
      </c>
      <c r="Q166" s="102"/>
      <c r="R166" s="102"/>
    </row>
    <row r="167" spans="1:18" ht="28" x14ac:dyDescent="0.2">
      <c r="A167" s="75">
        <f t="shared" si="2"/>
        <v>0</v>
      </c>
      <c r="B167" s="76" t="s">
        <v>32</v>
      </c>
      <c r="C167" s="77">
        <v>45536</v>
      </c>
      <c r="D167" s="77" t="s">
        <v>476</v>
      </c>
      <c r="E167" s="84" t="s">
        <v>477</v>
      </c>
      <c r="F167" s="79" t="s">
        <v>145</v>
      </c>
      <c r="G167" s="79"/>
      <c r="H167" s="79" t="s">
        <v>12</v>
      </c>
      <c r="I167" s="79" t="s">
        <v>148</v>
      </c>
      <c r="J167" s="69" t="s">
        <v>31</v>
      </c>
      <c r="Q167" s="102"/>
      <c r="R167" s="102"/>
    </row>
    <row r="168" spans="1:18" ht="30" x14ac:dyDescent="0.2">
      <c r="A168" s="75">
        <f t="shared" si="2"/>
        <v>0</v>
      </c>
      <c r="B168" s="76" t="s">
        <v>32</v>
      </c>
      <c r="C168" s="77">
        <v>45536</v>
      </c>
      <c r="D168" s="77" t="s">
        <v>478</v>
      </c>
      <c r="E168" s="84" t="s">
        <v>479</v>
      </c>
      <c r="F168" s="79" t="s">
        <v>145</v>
      </c>
      <c r="G168" s="79"/>
      <c r="H168" s="79" t="s">
        <v>12</v>
      </c>
      <c r="I168" s="79" t="s">
        <v>148</v>
      </c>
      <c r="J168" s="69" t="s">
        <v>31</v>
      </c>
      <c r="Q168" s="102"/>
      <c r="R168" s="102"/>
    </row>
    <row r="169" spans="1:18" ht="30" x14ac:dyDescent="0.2">
      <c r="A169" s="75">
        <f t="shared" si="2"/>
        <v>0</v>
      </c>
      <c r="B169" s="76" t="s">
        <v>32</v>
      </c>
      <c r="C169" s="77">
        <v>45536</v>
      </c>
      <c r="D169" s="77" t="s">
        <v>480</v>
      </c>
      <c r="E169" s="84" t="s">
        <v>481</v>
      </c>
      <c r="F169" s="79" t="s">
        <v>145</v>
      </c>
      <c r="G169" s="79"/>
      <c r="H169" s="79" t="s">
        <v>12</v>
      </c>
      <c r="I169" s="79" t="s">
        <v>148</v>
      </c>
      <c r="J169" s="69" t="s">
        <v>31</v>
      </c>
      <c r="Q169" s="102"/>
      <c r="R169" s="102"/>
    </row>
    <row r="170" spans="1:18" ht="28" x14ac:dyDescent="0.2">
      <c r="A170" s="75">
        <f t="shared" si="2"/>
        <v>0</v>
      </c>
      <c r="B170" s="76" t="s">
        <v>32</v>
      </c>
      <c r="C170" s="77">
        <v>45536</v>
      </c>
      <c r="D170" s="77" t="s">
        <v>482</v>
      </c>
      <c r="E170" s="84" t="s">
        <v>483</v>
      </c>
      <c r="F170" s="79" t="s">
        <v>145</v>
      </c>
      <c r="G170" s="79"/>
      <c r="H170" s="79" t="s">
        <v>12</v>
      </c>
      <c r="I170" s="79" t="s">
        <v>148</v>
      </c>
      <c r="J170" s="69" t="s">
        <v>31</v>
      </c>
      <c r="Q170" s="102"/>
      <c r="R170" s="102"/>
    </row>
    <row r="171" spans="1:18" ht="28" x14ac:dyDescent="0.2">
      <c r="A171" s="75">
        <f t="shared" si="2"/>
        <v>0</v>
      </c>
      <c r="B171" s="76" t="s">
        <v>32</v>
      </c>
      <c r="C171" s="77">
        <v>45536</v>
      </c>
      <c r="D171" s="77" t="s">
        <v>484</v>
      </c>
      <c r="E171" s="84" t="s">
        <v>485</v>
      </c>
      <c r="F171" s="79" t="s">
        <v>145</v>
      </c>
      <c r="G171" s="79"/>
      <c r="H171" s="79" t="s">
        <v>12</v>
      </c>
      <c r="I171" s="79" t="s">
        <v>148</v>
      </c>
      <c r="J171" s="69" t="s">
        <v>31</v>
      </c>
      <c r="Q171" s="102"/>
      <c r="R171" s="102"/>
    </row>
    <row r="172" spans="1:18" ht="28" x14ac:dyDescent="0.2">
      <c r="A172" s="75">
        <f t="shared" si="2"/>
        <v>0</v>
      </c>
      <c r="B172" s="76" t="s">
        <v>32</v>
      </c>
      <c r="C172" s="77">
        <v>45536</v>
      </c>
      <c r="D172" s="77" t="s">
        <v>486</v>
      </c>
      <c r="E172" s="84" t="s">
        <v>487</v>
      </c>
      <c r="F172" s="79" t="s">
        <v>145</v>
      </c>
      <c r="G172" s="79"/>
      <c r="H172" s="79" t="s">
        <v>12</v>
      </c>
      <c r="I172" s="79" t="s">
        <v>148</v>
      </c>
      <c r="J172" s="69" t="s">
        <v>31</v>
      </c>
      <c r="Q172" s="102"/>
      <c r="R172" s="102"/>
    </row>
    <row r="173" spans="1:18" ht="28" x14ac:dyDescent="0.2">
      <c r="A173" s="75">
        <f t="shared" si="2"/>
        <v>0</v>
      </c>
      <c r="B173" s="76" t="s">
        <v>32</v>
      </c>
      <c r="C173" s="77">
        <v>45536</v>
      </c>
      <c r="D173" s="77" t="s">
        <v>488</v>
      </c>
      <c r="E173" s="84" t="s">
        <v>489</v>
      </c>
      <c r="F173" s="79" t="s">
        <v>145</v>
      </c>
      <c r="G173" s="79"/>
      <c r="H173" s="79" t="s">
        <v>12</v>
      </c>
      <c r="I173" s="79" t="s">
        <v>148</v>
      </c>
      <c r="J173" s="69" t="s">
        <v>31</v>
      </c>
      <c r="Q173" s="102"/>
      <c r="R173" s="102"/>
    </row>
    <row r="174" spans="1:18" ht="28" x14ac:dyDescent="0.2">
      <c r="A174" s="75">
        <f t="shared" si="2"/>
        <v>0</v>
      </c>
      <c r="B174" s="76" t="s">
        <v>32</v>
      </c>
      <c r="C174" s="77">
        <v>45536</v>
      </c>
      <c r="D174" s="77" t="s">
        <v>490</v>
      </c>
      <c r="E174" s="84" t="s">
        <v>491</v>
      </c>
      <c r="F174" s="79" t="s">
        <v>145</v>
      </c>
      <c r="G174" s="79"/>
      <c r="H174" s="79" t="s">
        <v>12</v>
      </c>
      <c r="I174" s="79" t="s">
        <v>148</v>
      </c>
      <c r="J174" s="69" t="s">
        <v>31</v>
      </c>
      <c r="Q174" s="102"/>
      <c r="R174" s="102"/>
    </row>
    <row r="175" spans="1:18" ht="30" x14ac:dyDescent="0.2">
      <c r="A175" s="75">
        <f t="shared" si="2"/>
        <v>0</v>
      </c>
      <c r="B175" s="76" t="s">
        <v>32</v>
      </c>
      <c r="C175" s="77">
        <v>45536</v>
      </c>
      <c r="D175" s="77" t="s">
        <v>492</v>
      </c>
      <c r="E175" s="84" t="s">
        <v>493</v>
      </c>
      <c r="F175" s="79" t="s">
        <v>145</v>
      </c>
      <c r="G175" s="79"/>
      <c r="H175" s="79" t="s">
        <v>12</v>
      </c>
      <c r="I175" s="79" t="s">
        <v>148</v>
      </c>
      <c r="J175" s="69" t="s">
        <v>31</v>
      </c>
      <c r="Q175" s="102"/>
      <c r="R175" s="102"/>
    </row>
    <row r="176" spans="1:18" ht="28" x14ac:dyDescent="0.2">
      <c r="A176" s="75">
        <f t="shared" si="2"/>
        <v>0</v>
      </c>
      <c r="B176" s="76" t="s">
        <v>32</v>
      </c>
      <c r="C176" s="77">
        <v>45536</v>
      </c>
      <c r="D176" s="77" t="s">
        <v>494</v>
      </c>
      <c r="E176" s="84" t="s">
        <v>495</v>
      </c>
      <c r="F176" s="79" t="s">
        <v>145</v>
      </c>
      <c r="G176" s="79"/>
      <c r="H176" s="79" t="s">
        <v>12</v>
      </c>
      <c r="I176" s="79" t="s">
        <v>148</v>
      </c>
      <c r="J176" s="69" t="s">
        <v>31</v>
      </c>
      <c r="Q176" s="102"/>
      <c r="R176" s="102"/>
    </row>
    <row r="177" spans="1:18" ht="28" x14ac:dyDescent="0.2">
      <c r="A177" s="75">
        <f t="shared" si="2"/>
        <v>0</v>
      </c>
      <c r="B177" s="76" t="s">
        <v>32</v>
      </c>
      <c r="C177" s="77">
        <v>45536</v>
      </c>
      <c r="D177" s="77" t="s">
        <v>496</v>
      </c>
      <c r="E177" s="84" t="s">
        <v>497</v>
      </c>
      <c r="F177" s="79" t="s">
        <v>145</v>
      </c>
      <c r="G177" s="79"/>
      <c r="H177" s="79" t="s">
        <v>12</v>
      </c>
      <c r="I177" s="79" t="s">
        <v>148</v>
      </c>
      <c r="J177" s="69" t="s">
        <v>31</v>
      </c>
      <c r="Q177" s="102"/>
      <c r="R177" s="102"/>
    </row>
    <row r="178" spans="1:18" ht="30" x14ac:dyDescent="0.2">
      <c r="A178" s="75">
        <f t="shared" si="2"/>
        <v>0</v>
      </c>
      <c r="B178" s="76" t="s">
        <v>32</v>
      </c>
      <c r="C178" s="77">
        <v>45536</v>
      </c>
      <c r="D178" s="77" t="s">
        <v>498</v>
      </c>
      <c r="E178" s="84" t="s">
        <v>499</v>
      </c>
      <c r="F178" s="79" t="s">
        <v>145</v>
      </c>
      <c r="G178" s="79"/>
      <c r="H178" s="79" t="s">
        <v>12</v>
      </c>
      <c r="I178" s="79" t="s">
        <v>148</v>
      </c>
      <c r="J178" s="69" t="s">
        <v>31</v>
      </c>
      <c r="Q178" s="102"/>
      <c r="R178" s="102"/>
    </row>
    <row r="179" spans="1:18" ht="28" x14ac:dyDescent="0.2">
      <c r="A179" s="75">
        <f t="shared" si="2"/>
        <v>0</v>
      </c>
      <c r="B179" s="76" t="s">
        <v>32</v>
      </c>
      <c r="C179" s="77">
        <v>45536</v>
      </c>
      <c r="D179" s="77" t="s">
        <v>500</v>
      </c>
      <c r="E179" s="84" t="s">
        <v>501</v>
      </c>
      <c r="F179" s="79" t="s">
        <v>145</v>
      </c>
      <c r="G179" s="79"/>
      <c r="H179" s="79" t="s">
        <v>12</v>
      </c>
      <c r="I179" s="79" t="s">
        <v>148</v>
      </c>
      <c r="J179" s="69" t="s">
        <v>31</v>
      </c>
      <c r="Q179" s="102"/>
      <c r="R179" s="102"/>
    </row>
    <row r="180" spans="1:18" ht="28" x14ac:dyDescent="0.2">
      <c r="A180" s="75">
        <f t="shared" si="2"/>
        <v>0</v>
      </c>
      <c r="B180" s="76" t="s">
        <v>32</v>
      </c>
      <c r="C180" s="77">
        <v>45536</v>
      </c>
      <c r="D180" s="77" t="s">
        <v>502</v>
      </c>
      <c r="E180" s="84" t="s">
        <v>503</v>
      </c>
      <c r="F180" s="79" t="s">
        <v>145</v>
      </c>
      <c r="G180" s="79"/>
      <c r="H180" s="79" t="s">
        <v>12</v>
      </c>
      <c r="I180" s="79" t="s">
        <v>148</v>
      </c>
      <c r="J180" s="69" t="s">
        <v>31</v>
      </c>
      <c r="Q180" s="102"/>
      <c r="R180" s="102"/>
    </row>
    <row r="181" spans="1:18" ht="30" x14ac:dyDescent="0.2">
      <c r="A181" s="75">
        <f t="shared" si="2"/>
        <v>0</v>
      </c>
      <c r="B181" s="76" t="s">
        <v>32</v>
      </c>
      <c r="C181" s="77">
        <v>45536</v>
      </c>
      <c r="D181" s="77" t="s">
        <v>504</v>
      </c>
      <c r="E181" s="84" t="s">
        <v>505</v>
      </c>
      <c r="F181" s="79" t="s">
        <v>145</v>
      </c>
      <c r="G181" s="79"/>
      <c r="H181" s="79" t="s">
        <v>12</v>
      </c>
      <c r="I181" s="79" t="s">
        <v>148</v>
      </c>
      <c r="J181" s="69" t="s">
        <v>31</v>
      </c>
      <c r="Q181" s="102"/>
      <c r="R181" s="102"/>
    </row>
    <row r="182" spans="1:18" ht="28" x14ac:dyDescent="0.2">
      <c r="A182" s="75">
        <f t="shared" si="2"/>
        <v>0</v>
      </c>
      <c r="B182" s="76" t="s">
        <v>32</v>
      </c>
      <c r="C182" s="77">
        <v>45536</v>
      </c>
      <c r="D182" s="77" t="s">
        <v>506</v>
      </c>
      <c r="E182" s="84" t="s">
        <v>507</v>
      </c>
      <c r="F182" s="79" t="s">
        <v>145</v>
      </c>
      <c r="G182" s="79"/>
      <c r="H182" s="79" t="s">
        <v>12</v>
      </c>
      <c r="I182" s="79" t="s">
        <v>148</v>
      </c>
      <c r="J182" s="69" t="s">
        <v>31</v>
      </c>
      <c r="Q182" s="102"/>
      <c r="R182" s="102"/>
    </row>
    <row r="183" spans="1:18" ht="28" x14ac:dyDescent="0.2">
      <c r="A183" s="75">
        <f t="shared" si="2"/>
        <v>0</v>
      </c>
      <c r="B183" s="76" t="s">
        <v>32</v>
      </c>
      <c r="C183" s="77">
        <v>45536</v>
      </c>
      <c r="D183" s="77" t="s">
        <v>508</v>
      </c>
      <c r="E183" s="84" t="s">
        <v>509</v>
      </c>
      <c r="F183" s="79" t="s">
        <v>145</v>
      </c>
      <c r="G183" s="79"/>
      <c r="H183" s="79" t="s">
        <v>225</v>
      </c>
      <c r="I183" s="79" t="s">
        <v>148</v>
      </c>
      <c r="J183" s="69" t="s">
        <v>31</v>
      </c>
      <c r="Q183" s="102"/>
      <c r="R183" s="102"/>
    </row>
    <row r="184" spans="1:18" ht="30" x14ac:dyDescent="0.2">
      <c r="A184" s="75">
        <f t="shared" si="2"/>
        <v>0</v>
      </c>
      <c r="B184" s="76" t="s">
        <v>32</v>
      </c>
      <c r="C184" s="77">
        <v>45536</v>
      </c>
      <c r="D184" s="77" t="s">
        <v>510</v>
      </c>
      <c r="E184" s="84" t="s">
        <v>511</v>
      </c>
      <c r="F184" s="79" t="s">
        <v>145</v>
      </c>
      <c r="G184" s="79"/>
      <c r="H184" s="79" t="s">
        <v>12</v>
      </c>
      <c r="I184" s="79" t="s">
        <v>148</v>
      </c>
      <c r="J184" s="69" t="s">
        <v>31</v>
      </c>
      <c r="Q184" s="102"/>
      <c r="R184" s="102"/>
    </row>
    <row r="185" spans="1:18" ht="28" x14ac:dyDescent="0.2">
      <c r="A185" s="75">
        <f t="shared" si="2"/>
        <v>0</v>
      </c>
      <c r="B185" s="76" t="s">
        <v>32</v>
      </c>
      <c r="C185" s="77">
        <v>45536</v>
      </c>
      <c r="D185" s="77" t="s">
        <v>512</v>
      </c>
      <c r="E185" s="84" t="s">
        <v>513</v>
      </c>
      <c r="F185" s="79" t="s">
        <v>145</v>
      </c>
      <c r="G185" s="79"/>
      <c r="H185" s="79" t="s">
        <v>12</v>
      </c>
      <c r="I185" s="79" t="s">
        <v>148</v>
      </c>
      <c r="J185" s="69" t="s">
        <v>31</v>
      </c>
      <c r="Q185" s="102"/>
      <c r="R185" s="102"/>
    </row>
    <row r="186" spans="1:18" ht="28" x14ac:dyDescent="0.2">
      <c r="A186" s="75">
        <f t="shared" si="2"/>
        <v>0</v>
      </c>
      <c r="B186" s="76" t="s">
        <v>32</v>
      </c>
      <c r="C186" s="77">
        <v>45536</v>
      </c>
      <c r="D186" s="77" t="s">
        <v>514</v>
      </c>
      <c r="E186" s="84" t="s">
        <v>515</v>
      </c>
      <c r="F186" s="79" t="s">
        <v>145</v>
      </c>
      <c r="G186" s="79"/>
      <c r="H186" s="79" t="s">
        <v>12</v>
      </c>
      <c r="I186" s="79" t="s">
        <v>148</v>
      </c>
      <c r="J186" s="69" t="s">
        <v>31</v>
      </c>
      <c r="Q186" s="102"/>
      <c r="R186" s="102"/>
    </row>
    <row r="187" spans="1:18" ht="28" x14ac:dyDescent="0.2">
      <c r="A187" s="75">
        <f t="shared" si="2"/>
        <v>0</v>
      </c>
      <c r="B187" s="76" t="s">
        <v>32</v>
      </c>
      <c r="C187" s="77">
        <v>45536</v>
      </c>
      <c r="D187" s="77" t="s">
        <v>516</v>
      </c>
      <c r="E187" s="84" t="s">
        <v>517</v>
      </c>
      <c r="F187" s="79" t="s">
        <v>145</v>
      </c>
      <c r="G187" s="79"/>
      <c r="H187" s="79" t="s">
        <v>12</v>
      </c>
      <c r="I187" s="79" t="s">
        <v>148</v>
      </c>
      <c r="J187" s="69" t="s">
        <v>31</v>
      </c>
      <c r="Q187" s="102"/>
      <c r="R187" s="102"/>
    </row>
    <row r="188" spans="1:18" ht="45" x14ac:dyDescent="0.2">
      <c r="A188" s="75">
        <f t="shared" si="2"/>
        <v>0</v>
      </c>
      <c r="B188" s="76" t="s">
        <v>32</v>
      </c>
      <c r="C188" s="77">
        <v>45536</v>
      </c>
      <c r="D188" s="77" t="s">
        <v>518</v>
      </c>
      <c r="E188" s="84" t="s">
        <v>519</v>
      </c>
      <c r="F188" s="79" t="s">
        <v>145</v>
      </c>
      <c r="G188" s="79"/>
      <c r="H188" s="79" t="s">
        <v>12</v>
      </c>
      <c r="I188" s="79" t="s">
        <v>148</v>
      </c>
      <c r="J188" s="69" t="s">
        <v>31</v>
      </c>
      <c r="Q188" s="102"/>
      <c r="R188" s="102"/>
    </row>
    <row r="189" spans="1:18" ht="30" x14ac:dyDescent="0.2">
      <c r="A189" s="75">
        <f t="shared" si="2"/>
        <v>0</v>
      </c>
      <c r="B189" s="76" t="s">
        <v>32</v>
      </c>
      <c r="C189" s="77">
        <v>45536</v>
      </c>
      <c r="D189" s="77" t="s">
        <v>520</v>
      </c>
      <c r="E189" s="84" t="s">
        <v>521</v>
      </c>
      <c r="F189" s="79" t="s">
        <v>145</v>
      </c>
      <c r="G189" s="79"/>
      <c r="H189" s="79" t="s">
        <v>12</v>
      </c>
      <c r="I189" s="79" t="s">
        <v>148</v>
      </c>
      <c r="J189" s="69" t="s">
        <v>31</v>
      </c>
      <c r="Q189" s="102"/>
      <c r="R189" s="102"/>
    </row>
    <row r="190" spans="1:18" ht="28" x14ac:dyDescent="0.2">
      <c r="A190" s="75">
        <f t="shared" si="2"/>
        <v>0</v>
      </c>
      <c r="B190" s="76" t="s">
        <v>32</v>
      </c>
      <c r="C190" s="77">
        <v>45536</v>
      </c>
      <c r="D190" s="77" t="s">
        <v>522</v>
      </c>
      <c r="E190" s="84" t="s">
        <v>523</v>
      </c>
      <c r="F190" s="79" t="s">
        <v>145</v>
      </c>
      <c r="G190" s="79"/>
      <c r="H190" s="79" t="s">
        <v>12</v>
      </c>
      <c r="I190" s="79" t="s">
        <v>148</v>
      </c>
      <c r="J190" s="69" t="s">
        <v>31</v>
      </c>
      <c r="Q190" s="102"/>
      <c r="R190" s="102"/>
    </row>
    <row r="191" spans="1:18" ht="28" x14ac:dyDescent="0.2">
      <c r="A191" s="75">
        <f t="shared" si="2"/>
        <v>0</v>
      </c>
      <c r="B191" s="76" t="s">
        <v>32</v>
      </c>
      <c r="C191" s="77">
        <v>45536</v>
      </c>
      <c r="D191" s="77" t="s">
        <v>524</v>
      </c>
      <c r="E191" s="84" t="s">
        <v>525</v>
      </c>
      <c r="F191" s="79" t="s">
        <v>145</v>
      </c>
      <c r="G191" s="79"/>
      <c r="H191" s="79" t="s">
        <v>12</v>
      </c>
      <c r="I191" s="79" t="s">
        <v>148</v>
      </c>
      <c r="J191" s="69" t="s">
        <v>31</v>
      </c>
      <c r="Q191" s="102"/>
      <c r="R191" s="102"/>
    </row>
    <row r="192" spans="1:18" ht="15" x14ac:dyDescent="0.2">
      <c r="A192" s="75">
        <f t="shared" si="2"/>
        <v>0</v>
      </c>
      <c r="B192" s="76" t="s">
        <v>32</v>
      </c>
      <c r="C192" s="77">
        <v>45078</v>
      </c>
      <c r="D192" s="77" t="s">
        <v>526</v>
      </c>
      <c r="E192" s="78" t="s">
        <v>87</v>
      </c>
      <c r="F192" s="79" t="s">
        <v>4</v>
      </c>
      <c r="G192" s="79"/>
      <c r="H192" s="79" t="s">
        <v>2</v>
      </c>
      <c r="I192" s="79" t="s">
        <v>171</v>
      </c>
      <c r="J192" s="69" t="s">
        <v>31</v>
      </c>
      <c r="Q192" s="102"/>
      <c r="R192" s="102">
        <v>0</v>
      </c>
    </row>
    <row r="193" spans="1:18" ht="30" x14ac:dyDescent="0.2">
      <c r="A193" s="75">
        <f t="shared" si="2"/>
        <v>0</v>
      </c>
      <c r="B193" s="76" t="s">
        <v>32</v>
      </c>
      <c r="C193" s="77">
        <v>45536</v>
      </c>
      <c r="D193" s="77" t="s">
        <v>527</v>
      </c>
      <c r="E193" s="84" t="s">
        <v>528</v>
      </c>
      <c r="F193" s="79" t="s">
        <v>145</v>
      </c>
      <c r="G193" s="79"/>
      <c r="H193" s="79" t="s">
        <v>12</v>
      </c>
      <c r="I193" s="79" t="s">
        <v>148</v>
      </c>
      <c r="J193" s="69" t="s">
        <v>31</v>
      </c>
      <c r="Q193" s="102"/>
      <c r="R193" s="102"/>
    </row>
    <row r="194" spans="1:18" ht="28" x14ac:dyDescent="0.2">
      <c r="A194" s="75">
        <f t="shared" si="2"/>
        <v>0</v>
      </c>
      <c r="B194" s="76" t="s">
        <v>32</v>
      </c>
      <c r="C194" s="77">
        <v>45536</v>
      </c>
      <c r="D194" s="77" t="s">
        <v>529</v>
      </c>
      <c r="E194" s="84" t="s">
        <v>530</v>
      </c>
      <c r="F194" s="79" t="s">
        <v>145</v>
      </c>
      <c r="G194" s="79"/>
      <c r="H194" s="79" t="s">
        <v>12</v>
      </c>
      <c r="I194" s="79" t="s">
        <v>148</v>
      </c>
      <c r="J194" s="69" t="s">
        <v>31</v>
      </c>
      <c r="Q194" s="102"/>
      <c r="R194" s="102"/>
    </row>
    <row r="195" spans="1:18" ht="30" x14ac:dyDescent="0.2">
      <c r="A195" s="75">
        <f t="shared" si="2"/>
        <v>0</v>
      </c>
      <c r="B195" s="76" t="s">
        <v>32</v>
      </c>
      <c r="C195" s="77">
        <v>45536</v>
      </c>
      <c r="D195" s="77" t="s">
        <v>531</v>
      </c>
      <c r="E195" s="84" t="s">
        <v>532</v>
      </c>
      <c r="F195" s="79" t="s">
        <v>145</v>
      </c>
      <c r="G195" s="79"/>
      <c r="H195" s="79" t="s">
        <v>12</v>
      </c>
      <c r="I195" s="79" t="s">
        <v>148</v>
      </c>
      <c r="J195" s="69" t="s">
        <v>31</v>
      </c>
      <c r="Q195" s="102"/>
      <c r="R195" s="102"/>
    </row>
    <row r="196" spans="1:18" ht="28" x14ac:dyDescent="0.2">
      <c r="A196" s="75">
        <f t="shared" ref="A196:A259" si="3">IF(E196="",-1,IF(COUNTIF(J196:O196,"yes")=0,0,COUNTIF(J196:O196,"yes")))</f>
        <v>0</v>
      </c>
      <c r="B196" s="76" t="s">
        <v>32</v>
      </c>
      <c r="C196" s="77">
        <v>45536</v>
      </c>
      <c r="D196" s="77" t="s">
        <v>533</v>
      </c>
      <c r="E196" s="84" t="s">
        <v>534</v>
      </c>
      <c r="F196" s="79" t="s">
        <v>145</v>
      </c>
      <c r="G196" s="79"/>
      <c r="H196" s="79" t="s">
        <v>12</v>
      </c>
      <c r="I196" s="79" t="s">
        <v>148</v>
      </c>
      <c r="J196" s="69" t="s">
        <v>31</v>
      </c>
      <c r="Q196" s="102"/>
      <c r="R196" s="102"/>
    </row>
    <row r="197" spans="1:18" ht="28" x14ac:dyDescent="0.2">
      <c r="A197" s="75">
        <f t="shared" si="3"/>
        <v>0</v>
      </c>
      <c r="B197" s="76" t="s">
        <v>32</v>
      </c>
      <c r="C197" s="77">
        <v>45536</v>
      </c>
      <c r="D197" s="77" t="s">
        <v>535</v>
      </c>
      <c r="E197" s="84" t="s">
        <v>536</v>
      </c>
      <c r="F197" s="79" t="s">
        <v>145</v>
      </c>
      <c r="G197" s="79"/>
      <c r="H197" s="79" t="s">
        <v>12</v>
      </c>
      <c r="I197" s="79" t="s">
        <v>148</v>
      </c>
      <c r="J197" s="69" t="s">
        <v>31</v>
      </c>
      <c r="Q197" s="102"/>
      <c r="R197" s="102"/>
    </row>
    <row r="198" spans="1:18" ht="28" x14ac:dyDescent="0.2">
      <c r="A198" s="75">
        <f t="shared" si="3"/>
        <v>0</v>
      </c>
      <c r="B198" s="76" t="s">
        <v>32</v>
      </c>
      <c r="C198" s="77">
        <v>45536</v>
      </c>
      <c r="D198" s="77" t="s">
        <v>537</v>
      </c>
      <c r="E198" s="84" t="s">
        <v>538</v>
      </c>
      <c r="F198" s="79" t="s">
        <v>145</v>
      </c>
      <c r="G198" s="79"/>
      <c r="H198" s="79" t="s">
        <v>12</v>
      </c>
      <c r="I198" s="79" t="s">
        <v>148</v>
      </c>
      <c r="J198" s="69" t="s">
        <v>31</v>
      </c>
      <c r="Q198" s="102"/>
      <c r="R198" s="102"/>
    </row>
    <row r="199" spans="1:18" ht="28" x14ac:dyDescent="0.2">
      <c r="A199" s="75">
        <f t="shared" si="3"/>
        <v>0</v>
      </c>
      <c r="B199" s="76" t="s">
        <v>32</v>
      </c>
      <c r="C199" s="77">
        <v>45536</v>
      </c>
      <c r="D199" s="77" t="s">
        <v>539</v>
      </c>
      <c r="E199" s="84" t="s">
        <v>540</v>
      </c>
      <c r="F199" s="79" t="s">
        <v>145</v>
      </c>
      <c r="G199" s="79"/>
      <c r="H199" s="79" t="s">
        <v>12</v>
      </c>
      <c r="I199" s="79" t="s">
        <v>148</v>
      </c>
      <c r="J199" s="69" t="s">
        <v>31</v>
      </c>
      <c r="Q199" s="102"/>
      <c r="R199" s="102"/>
    </row>
    <row r="200" spans="1:18" ht="30" x14ac:dyDescent="0.2">
      <c r="A200" s="75">
        <f t="shared" si="3"/>
        <v>0</v>
      </c>
      <c r="B200" s="76" t="s">
        <v>32</v>
      </c>
      <c r="C200" s="77">
        <v>45536</v>
      </c>
      <c r="D200" s="77" t="s">
        <v>541</v>
      </c>
      <c r="E200" s="84" t="s">
        <v>542</v>
      </c>
      <c r="F200" s="79" t="s">
        <v>145</v>
      </c>
      <c r="G200" s="79"/>
      <c r="H200" s="79" t="s">
        <v>12</v>
      </c>
      <c r="I200" s="79" t="s">
        <v>148</v>
      </c>
      <c r="J200" s="69" t="s">
        <v>31</v>
      </c>
      <c r="Q200" s="102"/>
      <c r="R200" s="102"/>
    </row>
    <row r="201" spans="1:18" ht="28" x14ac:dyDescent="0.2">
      <c r="A201" s="75">
        <f t="shared" si="3"/>
        <v>0</v>
      </c>
      <c r="B201" s="76" t="s">
        <v>32</v>
      </c>
      <c r="C201" s="77">
        <v>45536</v>
      </c>
      <c r="D201" s="77" t="s">
        <v>543</v>
      </c>
      <c r="E201" s="84" t="s">
        <v>544</v>
      </c>
      <c r="F201" s="79" t="s">
        <v>145</v>
      </c>
      <c r="G201" s="79"/>
      <c r="H201" s="79" t="s">
        <v>12</v>
      </c>
      <c r="I201" s="79" t="s">
        <v>148</v>
      </c>
      <c r="J201" s="69" t="s">
        <v>31</v>
      </c>
      <c r="Q201" s="102"/>
      <c r="R201" s="102"/>
    </row>
    <row r="202" spans="1:18" ht="28" x14ac:dyDescent="0.2">
      <c r="A202" s="75">
        <f t="shared" si="3"/>
        <v>0</v>
      </c>
      <c r="B202" s="76" t="s">
        <v>32</v>
      </c>
      <c r="C202" s="77">
        <v>45536</v>
      </c>
      <c r="D202" s="77" t="s">
        <v>545</v>
      </c>
      <c r="E202" s="84" t="s">
        <v>546</v>
      </c>
      <c r="F202" s="79" t="s">
        <v>145</v>
      </c>
      <c r="G202" s="79"/>
      <c r="H202" s="79" t="s">
        <v>12</v>
      </c>
      <c r="I202" s="79" t="s">
        <v>148</v>
      </c>
      <c r="J202" s="69" t="s">
        <v>31</v>
      </c>
      <c r="Q202" s="102"/>
      <c r="R202" s="102"/>
    </row>
    <row r="203" spans="1:18" ht="28" x14ac:dyDescent="0.2">
      <c r="A203" s="75">
        <f t="shared" si="3"/>
        <v>0</v>
      </c>
      <c r="B203" s="76" t="s">
        <v>32</v>
      </c>
      <c r="C203" s="77">
        <v>45536</v>
      </c>
      <c r="D203" s="77" t="s">
        <v>547</v>
      </c>
      <c r="E203" s="84" t="s">
        <v>548</v>
      </c>
      <c r="F203" s="79" t="s">
        <v>145</v>
      </c>
      <c r="G203" s="79"/>
      <c r="H203" s="79" t="s">
        <v>12</v>
      </c>
      <c r="I203" s="79" t="s">
        <v>148</v>
      </c>
      <c r="J203" s="69" t="s">
        <v>31</v>
      </c>
      <c r="R203" s="102"/>
    </row>
    <row r="204" spans="1:18" ht="30" x14ac:dyDescent="0.2">
      <c r="A204" s="75">
        <f t="shared" si="3"/>
        <v>0</v>
      </c>
      <c r="B204" s="76" t="s">
        <v>32</v>
      </c>
      <c r="C204" s="77">
        <v>45536</v>
      </c>
      <c r="D204" s="77" t="s">
        <v>549</v>
      </c>
      <c r="E204" s="84" t="s">
        <v>550</v>
      </c>
      <c r="F204" s="79" t="s">
        <v>145</v>
      </c>
      <c r="G204" s="79"/>
      <c r="H204" s="79" t="s">
        <v>12</v>
      </c>
      <c r="I204" s="79" t="s">
        <v>148</v>
      </c>
      <c r="J204" s="69" t="s">
        <v>31</v>
      </c>
    </row>
    <row r="205" spans="1:18" ht="28" x14ac:dyDescent="0.2">
      <c r="A205" s="75">
        <f t="shared" si="3"/>
        <v>0</v>
      </c>
      <c r="B205" s="76" t="s">
        <v>32</v>
      </c>
      <c r="C205" s="77">
        <v>45536</v>
      </c>
      <c r="D205" s="77" t="s">
        <v>551</v>
      </c>
      <c r="E205" s="84" t="s">
        <v>552</v>
      </c>
      <c r="F205" s="79" t="s">
        <v>145</v>
      </c>
      <c r="G205" s="79"/>
      <c r="H205" s="79" t="s">
        <v>12</v>
      </c>
      <c r="I205" s="79" t="s">
        <v>148</v>
      </c>
      <c r="J205" s="69" t="s">
        <v>31</v>
      </c>
    </row>
    <row r="206" spans="1:18" ht="28" x14ac:dyDescent="0.2">
      <c r="A206" s="75">
        <f t="shared" si="3"/>
        <v>0</v>
      </c>
      <c r="B206" s="76" t="s">
        <v>32</v>
      </c>
      <c r="C206" s="77">
        <v>45536</v>
      </c>
      <c r="D206" s="77" t="s">
        <v>553</v>
      </c>
      <c r="E206" s="84" t="s">
        <v>554</v>
      </c>
      <c r="F206" s="79" t="s">
        <v>145</v>
      </c>
      <c r="G206" s="79"/>
      <c r="H206" s="79" t="s">
        <v>12</v>
      </c>
      <c r="I206" s="79" t="s">
        <v>148</v>
      </c>
      <c r="J206" s="69" t="s">
        <v>31</v>
      </c>
    </row>
    <row r="207" spans="1:18" ht="28" x14ac:dyDescent="0.2">
      <c r="A207" s="75">
        <f t="shared" si="3"/>
        <v>0</v>
      </c>
      <c r="B207" s="76" t="s">
        <v>32</v>
      </c>
      <c r="C207" s="77">
        <v>45536</v>
      </c>
      <c r="D207" s="77" t="s">
        <v>555</v>
      </c>
      <c r="E207" s="84" t="s">
        <v>556</v>
      </c>
      <c r="F207" s="79" t="s">
        <v>145</v>
      </c>
      <c r="G207" s="79"/>
      <c r="H207" s="79" t="s">
        <v>12</v>
      </c>
      <c r="I207" s="79" t="s">
        <v>148</v>
      </c>
      <c r="J207" s="69" t="s">
        <v>31</v>
      </c>
    </row>
    <row r="208" spans="1:18" ht="28" x14ac:dyDescent="0.2">
      <c r="A208" s="75">
        <f t="shared" si="3"/>
        <v>0</v>
      </c>
      <c r="B208" s="76" t="s">
        <v>32</v>
      </c>
      <c r="C208" s="77">
        <v>45536</v>
      </c>
      <c r="D208" s="77" t="s">
        <v>557</v>
      </c>
      <c r="E208" s="84" t="s">
        <v>558</v>
      </c>
      <c r="F208" s="79" t="s">
        <v>145</v>
      </c>
      <c r="G208" s="79"/>
      <c r="H208" s="79" t="s">
        <v>12</v>
      </c>
      <c r="I208" s="79" t="s">
        <v>148</v>
      </c>
      <c r="J208" s="69" t="s">
        <v>31</v>
      </c>
    </row>
    <row r="209" spans="1:18" ht="15" x14ac:dyDescent="0.2">
      <c r="A209" s="75">
        <f t="shared" si="3"/>
        <v>0</v>
      </c>
      <c r="B209" s="76" t="s">
        <v>32</v>
      </c>
      <c r="C209" s="77">
        <v>45078</v>
      </c>
      <c r="D209" s="77" t="s">
        <v>559</v>
      </c>
      <c r="E209" s="78" t="s">
        <v>100</v>
      </c>
      <c r="F209" s="79" t="s">
        <v>4</v>
      </c>
      <c r="G209" s="79"/>
      <c r="H209" s="79" t="s">
        <v>188</v>
      </c>
      <c r="I209" s="79" t="s">
        <v>171</v>
      </c>
      <c r="J209" s="69" t="s">
        <v>31</v>
      </c>
      <c r="K209" s="69" t="s">
        <v>212</v>
      </c>
      <c r="L209" s="69" t="s">
        <v>212</v>
      </c>
      <c r="M209" s="69" t="s">
        <v>212</v>
      </c>
      <c r="N209" s="69" t="s">
        <v>212</v>
      </c>
      <c r="O209" s="69" t="str">
        <f>IF(OR(ISERROR(VLOOKUP($E209,'Summary-Fundraise'!$A$3:$L$76,O$2,FALSE)),0),"",VLOOKUP($E209,'Summary-Fundraise'!$A$3:$L$76,O$2,FALSE))</f>
        <v/>
      </c>
      <c r="Q209" s="102"/>
      <c r="R209" s="102"/>
    </row>
    <row r="210" spans="1:18" ht="28" x14ac:dyDescent="0.2">
      <c r="A210" s="75">
        <f t="shared" si="3"/>
        <v>0</v>
      </c>
      <c r="B210" s="76" t="s">
        <v>32</v>
      </c>
      <c r="C210" s="77">
        <v>45536</v>
      </c>
      <c r="D210" s="77" t="s">
        <v>560</v>
      </c>
      <c r="E210" s="84" t="s">
        <v>561</v>
      </c>
      <c r="F210" s="79" t="s">
        <v>145</v>
      </c>
      <c r="G210" s="79"/>
      <c r="H210" s="79" t="s">
        <v>12</v>
      </c>
      <c r="I210" s="79" t="s">
        <v>148</v>
      </c>
      <c r="J210" s="69" t="s">
        <v>31</v>
      </c>
    </row>
    <row r="211" spans="1:18" ht="28" x14ac:dyDescent="0.2">
      <c r="A211" s="75">
        <f t="shared" si="3"/>
        <v>0</v>
      </c>
      <c r="B211" s="76" t="s">
        <v>32</v>
      </c>
      <c r="C211" s="77">
        <v>45536</v>
      </c>
      <c r="D211" s="77" t="s">
        <v>562</v>
      </c>
      <c r="E211" s="84" t="s">
        <v>563</v>
      </c>
      <c r="F211" s="79" t="s">
        <v>145</v>
      </c>
      <c r="G211" s="79"/>
      <c r="H211" s="79" t="s">
        <v>12</v>
      </c>
      <c r="I211" s="79" t="s">
        <v>148</v>
      </c>
      <c r="J211" s="69" t="s">
        <v>31</v>
      </c>
    </row>
    <row r="212" spans="1:18" ht="28" x14ac:dyDescent="0.2">
      <c r="A212" s="75">
        <f t="shared" si="3"/>
        <v>0</v>
      </c>
      <c r="B212" s="76" t="s">
        <v>32</v>
      </c>
      <c r="C212" s="77">
        <v>45536</v>
      </c>
      <c r="D212" s="77" t="s">
        <v>564</v>
      </c>
      <c r="E212" s="84" t="s">
        <v>565</v>
      </c>
      <c r="F212" s="79" t="s">
        <v>145</v>
      </c>
      <c r="G212" s="79"/>
      <c r="H212" s="79" t="s">
        <v>12</v>
      </c>
      <c r="I212" s="79" t="s">
        <v>148</v>
      </c>
      <c r="J212" s="69" t="s">
        <v>31</v>
      </c>
    </row>
    <row r="213" spans="1:18" ht="30" x14ac:dyDescent="0.2">
      <c r="A213" s="75">
        <f t="shared" si="3"/>
        <v>0</v>
      </c>
      <c r="B213" s="76" t="s">
        <v>32</v>
      </c>
      <c r="C213" s="77">
        <v>45536</v>
      </c>
      <c r="D213" s="77" t="s">
        <v>566</v>
      </c>
      <c r="E213" s="84" t="s">
        <v>567</v>
      </c>
      <c r="F213" s="79" t="s">
        <v>145</v>
      </c>
      <c r="G213" s="79"/>
      <c r="H213" s="79" t="s">
        <v>12</v>
      </c>
      <c r="I213" s="79" t="s">
        <v>148</v>
      </c>
      <c r="J213" s="69" t="s">
        <v>31</v>
      </c>
    </row>
    <row r="214" spans="1:18" ht="30" x14ac:dyDescent="0.2">
      <c r="A214" s="75">
        <f t="shared" si="3"/>
        <v>0</v>
      </c>
      <c r="B214" s="76" t="s">
        <v>32</v>
      </c>
      <c r="C214" s="77">
        <v>45536</v>
      </c>
      <c r="D214" s="77" t="s">
        <v>568</v>
      </c>
      <c r="E214" s="84" t="s">
        <v>569</v>
      </c>
      <c r="F214" s="79" t="s">
        <v>145</v>
      </c>
      <c r="G214" s="79"/>
      <c r="H214" s="79" t="s">
        <v>12</v>
      </c>
      <c r="I214" s="79" t="s">
        <v>148</v>
      </c>
      <c r="J214" s="69" t="s">
        <v>31</v>
      </c>
    </row>
    <row r="215" spans="1:18" ht="28" x14ac:dyDescent="0.2">
      <c r="A215" s="75">
        <f t="shared" si="3"/>
        <v>0</v>
      </c>
      <c r="B215" s="76" t="s">
        <v>32</v>
      </c>
      <c r="C215" s="77">
        <v>45536</v>
      </c>
      <c r="D215" s="77" t="s">
        <v>570</v>
      </c>
      <c r="E215" s="84" t="s">
        <v>571</v>
      </c>
      <c r="F215" s="79" t="s">
        <v>145</v>
      </c>
      <c r="G215" s="79"/>
      <c r="H215" s="79" t="s">
        <v>12</v>
      </c>
      <c r="I215" s="79" t="s">
        <v>148</v>
      </c>
      <c r="J215" s="69" t="s">
        <v>31</v>
      </c>
    </row>
    <row r="216" spans="1:18" ht="28" x14ac:dyDescent="0.2">
      <c r="A216" s="75">
        <f t="shared" si="3"/>
        <v>0</v>
      </c>
      <c r="B216" s="76" t="s">
        <v>32</v>
      </c>
      <c r="C216" s="77">
        <v>45536</v>
      </c>
      <c r="D216" s="77" t="s">
        <v>572</v>
      </c>
      <c r="E216" s="84" t="s">
        <v>573</v>
      </c>
      <c r="F216" s="79" t="s">
        <v>145</v>
      </c>
      <c r="G216" s="79"/>
      <c r="H216" s="79" t="s">
        <v>12</v>
      </c>
      <c r="I216" s="79" t="s">
        <v>148</v>
      </c>
      <c r="J216" s="69" t="s">
        <v>31</v>
      </c>
    </row>
    <row r="217" spans="1:18" ht="28" x14ac:dyDescent="0.2">
      <c r="A217" s="75">
        <f t="shared" si="3"/>
        <v>0</v>
      </c>
      <c r="B217" s="76" t="s">
        <v>32</v>
      </c>
      <c r="C217" s="77">
        <v>45536</v>
      </c>
      <c r="D217" s="77" t="s">
        <v>574</v>
      </c>
      <c r="E217" s="84" t="s">
        <v>575</v>
      </c>
      <c r="F217" s="79" t="s">
        <v>145</v>
      </c>
      <c r="G217" s="79"/>
      <c r="H217" s="79" t="s">
        <v>12</v>
      </c>
      <c r="I217" s="79" t="s">
        <v>148</v>
      </c>
      <c r="J217" s="69" t="s">
        <v>31</v>
      </c>
    </row>
    <row r="218" spans="1:18" ht="28" x14ac:dyDescent="0.2">
      <c r="A218" s="75">
        <f t="shared" si="3"/>
        <v>0</v>
      </c>
      <c r="B218" s="76" t="s">
        <v>32</v>
      </c>
      <c r="C218" s="77">
        <v>45536</v>
      </c>
      <c r="D218" s="77" t="s">
        <v>576</v>
      </c>
      <c r="E218" s="84" t="s">
        <v>577</v>
      </c>
      <c r="F218" s="79" t="s">
        <v>145</v>
      </c>
      <c r="G218" s="79"/>
      <c r="H218" s="79" t="s">
        <v>225</v>
      </c>
      <c r="I218" s="79" t="s">
        <v>148</v>
      </c>
      <c r="J218" s="69" t="s">
        <v>31</v>
      </c>
    </row>
    <row r="219" spans="1:18" ht="28" x14ac:dyDescent="0.2">
      <c r="A219" s="75">
        <f t="shared" si="3"/>
        <v>0</v>
      </c>
      <c r="B219" s="76" t="s">
        <v>32</v>
      </c>
      <c r="C219" s="77">
        <v>45536</v>
      </c>
      <c r="D219" s="77" t="s">
        <v>578</v>
      </c>
      <c r="E219" s="84" t="s">
        <v>579</v>
      </c>
      <c r="F219" s="79" t="s">
        <v>145</v>
      </c>
      <c r="G219" s="79"/>
      <c r="H219" s="79" t="s">
        <v>12</v>
      </c>
      <c r="I219" s="79" t="s">
        <v>148</v>
      </c>
      <c r="J219" s="69" t="s">
        <v>31</v>
      </c>
    </row>
    <row r="220" spans="1:18" ht="28" x14ac:dyDescent="0.2">
      <c r="A220" s="75">
        <f t="shared" si="3"/>
        <v>0</v>
      </c>
      <c r="B220" s="76" t="s">
        <v>32</v>
      </c>
      <c r="C220" s="77">
        <v>45536</v>
      </c>
      <c r="D220" s="77" t="s">
        <v>580</v>
      </c>
      <c r="E220" s="84" t="s">
        <v>581</v>
      </c>
      <c r="F220" s="79" t="s">
        <v>145</v>
      </c>
      <c r="G220" s="79"/>
      <c r="H220" s="79" t="s">
        <v>12</v>
      </c>
      <c r="I220" s="79" t="s">
        <v>148</v>
      </c>
      <c r="J220" s="69" t="s">
        <v>31</v>
      </c>
    </row>
    <row r="221" spans="1:18" ht="28" x14ac:dyDescent="0.2">
      <c r="A221" s="75">
        <f t="shared" si="3"/>
        <v>0</v>
      </c>
      <c r="B221" s="76" t="s">
        <v>32</v>
      </c>
      <c r="C221" s="77">
        <v>45536</v>
      </c>
      <c r="D221" s="77" t="s">
        <v>582</v>
      </c>
      <c r="E221" s="84" t="s">
        <v>583</v>
      </c>
      <c r="F221" s="79" t="s">
        <v>145</v>
      </c>
      <c r="G221" s="79"/>
      <c r="H221" s="79" t="s">
        <v>12</v>
      </c>
      <c r="I221" s="79" t="s">
        <v>148</v>
      </c>
      <c r="J221" s="69" t="s">
        <v>31</v>
      </c>
    </row>
    <row r="222" spans="1:18" ht="28" x14ac:dyDescent="0.2">
      <c r="A222" s="75">
        <f t="shared" si="3"/>
        <v>0</v>
      </c>
      <c r="B222" s="76" t="s">
        <v>32</v>
      </c>
      <c r="C222" s="77">
        <v>45536</v>
      </c>
      <c r="D222" s="77" t="s">
        <v>584</v>
      </c>
      <c r="E222" s="84" t="s">
        <v>585</v>
      </c>
      <c r="F222" s="79" t="s">
        <v>145</v>
      </c>
      <c r="G222" s="79"/>
      <c r="H222" s="79" t="s">
        <v>12</v>
      </c>
      <c r="I222" s="79" t="s">
        <v>148</v>
      </c>
      <c r="J222" s="69" t="s">
        <v>31</v>
      </c>
    </row>
    <row r="223" spans="1:18" ht="28" x14ac:dyDescent="0.2">
      <c r="A223" s="75">
        <f t="shared" si="3"/>
        <v>0</v>
      </c>
      <c r="B223" s="76" t="s">
        <v>32</v>
      </c>
      <c r="C223" s="77">
        <v>45536</v>
      </c>
      <c r="D223" s="77" t="s">
        <v>586</v>
      </c>
      <c r="E223" s="84" t="s">
        <v>587</v>
      </c>
      <c r="F223" s="79" t="s">
        <v>145</v>
      </c>
      <c r="G223" s="79"/>
      <c r="H223" s="79" t="s">
        <v>12</v>
      </c>
      <c r="I223" s="79" t="s">
        <v>148</v>
      </c>
      <c r="J223" s="69" t="s">
        <v>31</v>
      </c>
    </row>
    <row r="224" spans="1:18" ht="28" x14ac:dyDescent="0.2">
      <c r="A224" s="75">
        <f t="shared" si="3"/>
        <v>0</v>
      </c>
      <c r="B224" s="76" t="s">
        <v>32</v>
      </c>
      <c r="C224" s="77">
        <v>45536</v>
      </c>
      <c r="D224" s="77" t="s">
        <v>588</v>
      </c>
      <c r="E224" s="84" t="s">
        <v>589</v>
      </c>
      <c r="F224" s="79" t="s">
        <v>145</v>
      </c>
      <c r="G224" s="79"/>
      <c r="H224" s="79" t="s">
        <v>12</v>
      </c>
      <c r="I224" s="79" t="s">
        <v>148</v>
      </c>
      <c r="J224" s="69" t="s">
        <v>31</v>
      </c>
    </row>
    <row r="225" spans="1:10" ht="15" x14ac:dyDescent="0.2">
      <c r="A225" s="75">
        <f t="shared" si="3"/>
        <v>0</v>
      </c>
      <c r="B225" s="76" t="s">
        <v>32</v>
      </c>
      <c r="C225" s="77">
        <v>45536</v>
      </c>
      <c r="D225" s="77" t="s">
        <v>590</v>
      </c>
      <c r="E225" s="84" t="s">
        <v>591</v>
      </c>
      <c r="F225" s="79" t="s">
        <v>145</v>
      </c>
      <c r="G225" s="79"/>
      <c r="H225" s="79" t="s">
        <v>256</v>
      </c>
      <c r="I225" s="79" t="s">
        <v>148</v>
      </c>
      <c r="J225" s="69" t="s">
        <v>31</v>
      </c>
    </row>
    <row r="226" spans="1:10" ht="28" x14ac:dyDescent="0.2">
      <c r="A226" s="75">
        <f t="shared" si="3"/>
        <v>0</v>
      </c>
      <c r="B226" s="76" t="s">
        <v>32</v>
      </c>
      <c r="C226" s="77">
        <v>45536</v>
      </c>
      <c r="D226" s="77" t="s">
        <v>592</v>
      </c>
      <c r="E226" s="84" t="s">
        <v>593</v>
      </c>
      <c r="F226" s="79" t="s">
        <v>145</v>
      </c>
      <c r="G226" s="79"/>
      <c r="H226" s="79" t="s">
        <v>12</v>
      </c>
      <c r="I226" s="79" t="s">
        <v>148</v>
      </c>
      <c r="J226" s="69" t="s">
        <v>31</v>
      </c>
    </row>
    <row r="227" spans="1:10" ht="28" x14ac:dyDescent="0.2">
      <c r="A227" s="75">
        <f t="shared" si="3"/>
        <v>0</v>
      </c>
      <c r="B227" s="76" t="s">
        <v>32</v>
      </c>
      <c r="C227" s="77">
        <v>45536</v>
      </c>
      <c r="D227" s="77" t="s">
        <v>594</v>
      </c>
      <c r="E227" s="84" t="s">
        <v>595</v>
      </c>
      <c r="F227" s="79" t="s">
        <v>145</v>
      </c>
      <c r="G227" s="79"/>
      <c r="H227" s="79" t="s">
        <v>12</v>
      </c>
      <c r="I227" s="79" t="s">
        <v>148</v>
      </c>
      <c r="J227" s="69" t="s">
        <v>31</v>
      </c>
    </row>
    <row r="228" spans="1:10" ht="28" x14ac:dyDescent="0.2">
      <c r="A228" s="75">
        <f t="shared" si="3"/>
        <v>0</v>
      </c>
      <c r="B228" s="76" t="s">
        <v>32</v>
      </c>
      <c r="C228" s="77">
        <v>45536</v>
      </c>
      <c r="D228" s="77" t="s">
        <v>596</v>
      </c>
      <c r="E228" s="84" t="s">
        <v>597</v>
      </c>
      <c r="F228" s="79" t="s">
        <v>145</v>
      </c>
      <c r="G228" s="79"/>
      <c r="H228" s="79" t="s">
        <v>12</v>
      </c>
      <c r="I228" s="79" t="s">
        <v>148</v>
      </c>
      <c r="J228" s="69" t="s">
        <v>31</v>
      </c>
    </row>
    <row r="229" spans="1:10" ht="28" x14ac:dyDescent="0.2">
      <c r="A229" s="75">
        <f t="shared" si="3"/>
        <v>0</v>
      </c>
      <c r="B229" s="76" t="s">
        <v>32</v>
      </c>
      <c r="C229" s="77">
        <v>45536</v>
      </c>
      <c r="D229" s="77" t="s">
        <v>598</v>
      </c>
      <c r="E229" s="84" t="s">
        <v>599</v>
      </c>
      <c r="F229" s="79" t="s">
        <v>145</v>
      </c>
      <c r="G229" s="79"/>
      <c r="H229" s="79" t="s">
        <v>12</v>
      </c>
      <c r="I229" s="79" t="s">
        <v>148</v>
      </c>
      <c r="J229" s="69" t="s">
        <v>31</v>
      </c>
    </row>
    <row r="230" spans="1:10" ht="28" x14ac:dyDescent="0.2">
      <c r="A230" s="75">
        <f t="shared" si="3"/>
        <v>0</v>
      </c>
      <c r="B230" s="76" t="s">
        <v>32</v>
      </c>
      <c r="C230" s="77">
        <v>45536</v>
      </c>
      <c r="D230" s="77" t="s">
        <v>600</v>
      </c>
      <c r="E230" s="84" t="s">
        <v>601</v>
      </c>
      <c r="F230" s="79" t="s">
        <v>145</v>
      </c>
      <c r="G230" s="79"/>
      <c r="H230" s="79" t="s">
        <v>12</v>
      </c>
      <c r="I230" s="79" t="s">
        <v>148</v>
      </c>
      <c r="J230" s="69" t="s">
        <v>31</v>
      </c>
    </row>
    <row r="231" spans="1:10" ht="28" x14ac:dyDescent="0.2">
      <c r="A231" s="75">
        <f t="shared" si="3"/>
        <v>0</v>
      </c>
      <c r="B231" s="76" t="s">
        <v>32</v>
      </c>
      <c r="C231" s="77">
        <v>45536</v>
      </c>
      <c r="D231" s="77" t="s">
        <v>602</v>
      </c>
      <c r="E231" s="84" t="s">
        <v>603</v>
      </c>
      <c r="F231" s="79" t="s">
        <v>145</v>
      </c>
      <c r="G231" s="79"/>
      <c r="H231" s="79" t="s">
        <v>12</v>
      </c>
      <c r="I231" s="79" t="s">
        <v>148</v>
      </c>
      <c r="J231" s="69" t="s">
        <v>31</v>
      </c>
    </row>
    <row r="232" spans="1:10" ht="28" x14ac:dyDescent="0.2">
      <c r="A232" s="75">
        <f t="shared" si="3"/>
        <v>0</v>
      </c>
      <c r="B232" s="76" t="s">
        <v>32</v>
      </c>
      <c r="C232" s="77">
        <v>45536</v>
      </c>
      <c r="D232" s="77" t="s">
        <v>604</v>
      </c>
      <c r="E232" s="84" t="s">
        <v>605</v>
      </c>
      <c r="F232" s="79" t="s">
        <v>145</v>
      </c>
      <c r="G232" s="79"/>
      <c r="H232" s="79" t="s">
        <v>12</v>
      </c>
      <c r="I232" s="79" t="s">
        <v>148</v>
      </c>
      <c r="J232" s="69" t="s">
        <v>31</v>
      </c>
    </row>
    <row r="233" spans="1:10" ht="28" x14ac:dyDescent="0.2">
      <c r="A233" s="75">
        <f t="shared" si="3"/>
        <v>0</v>
      </c>
      <c r="B233" s="76" t="s">
        <v>32</v>
      </c>
      <c r="C233" s="77">
        <v>45536</v>
      </c>
      <c r="D233" s="77" t="s">
        <v>606</v>
      </c>
      <c r="E233" s="84" t="s">
        <v>607</v>
      </c>
      <c r="F233" s="79" t="s">
        <v>145</v>
      </c>
      <c r="G233" s="79"/>
      <c r="H233" s="79" t="s">
        <v>12</v>
      </c>
      <c r="I233" s="79" t="s">
        <v>148</v>
      </c>
      <c r="J233" s="69" t="s">
        <v>31</v>
      </c>
    </row>
    <row r="234" spans="1:10" ht="28" x14ac:dyDescent="0.2">
      <c r="A234" s="75">
        <f t="shared" si="3"/>
        <v>0</v>
      </c>
      <c r="B234" s="76" t="s">
        <v>32</v>
      </c>
      <c r="C234" s="77">
        <v>45536</v>
      </c>
      <c r="D234" s="77" t="s">
        <v>608</v>
      </c>
      <c r="E234" s="84" t="s">
        <v>609</v>
      </c>
      <c r="F234" s="79" t="s">
        <v>145</v>
      </c>
      <c r="G234" s="79"/>
      <c r="H234" s="79" t="s">
        <v>12</v>
      </c>
      <c r="I234" s="79" t="s">
        <v>148</v>
      </c>
      <c r="J234" s="69" t="s">
        <v>31</v>
      </c>
    </row>
    <row r="235" spans="1:10" ht="28" x14ac:dyDescent="0.2">
      <c r="A235" s="75">
        <f t="shared" si="3"/>
        <v>0</v>
      </c>
      <c r="B235" s="76" t="s">
        <v>32</v>
      </c>
      <c r="C235" s="77">
        <v>45536</v>
      </c>
      <c r="D235" s="77" t="s">
        <v>610</v>
      </c>
      <c r="E235" s="84" t="s">
        <v>611</v>
      </c>
      <c r="F235" s="79" t="s">
        <v>145</v>
      </c>
      <c r="G235" s="79"/>
      <c r="H235" s="79" t="s">
        <v>12</v>
      </c>
      <c r="I235" s="79" t="s">
        <v>148</v>
      </c>
      <c r="J235" s="69" t="s">
        <v>31</v>
      </c>
    </row>
    <row r="236" spans="1:10" ht="28" x14ac:dyDescent="0.2">
      <c r="A236" s="75">
        <f t="shared" si="3"/>
        <v>0</v>
      </c>
      <c r="B236" s="76" t="s">
        <v>32</v>
      </c>
      <c r="C236" s="77">
        <v>45536</v>
      </c>
      <c r="D236" s="77" t="s">
        <v>612</v>
      </c>
      <c r="E236" s="84" t="s">
        <v>613</v>
      </c>
      <c r="F236" s="79" t="s">
        <v>145</v>
      </c>
      <c r="G236" s="79"/>
      <c r="H236" s="79" t="s">
        <v>12</v>
      </c>
      <c r="I236" s="79" t="s">
        <v>148</v>
      </c>
      <c r="J236" s="69" t="s">
        <v>31</v>
      </c>
    </row>
    <row r="237" spans="1:10" ht="28" x14ac:dyDescent="0.2">
      <c r="A237" s="75">
        <f t="shared" si="3"/>
        <v>0</v>
      </c>
      <c r="B237" s="76" t="s">
        <v>32</v>
      </c>
      <c r="C237" s="77">
        <v>45536</v>
      </c>
      <c r="D237" s="77" t="s">
        <v>614</v>
      </c>
      <c r="E237" s="84" t="s">
        <v>615</v>
      </c>
      <c r="F237" s="79" t="s">
        <v>145</v>
      </c>
      <c r="G237" s="79"/>
      <c r="H237" s="79" t="s">
        <v>12</v>
      </c>
      <c r="I237" s="79" t="s">
        <v>148</v>
      </c>
      <c r="J237" s="69" t="s">
        <v>31</v>
      </c>
    </row>
    <row r="238" spans="1:10" ht="28" x14ac:dyDescent="0.2">
      <c r="A238" s="75">
        <f t="shared" si="3"/>
        <v>0</v>
      </c>
      <c r="B238" s="76" t="s">
        <v>32</v>
      </c>
      <c r="C238" s="77">
        <v>45536</v>
      </c>
      <c r="D238" s="77" t="s">
        <v>616</v>
      </c>
      <c r="E238" s="84" t="s">
        <v>617</v>
      </c>
      <c r="F238" s="79" t="s">
        <v>145</v>
      </c>
      <c r="G238" s="79"/>
      <c r="H238" s="79" t="s">
        <v>12</v>
      </c>
      <c r="I238" s="79" t="s">
        <v>148</v>
      </c>
      <c r="J238" s="69" t="s">
        <v>31</v>
      </c>
    </row>
    <row r="239" spans="1:10" ht="15" x14ac:dyDescent="0.2">
      <c r="A239" s="75">
        <f t="shared" si="3"/>
        <v>0</v>
      </c>
      <c r="B239" s="76" t="s">
        <v>32</v>
      </c>
      <c r="C239" s="77">
        <v>45536</v>
      </c>
      <c r="D239" s="77" t="s">
        <v>618</v>
      </c>
      <c r="E239" s="84" t="s">
        <v>619</v>
      </c>
      <c r="F239" s="79" t="s">
        <v>145</v>
      </c>
      <c r="G239" s="79"/>
      <c r="H239" s="79" t="s">
        <v>256</v>
      </c>
      <c r="I239" s="79" t="s">
        <v>148</v>
      </c>
      <c r="J239" s="69" t="s">
        <v>31</v>
      </c>
    </row>
    <row r="240" spans="1:10" ht="28" x14ac:dyDescent="0.2">
      <c r="A240" s="75">
        <f t="shared" si="3"/>
        <v>0</v>
      </c>
      <c r="B240" s="76" t="s">
        <v>32</v>
      </c>
      <c r="C240" s="77">
        <v>45536</v>
      </c>
      <c r="D240" s="77" t="s">
        <v>620</v>
      </c>
      <c r="E240" s="84" t="s">
        <v>621</v>
      </c>
      <c r="F240" s="79" t="s">
        <v>145</v>
      </c>
      <c r="G240" s="79"/>
      <c r="H240" s="79" t="s">
        <v>12</v>
      </c>
      <c r="I240" s="79" t="s">
        <v>148</v>
      </c>
      <c r="J240" s="69" t="s">
        <v>31</v>
      </c>
    </row>
    <row r="241" spans="1:18" ht="28" x14ac:dyDescent="0.2">
      <c r="A241" s="75">
        <f t="shared" si="3"/>
        <v>0</v>
      </c>
      <c r="B241" s="76" t="s">
        <v>32</v>
      </c>
      <c r="C241" s="77">
        <v>45536</v>
      </c>
      <c r="D241" s="77" t="s">
        <v>622</v>
      </c>
      <c r="E241" s="84" t="s">
        <v>623</v>
      </c>
      <c r="F241" s="79" t="s">
        <v>145</v>
      </c>
      <c r="G241" s="79"/>
      <c r="H241" s="79" t="s">
        <v>12</v>
      </c>
      <c r="I241" s="79" t="s">
        <v>148</v>
      </c>
      <c r="J241" s="69" t="s">
        <v>31</v>
      </c>
    </row>
    <row r="242" spans="1:18" ht="28" x14ac:dyDescent="0.2">
      <c r="A242" s="75">
        <f t="shared" si="3"/>
        <v>0</v>
      </c>
      <c r="B242" s="76" t="s">
        <v>32</v>
      </c>
      <c r="C242" s="77">
        <v>45536</v>
      </c>
      <c r="D242" s="77" t="s">
        <v>624</v>
      </c>
      <c r="E242" s="84" t="s">
        <v>625</v>
      </c>
      <c r="F242" s="79" t="s">
        <v>145</v>
      </c>
      <c r="G242" s="79"/>
      <c r="H242" s="79" t="s">
        <v>12</v>
      </c>
      <c r="I242" s="79" t="s">
        <v>148</v>
      </c>
      <c r="J242" s="69" t="s">
        <v>31</v>
      </c>
    </row>
    <row r="243" spans="1:18" ht="28" x14ac:dyDescent="0.2">
      <c r="A243" s="75">
        <f t="shared" si="3"/>
        <v>0</v>
      </c>
      <c r="B243" s="76" t="s">
        <v>32</v>
      </c>
      <c r="C243" s="77">
        <v>45536</v>
      </c>
      <c r="D243" s="77" t="s">
        <v>626</v>
      </c>
      <c r="E243" s="84" t="s">
        <v>627</v>
      </c>
      <c r="F243" s="79" t="s">
        <v>145</v>
      </c>
      <c r="G243" s="79"/>
      <c r="H243" s="79" t="s">
        <v>12</v>
      </c>
      <c r="I243" s="79" t="s">
        <v>148</v>
      </c>
      <c r="J243" s="69" t="s">
        <v>31</v>
      </c>
    </row>
    <row r="244" spans="1:18" ht="28" x14ac:dyDescent="0.2">
      <c r="A244" s="75">
        <f t="shared" si="3"/>
        <v>0</v>
      </c>
      <c r="B244" s="76" t="s">
        <v>32</v>
      </c>
      <c r="C244" s="77">
        <v>45536</v>
      </c>
      <c r="D244" s="77" t="s">
        <v>628</v>
      </c>
      <c r="E244" s="84" t="s">
        <v>629</v>
      </c>
      <c r="F244" s="79" t="s">
        <v>145</v>
      </c>
      <c r="G244" s="79"/>
      <c r="H244" s="79" t="s">
        <v>12</v>
      </c>
      <c r="I244" s="79" t="s">
        <v>148</v>
      </c>
      <c r="J244" s="69" t="s">
        <v>31</v>
      </c>
    </row>
    <row r="245" spans="1:18" ht="28" x14ac:dyDescent="0.2">
      <c r="A245" s="75">
        <f t="shared" si="3"/>
        <v>0</v>
      </c>
      <c r="B245" s="76" t="s">
        <v>32</v>
      </c>
      <c r="C245" s="77">
        <v>45536</v>
      </c>
      <c r="D245" s="77" t="s">
        <v>630</v>
      </c>
      <c r="E245" s="84" t="s">
        <v>631</v>
      </c>
      <c r="F245" s="79" t="s">
        <v>145</v>
      </c>
      <c r="G245" s="79"/>
      <c r="H245" s="79" t="s">
        <v>12</v>
      </c>
      <c r="I245" s="79" t="s">
        <v>148</v>
      </c>
      <c r="J245" s="69" t="s">
        <v>31</v>
      </c>
    </row>
    <row r="246" spans="1:18" ht="28" x14ac:dyDescent="0.2">
      <c r="A246" s="75">
        <f t="shared" si="3"/>
        <v>0</v>
      </c>
      <c r="B246" s="76" t="s">
        <v>32</v>
      </c>
      <c r="C246" s="77">
        <v>45536</v>
      </c>
      <c r="D246" s="77" t="s">
        <v>632</v>
      </c>
      <c r="E246" s="84" t="s">
        <v>633</v>
      </c>
      <c r="F246" s="79" t="s">
        <v>145</v>
      </c>
      <c r="G246" s="79"/>
      <c r="H246" s="79" t="s">
        <v>12</v>
      </c>
      <c r="I246" s="79" t="s">
        <v>148</v>
      </c>
      <c r="J246" s="69" t="s">
        <v>31</v>
      </c>
    </row>
    <row r="247" spans="1:18" ht="15" x14ac:dyDescent="0.2">
      <c r="A247" s="75">
        <f t="shared" si="3"/>
        <v>0</v>
      </c>
      <c r="B247" s="76" t="s">
        <v>32</v>
      </c>
      <c r="C247" s="77">
        <v>45078</v>
      </c>
      <c r="D247" s="77" t="s">
        <v>634</v>
      </c>
      <c r="E247" s="78" t="s">
        <v>109</v>
      </c>
      <c r="F247" s="79" t="s">
        <v>145</v>
      </c>
      <c r="G247" s="79"/>
      <c r="H247" s="79" t="s">
        <v>2</v>
      </c>
      <c r="I247" s="79" t="s">
        <v>171</v>
      </c>
      <c r="J247" s="69" t="s">
        <v>31</v>
      </c>
      <c r="K247" s="69" t="s">
        <v>212</v>
      </c>
      <c r="L247" s="69" t="s">
        <v>212</v>
      </c>
      <c r="M247" s="69" t="s">
        <v>212</v>
      </c>
      <c r="N247" s="69" t="s">
        <v>212</v>
      </c>
      <c r="O247" s="69" t="str">
        <f>IF(OR(ISERROR(VLOOKUP($E247,'Summary-Fundraise'!$A$3:$L$76,O$2,FALSE)),0),"",VLOOKUP($E247,'Summary-Fundraise'!$A$3:$L$76,O$2,FALSE))</f>
        <v/>
      </c>
      <c r="Q247" s="102"/>
      <c r="R247" s="102" t="s">
        <v>212</v>
      </c>
    </row>
    <row r="248" spans="1:18" ht="28" x14ac:dyDescent="0.2">
      <c r="A248" s="75">
        <f t="shared" si="3"/>
        <v>0</v>
      </c>
      <c r="B248" s="76" t="s">
        <v>32</v>
      </c>
      <c r="C248" s="77">
        <v>45536</v>
      </c>
      <c r="D248" s="77" t="s">
        <v>635</v>
      </c>
      <c r="E248" s="84" t="s">
        <v>636</v>
      </c>
      <c r="F248" s="79" t="s">
        <v>145</v>
      </c>
      <c r="G248" s="79"/>
      <c r="H248" s="79" t="s">
        <v>12</v>
      </c>
      <c r="I248" s="79" t="s">
        <v>148</v>
      </c>
      <c r="J248" s="69" t="s">
        <v>31</v>
      </c>
    </row>
    <row r="249" spans="1:18" ht="30" x14ac:dyDescent="0.2">
      <c r="A249" s="75">
        <f t="shared" si="3"/>
        <v>0</v>
      </c>
      <c r="B249" s="76" t="s">
        <v>32</v>
      </c>
      <c r="C249" s="77">
        <v>45536</v>
      </c>
      <c r="D249" s="77" t="s">
        <v>637</v>
      </c>
      <c r="E249" s="84" t="s">
        <v>638</v>
      </c>
      <c r="F249" s="79" t="s">
        <v>145</v>
      </c>
      <c r="G249" s="79"/>
      <c r="H249" s="79" t="s">
        <v>12</v>
      </c>
      <c r="I249" s="79" t="s">
        <v>148</v>
      </c>
      <c r="J249" s="69" t="s">
        <v>31</v>
      </c>
    </row>
    <row r="250" spans="1:18" ht="28" x14ac:dyDescent="0.2">
      <c r="A250" s="75">
        <f t="shared" si="3"/>
        <v>0</v>
      </c>
      <c r="B250" s="76" t="s">
        <v>32</v>
      </c>
      <c r="C250" s="77">
        <v>45536</v>
      </c>
      <c r="D250" s="77" t="s">
        <v>639</v>
      </c>
      <c r="E250" s="84" t="s">
        <v>640</v>
      </c>
      <c r="F250" s="79" t="s">
        <v>145</v>
      </c>
      <c r="G250" s="79"/>
      <c r="H250" s="79" t="s">
        <v>12</v>
      </c>
      <c r="I250" s="79" t="s">
        <v>148</v>
      </c>
      <c r="J250" s="69" t="s">
        <v>31</v>
      </c>
    </row>
    <row r="251" spans="1:18" ht="15" x14ac:dyDescent="0.2">
      <c r="A251" s="75">
        <f t="shared" si="3"/>
        <v>0</v>
      </c>
      <c r="B251" s="76" t="s">
        <v>32</v>
      </c>
      <c r="C251" s="77">
        <v>45536</v>
      </c>
      <c r="D251" s="77" t="s">
        <v>641</v>
      </c>
      <c r="E251" s="84" t="s">
        <v>642</v>
      </c>
      <c r="F251" s="79" t="s">
        <v>145</v>
      </c>
      <c r="G251" s="79"/>
      <c r="H251" s="79" t="s">
        <v>256</v>
      </c>
      <c r="I251" s="79" t="s">
        <v>148</v>
      </c>
      <c r="J251" s="69" t="s">
        <v>31</v>
      </c>
    </row>
    <row r="252" spans="1:18" ht="28" x14ac:dyDescent="0.2">
      <c r="A252" s="75">
        <f t="shared" si="3"/>
        <v>0</v>
      </c>
      <c r="B252" s="76" t="s">
        <v>32</v>
      </c>
      <c r="C252" s="77">
        <v>45536</v>
      </c>
      <c r="D252" s="77" t="s">
        <v>643</v>
      </c>
      <c r="E252" s="84" t="s">
        <v>644</v>
      </c>
      <c r="F252" s="79" t="s">
        <v>145</v>
      </c>
      <c r="G252" s="79"/>
      <c r="H252" s="79" t="s">
        <v>12</v>
      </c>
      <c r="I252" s="79" t="s">
        <v>148</v>
      </c>
      <c r="J252" s="69" t="s">
        <v>31</v>
      </c>
    </row>
    <row r="253" spans="1:18" ht="30" x14ac:dyDescent="0.2">
      <c r="A253" s="75">
        <f t="shared" si="3"/>
        <v>0</v>
      </c>
      <c r="B253" s="76" t="s">
        <v>32</v>
      </c>
      <c r="C253" s="77">
        <v>45536</v>
      </c>
      <c r="D253" s="77" t="s">
        <v>645</v>
      </c>
      <c r="E253" s="84" t="s">
        <v>646</v>
      </c>
      <c r="F253" s="79" t="s">
        <v>145</v>
      </c>
      <c r="G253" s="79"/>
      <c r="H253" s="79" t="s">
        <v>12</v>
      </c>
      <c r="I253" s="79" t="s">
        <v>148</v>
      </c>
      <c r="J253" s="69" t="s">
        <v>31</v>
      </c>
    </row>
    <row r="254" spans="1:18" ht="30" x14ac:dyDescent="0.2">
      <c r="A254" s="75">
        <f t="shared" si="3"/>
        <v>0</v>
      </c>
      <c r="B254" s="76" t="s">
        <v>32</v>
      </c>
      <c r="C254" s="77">
        <v>45536</v>
      </c>
      <c r="D254" s="77" t="s">
        <v>647</v>
      </c>
      <c r="E254" s="84" t="s">
        <v>648</v>
      </c>
      <c r="F254" s="79" t="s">
        <v>145</v>
      </c>
      <c r="G254" s="79"/>
      <c r="H254" s="79" t="s">
        <v>12</v>
      </c>
      <c r="I254" s="79" t="s">
        <v>148</v>
      </c>
      <c r="J254" s="69" t="s">
        <v>31</v>
      </c>
    </row>
    <row r="255" spans="1:18" ht="28" x14ac:dyDescent="0.2">
      <c r="A255" s="75">
        <f t="shared" si="3"/>
        <v>0</v>
      </c>
      <c r="B255" s="76" t="s">
        <v>32</v>
      </c>
      <c r="C255" s="77">
        <v>45536</v>
      </c>
      <c r="D255" s="77" t="s">
        <v>649</v>
      </c>
      <c r="E255" s="84" t="s">
        <v>650</v>
      </c>
      <c r="F255" s="79" t="s">
        <v>145</v>
      </c>
      <c r="G255" s="79"/>
      <c r="H255" s="79" t="s">
        <v>12</v>
      </c>
      <c r="I255" s="79" t="s">
        <v>148</v>
      </c>
      <c r="J255" s="69" t="s">
        <v>31</v>
      </c>
    </row>
    <row r="256" spans="1:18" ht="30" x14ac:dyDescent="0.2">
      <c r="A256" s="75">
        <f t="shared" si="3"/>
        <v>0</v>
      </c>
      <c r="B256" s="76" t="s">
        <v>32</v>
      </c>
      <c r="C256" s="77">
        <v>45536</v>
      </c>
      <c r="D256" s="77" t="s">
        <v>651</v>
      </c>
      <c r="E256" s="84" t="s">
        <v>652</v>
      </c>
      <c r="F256" s="79" t="s">
        <v>145</v>
      </c>
      <c r="G256" s="79"/>
      <c r="H256" s="79" t="s">
        <v>12</v>
      </c>
      <c r="I256" s="79" t="s">
        <v>148</v>
      </c>
      <c r="J256" s="69" t="s">
        <v>31</v>
      </c>
    </row>
    <row r="257" spans="1:10" ht="28" x14ac:dyDescent="0.2">
      <c r="A257" s="75">
        <f t="shared" si="3"/>
        <v>0</v>
      </c>
      <c r="B257" s="76" t="s">
        <v>32</v>
      </c>
      <c r="C257" s="77">
        <v>45536</v>
      </c>
      <c r="D257" s="77" t="s">
        <v>653</v>
      </c>
      <c r="E257" s="84" t="s">
        <v>654</v>
      </c>
      <c r="F257" s="79" t="s">
        <v>145</v>
      </c>
      <c r="G257" s="79"/>
      <c r="H257" s="79" t="s">
        <v>12</v>
      </c>
      <c r="I257" s="79" t="s">
        <v>148</v>
      </c>
      <c r="J257" s="69" t="s">
        <v>31</v>
      </c>
    </row>
    <row r="258" spans="1:10" ht="30" x14ac:dyDescent="0.2">
      <c r="A258" s="75">
        <f t="shared" si="3"/>
        <v>0</v>
      </c>
      <c r="B258" s="76" t="s">
        <v>32</v>
      </c>
      <c r="C258" s="77">
        <v>45536</v>
      </c>
      <c r="D258" s="77" t="s">
        <v>655</v>
      </c>
      <c r="E258" s="84" t="s">
        <v>656</v>
      </c>
      <c r="F258" s="79" t="s">
        <v>145</v>
      </c>
      <c r="G258" s="79"/>
      <c r="H258" s="79" t="s">
        <v>12</v>
      </c>
      <c r="I258" s="79" t="s">
        <v>148</v>
      </c>
      <c r="J258" s="69" t="s">
        <v>31</v>
      </c>
    </row>
    <row r="259" spans="1:10" ht="28" x14ac:dyDescent="0.2">
      <c r="A259" s="75">
        <f t="shared" si="3"/>
        <v>0</v>
      </c>
      <c r="B259" s="76" t="s">
        <v>32</v>
      </c>
      <c r="C259" s="77">
        <v>45536</v>
      </c>
      <c r="D259" s="77" t="s">
        <v>657</v>
      </c>
      <c r="E259" s="84" t="s">
        <v>658</v>
      </c>
      <c r="F259" s="79" t="s">
        <v>145</v>
      </c>
      <c r="G259" s="79"/>
      <c r="H259" s="79" t="s">
        <v>12</v>
      </c>
      <c r="I259" s="79" t="s">
        <v>148</v>
      </c>
      <c r="J259" s="69" t="s">
        <v>31</v>
      </c>
    </row>
    <row r="260" spans="1:10" ht="28" x14ac:dyDescent="0.2">
      <c r="A260" s="75">
        <f t="shared" ref="A260:A323" si="4">IF(E260="",-1,IF(COUNTIF(J260:O260,"yes")=0,0,COUNTIF(J260:O260,"yes")))</f>
        <v>0</v>
      </c>
      <c r="B260" s="76" t="s">
        <v>32</v>
      </c>
      <c r="C260" s="77">
        <v>45536</v>
      </c>
      <c r="D260" s="77" t="str">
        <f>IF(B260="","","ORG 0"&amp;(ROW()-ROW($A$3)-1))</f>
        <v>ORG 0256</v>
      </c>
      <c r="E260" s="77" t="s">
        <v>659</v>
      </c>
      <c r="F260" s="79" t="s">
        <v>145</v>
      </c>
      <c r="G260" s="79"/>
      <c r="H260" s="79" t="s">
        <v>12</v>
      </c>
      <c r="I260" s="79" t="s">
        <v>148</v>
      </c>
      <c r="J260" s="69" t="s">
        <v>31</v>
      </c>
    </row>
    <row r="261" spans="1:10" ht="30" x14ac:dyDescent="0.2">
      <c r="A261" s="75">
        <f t="shared" si="4"/>
        <v>0</v>
      </c>
      <c r="B261" s="76" t="s">
        <v>32</v>
      </c>
      <c r="C261" s="77">
        <v>45536</v>
      </c>
      <c r="D261" s="77" t="s">
        <v>660</v>
      </c>
      <c r="E261" s="84" t="s">
        <v>661</v>
      </c>
      <c r="F261" s="79" t="s">
        <v>145</v>
      </c>
      <c r="G261" s="79"/>
      <c r="H261" s="79" t="s">
        <v>12</v>
      </c>
      <c r="I261" s="79" t="s">
        <v>148</v>
      </c>
      <c r="J261" s="69" t="s">
        <v>31</v>
      </c>
    </row>
    <row r="262" spans="1:10" ht="28" x14ac:dyDescent="0.2">
      <c r="A262" s="75">
        <f t="shared" si="4"/>
        <v>0</v>
      </c>
      <c r="B262" s="76" t="s">
        <v>32</v>
      </c>
      <c r="C262" s="77">
        <v>45536</v>
      </c>
      <c r="D262" s="77" t="s">
        <v>662</v>
      </c>
      <c r="E262" s="84" t="s">
        <v>663</v>
      </c>
      <c r="F262" s="79" t="s">
        <v>145</v>
      </c>
      <c r="G262" s="79"/>
      <c r="H262" s="79" t="s">
        <v>12</v>
      </c>
      <c r="I262" s="79" t="s">
        <v>148</v>
      </c>
      <c r="J262" s="69" t="s">
        <v>31</v>
      </c>
    </row>
    <row r="263" spans="1:10" ht="30" x14ac:dyDescent="0.2">
      <c r="A263" s="75">
        <f t="shared" si="4"/>
        <v>0</v>
      </c>
      <c r="B263" s="76" t="s">
        <v>32</v>
      </c>
      <c r="C263" s="77">
        <v>45536</v>
      </c>
      <c r="D263" s="77" t="s">
        <v>664</v>
      </c>
      <c r="E263" s="84" t="s">
        <v>665</v>
      </c>
      <c r="F263" s="79" t="s">
        <v>145</v>
      </c>
      <c r="G263" s="79"/>
      <c r="H263" s="79" t="s">
        <v>12</v>
      </c>
      <c r="I263" s="79" t="s">
        <v>148</v>
      </c>
      <c r="J263" s="69" t="s">
        <v>31</v>
      </c>
    </row>
    <row r="264" spans="1:10" ht="28" x14ac:dyDescent="0.2">
      <c r="A264" s="75">
        <f t="shared" si="4"/>
        <v>0</v>
      </c>
      <c r="B264" s="76" t="s">
        <v>32</v>
      </c>
      <c r="C264" s="77">
        <v>45536</v>
      </c>
      <c r="D264" s="77" t="s">
        <v>666</v>
      </c>
      <c r="E264" s="84" t="s">
        <v>667</v>
      </c>
      <c r="F264" s="79" t="s">
        <v>145</v>
      </c>
      <c r="G264" s="79"/>
      <c r="H264" s="79" t="s">
        <v>12</v>
      </c>
      <c r="I264" s="79" t="s">
        <v>148</v>
      </c>
      <c r="J264" s="69" t="s">
        <v>31</v>
      </c>
    </row>
    <row r="265" spans="1:10" ht="30" x14ac:dyDescent="0.2">
      <c r="A265" s="75">
        <f t="shared" si="4"/>
        <v>0</v>
      </c>
      <c r="B265" s="76" t="s">
        <v>32</v>
      </c>
      <c r="C265" s="77">
        <v>45536</v>
      </c>
      <c r="D265" s="77" t="s">
        <v>668</v>
      </c>
      <c r="E265" s="84" t="s">
        <v>669</v>
      </c>
      <c r="F265" s="79" t="s">
        <v>145</v>
      </c>
      <c r="G265" s="79"/>
      <c r="H265" s="79" t="s">
        <v>12</v>
      </c>
      <c r="I265" s="79" t="s">
        <v>148</v>
      </c>
      <c r="J265" s="69" t="s">
        <v>31</v>
      </c>
    </row>
    <row r="266" spans="1:10" ht="28" x14ac:dyDescent="0.2">
      <c r="A266" s="75">
        <f t="shared" si="4"/>
        <v>0</v>
      </c>
      <c r="B266" s="76" t="s">
        <v>32</v>
      </c>
      <c r="C266" s="77">
        <v>45536</v>
      </c>
      <c r="D266" s="77" t="s">
        <v>670</v>
      </c>
      <c r="E266" s="84" t="s">
        <v>671</v>
      </c>
      <c r="F266" s="79" t="s">
        <v>145</v>
      </c>
      <c r="G266" s="79"/>
      <c r="H266" s="79" t="s">
        <v>12</v>
      </c>
      <c r="I266" s="79" t="s">
        <v>148</v>
      </c>
      <c r="J266" s="69" t="s">
        <v>31</v>
      </c>
    </row>
    <row r="267" spans="1:10" ht="30" x14ac:dyDescent="0.2">
      <c r="A267" s="75">
        <f t="shared" si="4"/>
        <v>0</v>
      </c>
      <c r="B267" s="76" t="s">
        <v>32</v>
      </c>
      <c r="C267" s="77">
        <v>45536</v>
      </c>
      <c r="D267" s="77" t="s">
        <v>672</v>
      </c>
      <c r="E267" s="84" t="s">
        <v>673</v>
      </c>
      <c r="F267" s="79" t="s">
        <v>145</v>
      </c>
      <c r="G267" s="79"/>
      <c r="H267" s="79" t="s">
        <v>12</v>
      </c>
      <c r="I267" s="79" t="s">
        <v>148</v>
      </c>
      <c r="J267" s="69" t="s">
        <v>31</v>
      </c>
    </row>
    <row r="268" spans="1:10" ht="28" x14ac:dyDescent="0.2">
      <c r="A268" s="75">
        <f t="shared" si="4"/>
        <v>0</v>
      </c>
      <c r="B268" s="76" t="s">
        <v>32</v>
      </c>
      <c r="C268" s="77">
        <v>45536</v>
      </c>
      <c r="D268" s="77" t="s">
        <v>674</v>
      </c>
      <c r="E268" s="84" t="s">
        <v>675</v>
      </c>
      <c r="F268" s="79" t="s">
        <v>145</v>
      </c>
      <c r="G268" s="79"/>
      <c r="H268" s="79" t="s">
        <v>12</v>
      </c>
      <c r="I268" s="79" t="s">
        <v>148</v>
      </c>
      <c r="J268" s="69" t="s">
        <v>31</v>
      </c>
    </row>
    <row r="269" spans="1:10" ht="28" x14ac:dyDescent="0.2">
      <c r="A269" s="75">
        <f t="shared" si="4"/>
        <v>0</v>
      </c>
      <c r="B269" s="76" t="s">
        <v>32</v>
      </c>
      <c r="C269" s="77">
        <v>45536</v>
      </c>
      <c r="D269" s="77" t="s">
        <v>676</v>
      </c>
      <c r="E269" s="84" t="s">
        <v>677</v>
      </c>
      <c r="F269" s="79" t="s">
        <v>145</v>
      </c>
      <c r="G269" s="79"/>
      <c r="H269" s="79" t="s">
        <v>12</v>
      </c>
      <c r="I269" s="79" t="s">
        <v>148</v>
      </c>
      <c r="J269" s="69" t="s">
        <v>31</v>
      </c>
    </row>
    <row r="270" spans="1:10" ht="28" x14ac:dyDescent="0.2">
      <c r="A270" s="75">
        <f t="shared" si="4"/>
        <v>0</v>
      </c>
      <c r="B270" s="76" t="s">
        <v>32</v>
      </c>
      <c r="C270" s="77">
        <v>45536</v>
      </c>
      <c r="D270" s="77" t="s">
        <v>678</v>
      </c>
      <c r="E270" s="84" t="s">
        <v>679</v>
      </c>
      <c r="F270" s="79" t="s">
        <v>145</v>
      </c>
      <c r="G270" s="79"/>
      <c r="H270" s="79" t="s">
        <v>12</v>
      </c>
      <c r="I270" s="79" t="s">
        <v>148</v>
      </c>
      <c r="J270" s="69" t="s">
        <v>31</v>
      </c>
    </row>
    <row r="271" spans="1:10" ht="28" x14ac:dyDescent="0.2">
      <c r="A271" s="75">
        <f t="shared" si="4"/>
        <v>0</v>
      </c>
      <c r="B271" s="76" t="s">
        <v>32</v>
      </c>
      <c r="C271" s="77">
        <v>45536</v>
      </c>
      <c r="D271" s="77" t="s">
        <v>680</v>
      </c>
      <c r="E271" s="84" t="s">
        <v>681</v>
      </c>
      <c r="F271" s="79" t="s">
        <v>145</v>
      </c>
      <c r="G271" s="79"/>
      <c r="H271" s="79" t="s">
        <v>12</v>
      </c>
      <c r="I271" s="79" t="s">
        <v>148</v>
      </c>
      <c r="J271" s="69" t="s">
        <v>31</v>
      </c>
    </row>
    <row r="272" spans="1:10" ht="28" x14ac:dyDescent="0.2">
      <c r="A272" s="75">
        <f t="shared" si="4"/>
        <v>0</v>
      </c>
      <c r="B272" s="76" t="s">
        <v>32</v>
      </c>
      <c r="C272" s="77">
        <v>45536</v>
      </c>
      <c r="D272" s="77" t="s">
        <v>682</v>
      </c>
      <c r="E272" s="84" t="s">
        <v>683</v>
      </c>
      <c r="F272" s="79" t="s">
        <v>145</v>
      </c>
      <c r="G272" s="79"/>
      <c r="H272" s="79" t="s">
        <v>12</v>
      </c>
      <c r="I272" s="79" t="s">
        <v>148</v>
      </c>
      <c r="J272" s="69" t="s">
        <v>31</v>
      </c>
    </row>
    <row r="273" spans="1:18" ht="28" x14ac:dyDescent="0.2">
      <c r="A273" s="75">
        <f t="shared" si="4"/>
        <v>0</v>
      </c>
      <c r="B273" s="76" t="s">
        <v>32</v>
      </c>
      <c r="C273" s="77">
        <v>45536</v>
      </c>
      <c r="D273" s="77" t="s">
        <v>684</v>
      </c>
      <c r="E273" s="84" t="s">
        <v>685</v>
      </c>
      <c r="F273" s="79" t="s">
        <v>145</v>
      </c>
      <c r="G273" s="79"/>
      <c r="H273" s="79" t="s">
        <v>12</v>
      </c>
      <c r="I273" s="79" t="s">
        <v>148</v>
      </c>
      <c r="J273" s="69" t="s">
        <v>31</v>
      </c>
    </row>
    <row r="274" spans="1:18" ht="30" x14ac:dyDescent="0.2">
      <c r="A274" s="75">
        <f t="shared" si="4"/>
        <v>0</v>
      </c>
      <c r="B274" s="76" t="s">
        <v>32</v>
      </c>
      <c r="C274" s="77">
        <v>45536</v>
      </c>
      <c r="D274" s="77" t="s">
        <v>686</v>
      </c>
      <c r="E274" s="84" t="s">
        <v>687</v>
      </c>
      <c r="F274" s="79" t="s">
        <v>145</v>
      </c>
      <c r="G274" s="79"/>
      <c r="H274" s="79" t="s">
        <v>12</v>
      </c>
      <c r="I274" s="79" t="s">
        <v>148</v>
      </c>
      <c r="J274" s="69" t="s">
        <v>31</v>
      </c>
    </row>
    <row r="275" spans="1:18" ht="28" x14ac:dyDescent="0.2">
      <c r="A275" s="75">
        <f t="shared" si="4"/>
        <v>0</v>
      </c>
      <c r="B275" s="76" t="s">
        <v>32</v>
      </c>
      <c r="C275" s="77">
        <v>45536</v>
      </c>
      <c r="D275" s="77" t="s">
        <v>688</v>
      </c>
      <c r="E275" s="84" t="s">
        <v>689</v>
      </c>
      <c r="F275" s="79" t="s">
        <v>145</v>
      </c>
      <c r="G275" s="79"/>
      <c r="H275" s="79" t="s">
        <v>12</v>
      </c>
      <c r="I275" s="79" t="s">
        <v>148</v>
      </c>
      <c r="J275" s="69" t="s">
        <v>31</v>
      </c>
    </row>
    <row r="276" spans="1:18" ht="28" x14ac:dyDescent="0.2">
      <c r="A276" s="75">
        <f t="shared" si="4"/>
        <v>0</v>
      </c>
      <c r="B276" s="76" t="s">
        <v>32</v>
      </c>
      <c r="C276" s="77">
        <v>45536</v>
      </c>
      <c r="D276" s="77" t="s">
        <v>690</v>
      </c>
      <c r="E276" s="84" t="s">
        <v>691</v>
      </c>
      <c r="F276" s="79" t="s">
        <v>145</v>
      </c>
      <c r="G276" s="79"/>
      <c r="H276" s="79" t="s">
        <v>12</v>
      </c>
      <c r="I276" s="79" t="s">
        <v>148</v>
      </c>
      <c r="J276" s="69" t="s">
        <v>31</v>
      </c>
    </row>
    <row r="277" spans="1:18" ht="30" x14ac:dyDescent="0.2">
      <c r="A277" s="75">
        <f t="shared" si="4"/>
        <v>0</v>
      </c>
      <c r="B277" s="76" t="s">
        <v>32</v>
      </c>
      <c r="C277" s="77">
        <v>45536</v>
      </c>
      <c r="D277" s="77" t="s">
        <v>692</v>
      </c>
      <c r="E277" s="84" t="s">
        <v>693</v>
      </c>
      <c r="F277" s="79" t="s">
        <v>145</v>
      </c>
      <c r="G277" s="79"/>
      <c r="H277" s="79" t="s">
        <v>12</v>
      </c>
      <c r="I277" s="79" t="s">
        <v>148</v>
      </c>
      <c r="J277" s="69" t="s">
        <v>31</v>
      </c>
    </row>
    <row r="278" spans="1:18" ht="28" x14ac:dyDescent="0.2">
      <c r="A278" s="75">
        <f t="shared" si="4"/>
        <v>0</v>
      </c>
      <c r="B278" s="76" t="s">
        <v>32</v>
      </c>
      <c r="C278" s="77">
        <v>45536</v>
      </c>
      <c r="D278" s="77" t="s">
        <v>694</v>
      </c>
      <c r="E278" s="84" t="s">
        <v>695</v>
      </c>
      <c r="F278" s="79" t="s">
        <v>145</v>
      </c>
      <c r="G278" s="79"/>
      <c r="H278" s="79" t="s">
        <v>12</v>
      </c>
      <c r="I278" s="79" t="s">
        <v>148</v>
      </c>
      <c r="J278" s="69" t="s">
        <v>31</v>
      </c>
    </row>
    <row r="279" spans="1:18" ht="28" x14ac:dyDescent="0.2">
      <c r="A279" s="75">
        <f t="shared" si="4"/>
        <v>0</v>
      </c>
      <c r="B279" s="76" t="s">
        <v>32</v>
      </c>
      <c r="C279" s="77">
        <v>45536</v>
      </c>
      <c r="D279" s="77" t="s">
        <v>696</v>
      </c>
      <c r="E279" s="84" t="s">
        <v>697</v>
      </c>
      <c r="F279" s="79" t="s">
        <v>145</v>
      </c>
      <c r="G279" s="79"/>
      <c r="H279" s="79" t="s">
        <v>12</v>
      </c>
      <c r="I279" s="79" t="s">
        <v>148</v>
      </c>
      <c r="J279" s="69" t="s">
        <v>31</v>
      </c>
    </row>
    <row r="280" spans="1:18" ht="30" x14ac:dyDescent="0.2">
      <c r="A280" s="75">
        <f t="shared" si="4"/>
        <v>0</v>
      </c>
      <c r="B280" s="76" t="s">
        <v>32</v>
      </c>
      <c r="C280" s="77">
        <v>45536</v>
      </c>
      <c r="D280" s="77" t="s">
        <v>698</v>
      </c>
      <c r="E280" s="84" t="s">
        <v>699</v>
      </c>
      <c r="F280" s="79" t="s">
        <v>145</v>
      </c>
      <c r="G280" s="79"/>
      <c r="H280" s="79" t="s">
        <v>12</v>
      </c>
      <c r="I280" s="79" t="s">
        <v>148</v>
      </c>
      <c r="J280" s="69" t="s">
        <v>31</v>
      </c>
    </row>
    <row r="281" spans="1:18" ht="30" x14ac:dyDescent="0.2">
      <c r="A281" s="75">
        <f t="shared" si="4"/>
        <v>0</v>
      </c>
      <c r="B281" s="76" t="s">
        <v>32</v>
      </c>
      <c r="C281" s="77">
        <v>45536</v>
      </c>
      <c r="D281" s="77" t="s">
        <v>700</v>
      </c>
      <c r="E281" s="84" t="s">
        <v>701</v>
      </c>
      <c r="F281" s="79" t="s">
        <v>145</v>
      </c>
      <c r="G281" s="79"/>
      <c r="H281" s="79" t="s">
        <v>12</v>
      </c>
      <c r="I281" s="79" t="s">
        <v>148</v>
      </c>
      <c r="J281" s="69" t="s">
        <v>31</v>
      </c>
    </row>
    <row r="282" spans="1:18" ht="30" x14ac:dyDescent="0.2">
      <c r="A282" s="75">
        <f t="shared" si="4"/>
        <v>0</v>
      </c>
      <c r="B282" s="76" t="s">
        <v>32</v>
      </c>
      <c r="C282" s="77">
        <v>45536</v>
      </c>
      <c r="D282" s="77" t="s">
        <v>702</v>
      </c>
      <c r="E282" s="84" t="s">
        <v>703</v>
      </c>
      <c r="F282" s="79" t="s">
        <v>145</v>
      </c>
      <c r="G282" s="79"/>
      <c r="H282" s="79" t="s">
        <v>12</v>
      </c>
      <c r="I282" s="79" t="s">
        <v>148</v>
      </c>
      <c r="J282" s="69" t="s">
        <v>31</v>
      </c>
    </row>
    <row r="283" spans="1:18" ht="30" x14ac:dyDescent="0.2">
      <c r="A283" s="75">
        <f t="shared" si="4"/>
        <v>0</v>
      </c>
      <c r="B283" s="76" t="s">
        <v>32</v>
      </c>
      <c r="C283" s="77">
        <v>45536</v>
      </c>
      <c r="D283" s="77" t="s">
        <v>704</v>
      </c>
      <c r="E283" s="84" t="s">
        <v>705</v>
      </c>
      <c r="F283" s="79" t="s">
        <v>145</v>
      </c>
      <c r="G283" s="79"/>
      <c r="H283" s="79" t="s">
        <v>12</v>
      </c>
      <c r="I283" s="79" t="s">
        <v>148</v>
      </c>
      <c r="J283" s="69" t="s">
        <v>31</v>
      </c>
    </row>
    <row r="284" spans="1:18" ht="28" x14ac:dyDescent="0.2">
      <c r="A284" s="75">
        <f t="shared" si="4"/>
        <v>0</v>
      </c>
      <c r="B284" s="76" t="s">
        <v>32</v>
      </c>
      <c r="C284" s="77">
        <v>45536</v>
      </c>
      <c r="D284" s="77" t="s">
        <v>706</v>
      </c>
      <c r="E284" s="84" t="s">
        <v>707</v>
      </c>
      <c r="F284" s="79" t="s">
        <v>145</v>
      </c>
      <c r="G284" s="79"/>
      <c r="H284" s="79" t="s">
        <v>12</v>
      </c>
      <c r="I284" s="79" t="s">
        <v>148</v>
      </c>
      <c r="J284" s="69" t="s">
        <v>31</v>
      </c>
    </row>
    <row r="285" spans="1:18" ht="28" x14ac:dyDescent="0.2">
      <c r="A285" s="75">
        <f t="shared" si="4"/>
        <v>0</v>
      </c>
      <c r="B285" s="76" t="s">
        <v>32</v>
      </c>
      <c r="C285" s="77">
        <v>45078</v>
      </c>
      <c r="D285" s="77" t="s">
        <v>708</v>
      </c>
      <c r="E285" s="78" t="s">
        <v>118</v>
      </c>
      <c r="F285" s="79" t="s">
        <v>145</v>
      </c>
      <c r="G285" s="79"/>
      <c r="H285" s="79" t="s">
        <v>12</v>
      </c>
      <c r="I285" s="79" t="s">
        <v>171</v>
      </c>
      <c r="J285" s="69" t="s">
        <v>31</v>
      </c>
      <c r="K285" s="69" t="s">
        <v>212</v>
      </c>
      <c r="L285" s="69" t="s">
        <v>212</v>
      </c>
      <c r="M285" s="69" t="s">
        <v>212</v>
      </c>
      <c r="N285" s="69" t="s">
        <v>212</v>
      </c>
      <c r="O285" s="69" t="str">
        <f>IF(OR(ISERROR(VLOOKUP($E285,'Summary-Fundraise'!$A$3:$L$76,O$2,FALSE)),0),"",VLOOKUP($E285,'Summary-Fundraise'!$A$3:$L$76,O$2,FALSE))</f>
        <v/>
      </c>
      <c r="Q285" s="102"/>
      <c r="R285" s="102" t="s">
        <v>212</v>
      </c>
    </row>
    <row r="286" spans="1:18" ht="28" x14ac:dyDescent="0.2">
      <c r="A286" s="75">
        <f t="shared" si="4"/>
        <v>0</v>
      </c>
      <c r="B286" s="76" t="s">
        <v>32</v>
      </c>
      <c r="C286" s="77">
        <v>45536</v>
      </c>
      <c r="D286" s="77" t="s">
        <v>709</v>
      </c>
      <c r="E286" s="84" t="s">
        <v>710</v>
      </c>
      <c r="F286" s="79" t="s">
        <v>145</v>
      </c>
      <c r="G286" s="79"/>
      <c r="H286" s="79" t="s">
        <v>12</v>
      </c>
      <c r="I286" s="79" t="s">
        <v>148</v>
      </c>
      <c r="J286" s="69" t="s">
        <v>31</v>
      </c>
    </row>
    <row r="287" spans="1:18" ht="28" x14ac:dyDescent="0.2">
      <c r="A287" s="75">
        <f t="shared" si="4"/>
        <v>0</v>
      </c>
      <c r="B287" s="76" t="s">
        <v>32</v>
      </c>
      <c r="C287" s="77">
        <v>45536</v>
      </c>
      <c r="D287" s="77" t="s">
        <v>711</v>
      </c>
      <c r="E287" s="84" t="s">
        <v>712</v>
      </c>
      <c r="F287" s="79" t="s">
        <v>145</v>
      </c>
      <c r="G287" s="79"/>
      <c r="H287" s="79" t="s">
        <v>12</v>
      </c>
      <c r="I287" s="79" t="s">
        <v>148</v>
      </c>
      <c r="J287" s="69" t="s">
        <v>31</v>
      </c>
    </row>
    <row r="288" spans="1:18" ht="28" x14ac:dyDescent="0.2">
      <c r="A288" s="75">
        <f t="shared" si="4"/>
        <v>0</v>
      </c>
      <c r="B288" s="76" t="s">
        <v>32</v>
      </c>
      <c r="C288" s="77">
        <v>45536</v>
      </c>
      <c r="D288" s="77" t="s">
        <v>713</v>
      </c>
      <c r="E288" s="84" t="s">
        <v>714</v>
      </c>
      <c r="F288" s="79" t="s">
        <v>145</v>
      </c>
      <c r="G288" s="79"/>
      <c r="H288" s="79" t="s">
        <v>12</v>
      </c>
      <c r="I288" s="79" t="s">
        <v>148</v>
      </c>
      <c r="J288" s="69" t="s">
        <v>31</v>
      </c>
    </row>
    <row r="289" spans="1:10" ht="28" x14ac:dyDescent="0.2">
      <c r="A289" s="75">
        <f t="shared" si="4"/>
        <v>0</v>
      </c>
      <c r="B289" s="76" t="s">
        <v>32</v>
      </c>
      <c r="C289" s="77">
        <v>45536</v>
      </c>
      <c r="D289" s="77" t="s">
        <v>715</v>
      </c>
      <c r="E289" s="84" t="s">
        <v>716</v>
      </c>
      <c r="F289" s="79" t="s">
        <v>145</v>
      </c>
      <c r="G289" s="79"/>
      <c r="H289" s="79" t="s">
        <v>12</v>
      </c>
      <c r="I289" s="79" t="s">
        <v>148</v>
      </c>
      <c r="J289" s="69" t="s">
        <v>31</v>
      </c>
    </row>
    <row r="290" spans="1:10" ht="28" x14ac:dyDescent="0.2">
      <c r="A290" s="75">
        <f t="shared" si="4"/>
        <v>0</v>
      </c>
      <c r="B290" s="76" t="s">
        <v>32</v>
      </c>
      <c r="C290" s="77">
        <v>45536</v>
      </c>
      <c r="D290" s="77" t="s">
        <v>717</v>
      </c>
      <c r="E290" s="84" t="s">
        <v>718</v>
      </c>
      <c r="F290" s="79" t="s">
        <v>145</v>
      </c>
      <c r="G290" s="79"/>
      <c r="H290" s="79" t="s">
        <v>12</v>
      </c>
      <c r="I290" s="79" t="s">
        <v>148</v>
      </c>
      <c r="J290" s="69" t="s">
        <v>31</v>
      </c>
    </row>
    <row r="291" spans="1:10" ht="28" x14ac:dyDescent="0.2">
      <c r="A291" s="75">
        <f t="shared" si="4"/>
        <v>0</v>
      </c>
      <c r="B291" s="76" t="s">
        <v>32</v>
      </c>
      <c r="C291" s="77">
        <v>45536</v>
      </c>
      <c r="D291" s="77" t="s">
        <v>719</v>
      </c>
      <c r="E291" s="84" t="s">
        <v>720</v>
      </c>
      <c r="F291" s="79" t="s">
        <v>145</v>
      </c>
      <c r="G291" s="79"/>
      <c r="H291" s="79" t="s">
        <v>12</v>
      </c>
      <c r="I291" s="79" t="s">
        <v>148</v>
      </c>
      <c r="J291" s="69" t="s">
        <v>31</v>
      </c>
    </row>
    <row r="292" spans="1:10" ht="28" x14ac:dyDescent="0.2">
      <c r="A292" s="75">
        <f t="shared" si="4"/>
        <v>0</v>
      </c>
      <c r="B292" s="76" t="s">
        <v>32</v>
      </c>
      <c r="C292" s="77">
        <v>45536</v>
      </c>
      <c r="D292" s="77" t="s">
        <v>721</v>
      </c>
      <c r="E292" s="84" t="s">
        <v>722</v>
      </c>
      <c r="F292" s="79" t="s">
        <v>145</v>
      </c>
      <c r="G292" s="79"/>
      <c r="H292" s="79" t="s">
        <v>12</v>
      </c>
      <c r="I292" s="79" t="s">
        <v>148</v>
      </c>
      <c r="J292" s="69" t="s">
        <v>31</v>
      </c>
    </row>
    <row r="293" spans="1:10" ht="30" x14ac:dyDescent="0.2">
      <c r="A293" s="75">
        <f t="shared" si="4"/>
        <v>0</v>
      </c>
      <c r="B293" s="76" t="s">
        <v>32</v>
      </c>
      <c r="C293" s="77">
        <v>45536</v>
      </c>
      <c r="D293" s="77" t="s">
        <v>723</v>
      </c>
      <c r="E293" s="84" t="s">
        <v>724</v>
      </c>
      <c r="F293" s="79" t="s">
        <v>145</v>
      </c>
      <c r="G293" s="79"/>
      <c r="H293" s="79" t="s">
        <v>12</v>
      </c>
      <c r="I293" s="79" t="s">
        <v>148</v>
      </c>
      <c r="J293" s="69" t="s">
        <v>31</v>
      </c>
    </row>
    <row r="294" spans="1:10" ht="28" x14ac:dyDescent="0.2">
      <c r="A294" s="75">
        <f t="shared" si="4"/>
        <v>0</v>
      </c>
      <c r="B294" s="76" t="s">
        <v>32</v>
      </c>
      <c r="C294" s="77">
        <v>45536</v>
      </c>
      <c r="D294" s="77" t="s">
        <v>725</v>
      </c>
      <c r="E294" s="84" t="s">
        <v>726</v>
      </c>
      <c r="F294" s="79" t="s">
        <v>145</v>
      </c>
      <c r="G294" s="79"/>
      <c r="H294" s="79" t="s">
        <v>12</v>
      </c>
      <c r="I294" s="79" t="s">
        <v>148</v>
      </c>
      <c r="J294" s="69" t="s">
        <v>31</v>
      </c>
    </row>
    <row r="295" spans="1:10" ht="28" x14ac:dyDescent="0.2">
      <c r="A295" s="75">
        <f t="shared" si="4"/>
        <v>0</v>
      </c>
      <c r="B295" s="76" t="s">
        <v>32</v>
      </c>
      <c r="C295" s="77">
        <v>45536</v>
      </c>
      <c r="D295" s="77" t="s">
        <v>727</v>
      </c>
      <c r="E295" s="84" t="s">
        <v>728</v>
      </c>
      <c r="F295" s="79" t="s">
        <v>145</v>
      </c>
      <c r="G295" s="79"/>
      <c r="H295" s="79" t="s">
        <v>12</v>
      </c>
      <c r="I295" s="79" t="s">
        <v>148</v>
      </c>
      <c r="J295" s="69" t="s">
        <v>31</v>
      </c>
    </row>
    <row r="296" spans="1:10" ht="30" x14ac:dyDescent="0.2">
      <c r="A296" s="75">
        <f t="shared" si="4"/>
        <v>0</v>
      </c>
      <c r="B296" s="76" t="s">
        <v>32</v>
      </c>
      <c r="C296" s="77">
        <v>45536</v>
      </c>
      <c r="D296" s="77" t="s">
        <v>729</v>
      </c>
      <c r="E296" s="84" t="s">
        <v>730</v>
      </c>
      <c r="F296" s="79" t="s">
        <v>145</v>
      </c>
      <c r="G296" s="79"/>
      <c r="H296" s="79" t="s">
        <v>12</v>
      </c>
      <c r="I296" s="79" t="s">
        <v>148</v>
      </c>
      <c r="J296" s="69" t="s">
        <v>31</v>
      </c>
    </row>
    <row r="297" spans="1:10" ht="28" x14ac:dyDescent="0.2">
      <c r="A297" s="75">
        <f t="shared" si="4"/>
        <v>0</v>
      </c>
      <c r="B297" s="76" t="s">
        <v>32</v>
      </c>
      <c r="C297" s="77">
        <v>45536</v>
      </c>
      <c r="D297" s="77" t="s">
        <v>731</v>
      </c>
      <c r="E297" s="84" t="s">
        <v>732</v>
      </c>
      <c r="F297" s="79" t="s">
        <v>145</v>
      </c>
      <c r="G297" s="79"/>
      <c r="H297" s="79" t="s">
        <v>12</v>
      </c>
      <c r="I297" s="79" t="s">
        <v>148</v>
      </c>
      <c r="J297" s="69" t="s">
        <v>31</v>
      </c>
    </row>
    <row r="298" spans="1:10" ht="28" x14ac:dyDescent="0.2">
      <c r="A298" s="75">
        <f t="shared" si="4"/>
        <v>0</v>
      </c>
      <c r="B298" s="76" t="s">
        <v>32</v>
      </c>
      <c r="C298" s="77">
        <v>45536</v>
      </c>
      <c r="D298" s="77" t="s">
        <v>733</v>
      </c>
      <c r="E298" s="84" t="s">
        <v>734</v>
      </c>
      <c r="F298" s="79" t="s">
        <v>145</v>
      </c>
      <c r="G298" s="79"/>
      <c r="H298" s="79" t="s">
        <v>12</v>
      </c>
      <c r="I298" s="79" t="s">
        <v>148</v>
      </c>
      <c r="J298" s="69" t="s">
        <v>31</v>
      </c>
    </row>
    <row r="299" spans="1:10" ht="28" x14ac:dyDescent="0.2">
      <c r="A299" s="75">
        <f t="shared" si="4"/>
        <v>0</v>
      </c>
      <c r="B299" s="76" t="s">
        <v>32</v>
      </c>
      <c r="C299" s="77">
        <v>45536</v>
      </c>
      <c r="D299" s="77" t="s">
        <v>735</v>
      </c>
      <c r="E299" s="84" t="s">
        <v>736</v>
      </c>
      <c r="F299" s="79" t="s">
        <v>145</v>
      </c>
      <c r="G299" s="79"/>
      <c r="H299" s="79" t="s">
        <v>12</v>
      </c>
      <c r="I299" s="79" t="s">
        <v>148</v>
      </c>
      <c r="J299" s="69" t="s">
        <v>31</v>
      </c>
    </row>
    <row r="300" spans="1:10" ht="28" x14ac:dyDescent="0.2">
      <c r="A300" s="75">
        <f t="shared" si="4"/>
        <v>0</v>
      </c>
      <c r="B300" s="76" t="s">
        <v>32</v>
      </c>
      <c r="C300" s="77">
        <v>45536</v>
      </c>
      <c r="D300" s="77" t="s">
        <v>737</v>
      </c>
      <c r="E300" s="84" t="s">
        <v>738</v>
      </c>
      <c r="F300" s="79" t="s">
        <v>145</v>
      </c>
      <c r="G300" s="79"/>
      <c r="H300" s="79" t="s">
        <v>12</v>
      </c>
      <c r="I300" s="79" t="s">
        <v>148</v>
      </c>
      <c r="J300" s="69" t="s">
        <v>31</v>
      </c>
    </row>
    <row r="301" spans="1:10" ht="15" x14ac:dyDescent="0.2">
      <c r="A301" s="75">
        <f t="shared" si="4"/>
        <v>0</v>
      </c>
      <c r="B301" s="76" t="s">
        <v>32</v>
      </c>
      <c r="C301" s="77">
        <v>45536</v>
      </c>
      <c r="D301" s="77" t="s">
        <v>739</v>
      </c>
      <c r="E301" s="84" t="s">
        <v>740</v>
      </c>
      <c r="F301" s="79" t="s">
        <v>145</v>
      </c>
      <c r="G301" s="79"/>
      <c r="H301" s="79" t="s">
        <v>188</v>
      </c>
      <c r="I301" s="79" t="s">
        <v>148</v>
      </c>
      <c r="J301" s="69" t="s">
        <v>31</v>
      </c>
    </row>
    <row r="302" spans="1:10" ht="28" x14ac:dyDescent="0.2">
      <c r="A302" s="75">
        <f t="shared" si="4"/>
        <v>0</v>
      </c>
      <c r="B302" s="76" t="s">
        <v>32</v>
      </c>
      <c r="C302" s="77">
        <v>45536</v>
      </c>
      <c r="D302" s="77" t="s">
        <v>741</v>
      </c>
      <c r="E302" s="84" t="s">
        <v>742</v>
      </c>
      <c r="F302" s="79" t="s">
        <v>145</v>
      </c>
      <c r="G302" s="79"/>
      <c r="H302" s="79" t="s">
        <v>12</v>
      </c>
      <c r="I302" s="79" t="s">
        <v>148</v>
      </c>
      <c r="J302" s="69" t="s">
        <v>31</v>
      </c>
    </row>
    <row r="303" spans="1:10" ht="30" x14ac:dyDescent="0.2">
      <c r="A303" s="75">
        <f t="shared" si="4"/>
        <v>0</v>
      </c>
      <c r="B303" s="76" t="s">
        <v>32</v>
      </c>
      <c r="C303" s="77">
        <v>45536</v>
      </c>
      <c r="D303" s="77" t="s">
        <v>743</v>
      </c>
      <c r="E303" s="84" t="s">
        <v>744</v>
      </c>
      <c r="F303" s="79" t="s">
        <v>145</v>
      </c>
      <c r="G303" s="79"/>
      <c r="H303" s="79" t="s">
        <v>225</v>
      </c>
      <c r="I303" s="79" t="s">
        <v>148</v>
      </c>
      <c r="J303" s="69" t="s">
        <v>31</v>
      </c>
    </row>
    <row r="304" spans="1:10" ht="30" x14ac:dyDescent="0.2">
      <c r="A304" s="75">
        <f t="shared" si="4"/>
        <v>0</v>
      </c>
      <c r="B304" s="76" t="s">
        <v>32</v>
      </c>
      <c r="C304" s="77">
        <v>45536</v>
      </c>
      <c r="D304" s="77" t="s">
        <v>745</v>
      </c>
      <c r="E304" s="84" t="s">
        <v>746</v>
      </c>
      <c r="F304" s="79" t="s">
        <v>145</v>
      </c>
      <c r="G304" s="79"/>
      <c r="H304" s="79" t="s">
        <v>12</v>
      </c>
      <c r="I304" s="79" t="s">
        <v>148</v>
      </c>
      <c r="J304" s="69" t="s">
        <v>31</v>
      </c>
    </row>
    <row r="305" spans="1:18" ht="28" x14ac:dyDescent="0.2">
      <c r="A305" s="75">
        <f t="shared" si="4"/>
        <v>0</v>
      </c>
      <c r="B305" s="76" t="s">
        <v>32</v>
      </c>
      <c r="C305" s="77">
        <v>45536</v>
      </c>
      <c r="D305" s="77" t="s">
        <v>747</v>
      </c>
      <c r="E305" s="84" t="s">
        <v>748</v>
      </c>
      <c r="F305" s="79" t="s">
        <v>145</v>
      </c>
      <c r="G305" s="79"/>
      <c r="H305" s="79" t="s">
        <v>12</v>
      </c>
      <c r="I305" s="79" t="s">
        <v>148</v>
      </c>
      <c r="J305" s="69" t="s">
        <v>31</v>
      </c>
    </row>
    <row r="306" spans="1:18" ht="28" x14ac:dyDescent="0.2">
      <c r="A306" s="75">
        <f t="shared" si="4"/>
        <v>0</v>
      </c>
      <c r="B306" s="76" t="s">
        <v>32</v>
      </c>
      <c r="C306" s="77">
        <v>45536</v>
      </c>
      <c r="D306" s="77" t="s">
        <v>749</v>
      </c>
      <c r="E306" s="84" t="s">
        <v>750</v>
      </c>
      <c r="F306" s="79" t="s">
        <v>145</v>
      </c>
      <c r="G306" s="79"/>
      <c r="H306" s="79" t="s">
        <v>12</v>
      </c>
      <c r="I306" s="79" t="s">
        <v>148</v>
      </c>
      <c r="J306" s="69" t="s">
        <v>31</v>
      </c>
    </row>
    <row r="307" spans="1:18" ht="28" x14ac:dyDescent="0.2">
      <c r="A307" s="75">
        <f t="shared" si="4"/>
        <v>0</v>
      </c>
      <c r="B307" s="76" t="s">
        <v>32</v>
      </c>
      <c r="C307" s="77">
        <v>45536</v>
      </c>
      <c r="D307" s="77" t="s">
        <v>751</v>
      </c>
      <c r="E307" s="84" t="s">
        <v>752</v>
      </c>
      <c r="F307" s="79" t="s">
        <v>145</v>
      </c>
      <c r="G307" s="79"/>
      <c r="H307" s="79" t="s">
        <v>12</v>
      </c>
      <c r="I307" s="79" t="s">
        <v>148</v>
      </c>
      <c r="J307" s="69" t="s">
        <v>31</v>
      </c>
    </row>
    <row r="308" spans="1:18" ht="28" x14ac:dyDescent="0.2">
      <c r="A308" s="75">
        <f t="shared" si="4"/>
        <v>0</v>
      </c>
      <c r="B308" s="76" t="s">
        <v>32</v>
      </c>
      <c r="C308" s="77">
        <v>45536</v>
      </c>
      <c r="D308" s="77" t="s">
        <v>753</v>
      </c>
      <c r="E308" s="84" t="s">
        <v>754</v>
      </c>
      <c r="F308" s="79" t="s">
        <v>145</v>
      </c>
      <c r="G308" s="79"/>
      <c r="H308" s="79" t="s">
        <v>12</v>
      </c>
      <c r="I308" s="79" t="s">
        <v>148</v>
      </c>
      <c r="J308" s="69" t="s">
        <v>31</v>
      </c>
    </row>
    <row r="309" spans="1:18" ht="30" x14ac:dyDescent="0.2">
      <c r="A309" s="75">
        <f t="shared" si="4"/>
        <v>0</v>
      </c>
      <c r="B309" s="76" t="s">
        <v>32</v>
      </c>
      <c r="C309" s="77">
        <v>45536</v>
      </c>
      <c r="D309" s="77" t="s">
        <v>755</v>
      </c>
      <c r="E309" s="84" t="s">
        <v>756</v>
      </c>
      <c r="F309" s="79" t="s">
        <v>145</v>
      </c>
      <c r="G309" s="79"/>
      <c r="H309" s="79" t="s">
        <v>12</v>
      </c>
      <c r="I309" s="79" t="s">
        <v>148</v>
      </c>
      <c r="J309" s="69" t="s">
        <v>31</v>
      </c>
    </row>
    <row r="310" spans="1:18" ht="28" x14ac:dyDescent="0.2">
      <c r="A310" s="75">
        <f t="shared" si="4"/>
        <v>0</v>
      </c>
      <c r="B310" s="76" t="s">
        <v>32</v>
      </c>
      <c r="C310" s="77">
        <v>45536</v>
      </c>
      <c r="D310" s="77" t="s">
        <v>757</v>
      </c>
      <c r="E310" s="84" t="s">
        <v>758</v>
      </c>
      <c r="F310" s="79" t="s">
        <v>145</v>
      </c>
      <c r="G310" s="79"/>
      <c r="H310" s="79" t="s">
        <v>12</v>
      </c>
      <c r="I310" s="79" t="s">
        <v>148</v>
      </c>
      <c r="J310" s="69" t="s">
        <v>31</v>
      </c>
    </row>
    <row r="311" spans="1:18" ht="30" x14ac:dyDescent="0.2">
      <c r="A311" s="75">
        <f t="shared" si="4"/>
        <v>0</v>
      </c>
      <c r="B311" s="76" t="s">
        <v>32</v>
      </c>
      <c r="C311" s="77">
        <v>45536</v>
      </c>
      <c r="D311" s="77" t="s">
        <v>759</v>
      </c>
      <c r="E311" s="84" t="s">
        <v>760</v>
      </c>
      <c r="F311" s="79" t="s">
        <v>145</v>
      </c>
      <c r="G311" s="79"/>
      <c r="H311" s="79" t="s">
        <v>12</v>
      </c>
      <c r="I311" s="79" t="s">
        <v>148</v>
      </c>
      <c r="J311" s="69" t="s">
        <v>31</v>
      </c>
    </row>
    <row r="312" spans="1:18" ht="30" x14ac:dyDescent="0.2">
      <c r="A312" s="75">
        <f t="shared" si="4"/>
        <v>0</v>
      </c>
      <c r="B312" s="76" t="s">
        <v>32</v>
      </c>
      <c r="C312" s="77">
        <v>45536</v>
      </c>
      <c r="D312" s="77" t="s">
        <v>761</v>
      </c>
      <c r="E312" s="84" t="s">
        <v>762</v>
      </c>
      <c r="F312" s="79" t="s">
        <v>145</v>
      </c>
      <c r="G312" s="79"/>
      <c r="H312" s="79" t="s">
        <v>12</v>
      </c>
      <c r="I312" s="79" t="s">
        <v>148</v>
      </c>
      <c r="J312" s="69" t="s">
        <v>31</v>
      </c>
    </row>
    <row r="313" spans="1:18" ht="28" x14ac:dyDescent="0.2">
      <c r="A313" s="75">
        <f t="shared" si="4"/>
        <v>0</v>
      </c>
      <c r="B313" s="76" t="s">
        <v>32</v>
      </c>
      <c r="C313" s="77">
        <v>45536</v>
      </c>
      <c r="D313" s="77" t="s">
        <v>763</v>
      </c>
      <c r="E313" s="84" t="s">
        <v>764</v>
      </c>
      <c r="F313" s="79" t="s">
        <v>145</v>
      </c>
      <c r="G313" s="79"/>
      <c r="H313" s="79" t="s">
        <v>12</v>
      </c>
      <c r="I313" s="79" t="s">
        <v>148</v>
      </c>
      <c r="J313" s="69" t="s">
        <v>31</v>
      </c>
    </row>
    <row r="314" spans="1:18" ht="28" x14ac:dyDescent="0.2">
      <c r="A314" s="75">
        <f t="shared" si="4"/>
        <v>0</v>
      </c>
      <c r="B314" s="76" t="s">
        <v>32</v>
      </c>
      <c r="C314" s="77">
        <v>45536</v>
      </c>
      <c r="D314" s="77" t="s">
        <v>765</v>
      </c>
      <c r="E314" s="84" t="s">
        <v>766</v>
      </c>
      <c r="F314" s="79" t="s">
        <v>145</v>
      </c>
      <c r="G314" s="79"/>
      <c r="H314" s="79" t="s">
        <v>12</v>
      </c>
      <c r="I314" s="79" t="s">
        <v>148</v>
      </c>
      <c r="J314" s="69" t="s">
        <v>31</v>
      </c>
    </row>
    <row r="315" spans="1:18" ht="30" x14ac:dyDescent="0.2">
      <c r="A315" s="75">
        <f t="shared" si="4"/>
        <v>0</v>
      </c>
      <c r="B315" s="76" t="s">
        <v>32</v>
      </c>
      <c r="C315" s="77">
        <v>45536</v>
      </c>
      <c r="D315" s="77" t="s">
        <v>767</v>
      </c>
      <c r="E315" s="84" t="s">
        <v>768</v>
      </c>
      <c r="F315" s="79" t="s">
        <v>145</v>
      </c>
      <c r="G315" s="79"/>
      <c r="H315" s="79" t="s">
        <v>12</v>
      </c>
      <c r="I315" s="79" t="s">
        <v>148</v>
      </c>
      <c r="J315" s="69" t="s">
        <v>31</v>
      </c>
    </row>
    <row r="316" spans="1:18" ht="28" x14ac:dyDescent="0.2">
      <c r="A316" s="75">
        <f t="shared" si="4"/>
        <v>0</v>
      </c>
      <c r="B316" s="76" t="s">
        <v>32</v>
      </c>
      <c r="C316" s="77">
        <v>45444</v>
      </c>
      <c r="D316" s="77" t="s">
        <v>769</v>
      </c>
      <c r="E316" s="78" t="s">
        <v>80</v>
      </c>
      <c r="F316" s="79" t="s">
        <v>147</v>
      </c>
      <c r="G316" s="79"/>
      <c r="H316" s="79" t="s">
        <v>8</v>
      </c>
      <c r="I316" s="79" t="s">
        <v>146</v>
      </c>
      <c r="J316" s="69" t="s">
        <v>31</v>
      </c>
      <c r="Q316" s="102"/>
      <c r="R316" s="102">
        <v>0</v>
      </c>
    </row>
    <row r="317" spans="1:18" ht="28" x14ac:dyDescent="0.2">
      <c r="A317" s="75">
        <f t="shared" si="4"/>
        <v>0</v>
      </c>
      <c r="B317" s="76" t="s">
        <v>32</v>
      </c>
      <c r="C317" s="77">
        <v>45536</v>
      </c>
      <c r="D317" s="77" t="s">
        <v>770</v>
      </c>
      <c r="E317" s="84" t="s">
        <v>771</v>
      </c>
      <c r="F317" s="79" t="s">
        <v>145</v>
      </c>
      <c r="G317" s="79"/>
      <c r="H317" s="79" t="s">
        <v>12</v>
      </c>
      <c r="I317" s="79" t="s">
        <v>148</v>
      </c>
      <c r="J317" s="69" t="s">
        <v>31</v>
      </c>
    </row>
    <row r="318" spans="1:18" ht="28" x14ac:dyDescent="0.2">
      <c r="A318" s="75">
        <f t="shared" si="4"/>
        <v>0</v>
      </c>
      <c r="B318" s="76" t="s">
        <v>32</v>
      </c>
      <c r="C318" s="77">
        <v>45536</v>
      </c>
      <c r="D318" s="77" t="str">
        <f>IF(B318="","","ORG 0"&amp;(ROW()-ROW($A$3)-1))</f>
        <v>ORG 0314</v>
      </c>
      <c r="E318" s="84" t="s">
        <v>772</v>
      </c>
      <c r="F318" s="79"/>
      <c r="G318" s="79"/>
      <c r="H318" s="79" t="s">
        <v>12</v>
      </c>
      <c r="I318" s="79" t="s">
        <v>148</v>
      </c>
      <c r="J318" s="69" t="s">
        <v>31</v>
      </c>
    </row>
    <row r="319" spans="1:18" ht="30" x14ac:dyDescent="0.2">
      <c r="A319" s="75">
        <f t="shared" si="4"/>
        <v>0</v>
      </c>
      <c r="B319" s="76" t="s">
        <v>32</v>
      </c>
      <c r="C319" s="77">
        <v>45536</v>
      </c>
      <c r="D319" s="77" t="s">
        <v>773</v>
      </c>
      <c r="E319" s="84" t="s">
        <v>774</v>
      </c>
      <c r="F319" s="79" t="s">
        <v>145</v>
      </c>
      <c r="G319" s="79"/>
      <c r="H319" s="79" t="s">
        <v>12</v>
      </c>
      <c r="I319" s="79" t="s">
        <v>148</v>
      </c>
      <c r="J319" s="69" t="s">
        <v>31</v>
      </c>
    </row>
    <row r="320" spans="1:18" ht="28" x14ac:dyDescent="0.2">
      <c r="A320" s="75">
        <f t="shared" si="4"/>
        <v>0</v>
      </c>
      <c r="B320" s="76" t="s">
        <v>32</v>
      </c>
      <c r="C320" s="77">
        <v>45536</v>
      </c>
      <c r="D320" s="77" t="s">
        <v>775</v>
      </c>
      <c r="E320" s="84" t="s">
        <v>776</v>
      </c>
      <c r="F320" s="79" t="s">
        <v>145</v>
      </c>
      <c r="G320" s="79"/>
      <c r="H320" s="79" t="s">
        <v>12</v>
      </c>
      <c r="I320" s="79" t="s">
        <v>148</v>
      </c>
      <c r="J320" s="69" t="s">
        <v>31</v>
      </c>
    </row>
    <row r="321" spans="1:10" ht="30" x14ac:dyDescent="0.2">
      <c r="A321" s="75">
        <f t="shared" si="4"/>
        <v>0</v>
      </c>
      <c r="B321" s="76" t="s">
        <v>32</v>
      </c>
      <c r="C321" s="77">
        <v>45536</v>
      </c>
      <c r="D321" s="77" t="s">
        <v>777</v>
      </c>
      <c r="E321" s="84" t="s">
        <v>778</v>
      </c>
      <c r="F321" s="79" t="s">
        <v>145</v>
      </c>
      <c r="G321" s="79"/>
      <c r="H321" s="79" t="s">
        <v>12</v>
      </c>
      <c r="I321" s="79" t="s">
        <v>148</v>
      </c>
      <c r="J321" s="69" t="s">
        <v>31</v>
      </c>
    </row>
    <row r="322" spans="1:10" ht="28" x14ac:dyDescent="0.2">
      <c r="A322" s="75">
        <f t="shared" si="4"/>
        <v>0</v>
      </c>
      <c r="B322" s="76" t="s">
        <v>32</v>
      </c>
      <c r="C322" s="77">
        <v>45536</v>
      </c>
      <c r="D322" s="77" t="s">
        <v>779</v>
      </c>
      <c r="E322" s="84" t="s">
        <v>780</v>
      </c>
      <c r="F322" s="79" t="s">
        <v>145</v>
      </c>
      <c r="G322" s="79"/>
      <c r="H322" s="79" t="s">
        <v>12</v>
      </c>
      <c r="I322" s="79" t="s">
        <v>148</v>
      </c>
      <c r="J322" s="69" t="s">
        <v>31</v>
      </c>
    </row>
    <row r="323" spans="1:10" ht="28" x14ac:dyDescent="0.2">
      <c r="A323" s="75">
        <f t="shared" si="4"/>
        <v>0</v>
      </c>
      <c r="B323" s="76" t="s">
        <v>32</v>
      </c>
      <c r="C323" s="77">
        <v>45536</v>
      </c>
      <c r="D323" s="77" t="s">
        <v>781</v>
      </c>
      <c r="E323" s="84" t="s">
        <v>782</v>
      </c>
      <c r="F323" s="79" t="s">
        <v>145</v>
      </c>
      <c r="G323" s="79"/>
      <c r="H323" s="79" t="s">
        <v>12</v>
      </c>
      <c r="I323" s="79" t="s">
        <v>148</v>
      </c>
      <c r="J323" s="69" t="s">
        <v>31</v>
      </c>
    </row>
    <row r="324" spans="1:10" ht="30" x14ac:dyDescent="0.2">
      <c r="A324" s="75">
        <f t="shared" ref="A324:A388" si="5">IF(E324="",-1,IF(COUNTIF(J324:O324,"yes")=0,0,COUNTIF(J324:O324,"yes")))</f>
        <v>0</v>
      </c>
      <c r="B324" s="76" t="s">
        <v>32</v>
      </c>
      <c r="C324" s="77">
        <v>45536</v>
      </c>
      <c r="D324" s="77" t="s">
        <v>783</v>
      </c>
      <c r="E324" s="84" t="s">
        <v>784</v>
      </c>
      <c r="F324" s="79" t="s">
        <v>145</v>
      </c>
      <c r="G324" s="79"/>
      <c r="H324" s="79" t="s">
        <v>12</v>
      </c>
      <c r="I324" s="79" t="s">
        <v>148</v>
      </c>
      <c r="J324" s="69" t="s">
        <v>31</v>
      </c>
    </row>
    <row r="325" spans="1:10" ht="15" x14ac:dyDescent="0.2">
      <c r="A325" s="75">
        <f t="shared" si="5"/>
        <v>0</v>
      </c>
      <c r="B325" s="76" t="s">
        <v>32</v>
      </c>
      <c r="C325" s="77">
        <v>45536</v>
      </c>
      <c r="D325" s="77" t="s">
        <v>785</v>
      </c>
      <c r="E325" s="84" t="s">
        <v>786</v>
      </c>
      <c r="F325" s="79" t="s">
        <v>145</v>
      </c>
      <c r="G325" s="79"/>
      <c r="H325" s="79" t="s">
        <v>256</v>
      </c>
      <c r="I325" s="79" t="s">
        <v>148</v>
      </c>
      <c r="J325" s="69" t="s">
        <v>31</v>
      </c>
    </row>
    <row r="326" spans="1:10" ht="28" x14ac:dyDescent="0.2">
      <c r="A326" s="75">
        <f t="shared" si="5"/>
        <v>0</v>
      </c>
      <c r="B326" s="76" t="s">
        <v>32</v>
      </c>
      <c r="C326" s="77">
        <v>45536</v>
      </c>
      <c r="D326" s="77" t="s">
        <v>787</v>
      </c>
      <c r="E326" s="84" t="s">
        <v>788</v>
      </c>
      <c r="F326" s="79" t="s">
        <v>145</v>
      </c>
      <c r="G326" s="79"/>
      <c r="H326" s="79" t="s">
        <v>12</v>
      </c>
      <c r="I326" s="79" t="s">
        <v>148</v>
      </c>
      <c r="J326" s="69" t="s">
        <v>31</v>
      </c>
    </row>
    <row r="327" spans="1:10" ht="28" x14ac:dyDescent="0.2">
      <c r="A327" s="75">
        <f t="shared" si="5"/>
        <v>0</v>
      </c>
      <c r="B327" s="76" t="s">
        <v>32</v>
      </c>
      <c r="C327" s="77">
        <v>45536</v>
      </c>
      <c r="D327" s="77" t="s">
        <v>789</v>
      </c>
      <c r="E327" s="84" t="s">
        <v>790</v>
      </c>
      <c r="F327" s="79" t="s">
        <v>145</v>
      </c>
      <c r="G327" s="79"/>
      <c r="H327" s="79" t="s">
        <v>12</v>
      </c>
      <c r="I327" s="79" t="s">
        <v>148</v>
      </c>
      <c r="J327" s="69" t="s">
        <v>31</v>
      </c>
    </row>
    <row r="328" spans="1:10" ht="28" x14ac:dyDescent="0.2">
      <c r="A328" s="75">
        <f t="shared" si="5"/>
        <v>0</v>
      </c>
      <c r="B328" s="76" t="s">
        <v>32</v>
      </c>
      <c r="C328" s="77">
        <v>45536</v>
      </c>
      <c r="D328" s="77" t="s">
        <v>791</v>
      </c>
      <c r="E328" s="84" t="s">
        <v>792</v>
      </c>
      <c r="F328" s="79" t="s">
        <v>145</v>
      </c>
      <c r="G328" s="79"/>
      <c r="H328" s="79" t="s">
        <v>6</v>
      </c>
      <c r="I328" s="79" t="s">
        <v>148</v>
      </c>
      <c r="J328" s="69" t="s">
        <v>31</v>
      </c>
    </row>
    <row r="329" spans="1:10" ht="30" x14ac:dyDescent="0.2">
      <c r="A329" s="75">
        <f t="shared" si="5"/>
        <v>0</v>
      </c>
      <c r="B329" s="76" t="s">
        <v>32</v>
      </c>
      <c r="C329" s="77">
        <v>45536</v>
      </c>
      <c r="D329" s="77" t="s">
        <v>793</v>
      </c>
      <c r="E329" s="84" t="s">
        <v>794</v>
      </c>
      <c r="F329" s="79" t="s">
        <v>145</v>
      </c>
      <c r="G329" s="79"/>
      <c r="H329" s="79" t="s">
        <v>12</v>
      </c>
      <c r="I329" s="79" t="s">
        <v>148</v>
      </c>
      <c r="J329" s="69" t="s">
        <v>31</v>
      </c>
    </row>
    <row r="330" spans="1:10" ht="28" x14ac:dyDescent="0.2">
      <c r="A330" s="75">
        <f t="shared" si="5"/>
        <v>0</v>
      </c>
      <c r="B330" s="76" t="s">
        <v>32</v>
      </c>
      <c r="C330" s="77">
        <v>45536</v>
      </c>
      <c r="D330" s="77" t="s">
        <v>795</v>
      </c>
      <c r="E330" s="84" t="s">
        <v>796</v>
      </c>
      <c r="F330" s="79" t="s">
        <v>145</v>
      </c>
      <c r="G330" s="79"/>
      <c r="H330" s="79" t="s">
        <v>12</v>
      </c>
      <c r="I330" s="79" t="s">
        <v>148</v>
      </c>
      <c r="J330" s="69" t="s">
        <v>31</v>
      </c>
    </row>
    <row r="331" spans="1:10" ht="28" x14ac:dyDescent="0.2">
      <c r="A331" s="75">
        <f t="shared" si="5"/>
        <v>0</v>
      </c>
      <c r="B331" s="76" t="s">
        <v>32</v>
      </c>
      <c r="C331" s="77">
        <v>45536</v>
      </c>
      <c r="D331" s="77" t="s">
        <v>797</v>
      </c>
      <c r="E331" s="84" t="s">
        <v>798</v>
      </c>
      <c r="F331" s="79" t="s">
        <v>145</v>
      </c>
      <c r="G331" s="79"/>
      <c r="H331" s="79" t="s">
        <v>12</v>
      </c>
      <c r="I331" s="79" t="s">
        <v>148</v>
      </c>
      <c r="J331" s="69" t="s">
        <v>31</v>
      </c>
    </row>
    <row r="332" spans="1:10" ht="28" x14ac:dyDescent="0.2">
      <c r="A332" s="75">
        <f t="shared" si="5"/>
        <v>0</v>
      </c>
      <c r="B332" s="76" t="s">
        <v>32</v>
      </c>
      <c r="C332" s="77">
        <v>45536</v>
      </c>
      <c r="D332" s="77" t="s">
        <v>799</v>
      </c>
      <c r="E332" s="84" t="s">
        <v>800</v>
      </c>
      <c r="F332" s="79" t="s">
        <v>145</v>
      </c>
      <c r="G332" s="79"/>
      <c r="H332" s="79" t="s">
        <v>12</v>
      </c>
      <c r="I332" s="79" t="s">
        <v>148</v>
      </c>
      <c r="J332" s="69" t="s">
        <v>31</v>
      </c>
    </row>
    <row r="333" spans="1:10" ht="28" x14ac:dyDescent="0.2">
      <c r="A333" s="75">
        <f t="shared" si="5"/>
        <v>0</v>
      </c>
      <c r="B333" s="76" t="s">
        <v>32</v>
      </c>
      <c r="C333" s="77">
        <v>45536</v>
      </c>
      <c r="D333" s="77" t="s">
        <v>801</v>
      </c>
      <c r="E333" s="84" t="s">
        <v>802</v>
      </c>
      <c r="F333" s="79" t="s">
        <v>145</v>
      </c>
      <c r="G333" s="79"/>
      <c r="H333" s="79" t="s">
        <v>12</v>
      </c>
      <c r="I333" s="79" t="s">
        <v>148</v>
      </c>
      <c r="J333" s="69" t="s">
        <v>31</v>
      </c>
    </row>
    <row r="334" spans="1:10" ht="28" x14ac:dyDescent="0.2">
      <c r="A334" s="75">
        <f t="shared" si="5"/>
        <v>0</v>
      </c>
      <c r="B334" s="76" t="s">
        <v>32</v>
      </c>
      <c r="C334" s="77">
        <v>45536</v>
      </c>
      <c r="D334" s="77" t="s">
        <v>803</v>
      </c>
      <c r="E334" s="84" t="s">
        <v>804</v>
      </c>
      <c r="F334" s="79" t="s">
        <v>145</v>
      </c>
      <c r="G334" s="79"/>
      <c r="H334" s="79" t="s">
        <v>12</v>
      </c>
      <c r="I334" s="79" t="s">
        <v>148</v>
      </c>
      <c r="J334" s="69" t="s">
        <v>31</v>
      </c>
    </row>
    <row r="335" spans="1:10" ht="28" x14ac:dyDescent="0.2">
      <c r="A335" s="75">
        <f t="shared" si="5"/>
        <v>0</v>
      </c>
      <c r="B335" s="76" t="s">
        <v>32</v>
      </c>
      <c r="C335" s="77">
        <v>45536</v>
      </c>
      <c r="D335" s="77" t="s">
        <v>805</v>
      </c>
      <c r="E335" s="84" t="s">
        <v>806</v>
      </c>
      <c r="F335" s="79" t="s">
        <v>145</v>
      </c>
      <c r="G335" s="79"/>
      <c r="H335" s="79" t="s">
        <v>12</v>
      </c>
      <c r="I335" s="79" t="s">
        <v>148</v>
      </c>
      <c r="J335" s="69" t="s">
        <v>31</v>
      </c>
    </row>
    <row r="336" spans="1:10" ht="28" x14ac:dyDescent="0.2">
      <c r="A336" s="75">
        <f t="shared" si="5"/>
        <v>0</v>
      </c>
      <c r="B336" s="76" t="s">
        <v>32</v>
      </c>
      <c r="C336" s="77">
        <v>45536</v>
      </c>
      <c r="D336" s="77" t="s">
        <v>807</v>
      </c>
      <c r="E336" s="84" t="s">
        <v>808</v>
      </c>
      <c r="F336" s="79" t="s">
        <v>145</v>
      </c>
      <c r="G336" s="79"/>
      <c r="H336" s="79" t="s">
        <v>12</v>
      </c>
      <c r="I336" s="79" t="s">
        <v>148</v>
      </c>
      <c r="J336" s="69" t="s">
        <v>31</v>
      </c>
    </row>
    <row r="337" spans="1:18" ht="30" x14ac:dyDescent="0.2">
      <c r="A337" s="75">
        <f t="shared" si="5"/>
        <v>0</v>
      </c>
      <c r="B337" s="76" t="s">
        <v>32</v>
      </c>
      <c r="C337" s="77">
        <v>45536</v>
      </c>
      <c r="D337" s="77" t="s">
        <v>809</v>
      </c>
      <c r="E337" s="84" t="s">
        <v>810</v>
      </c>
      <c r="F337" s="79" t="s">
        <v>145</v>
      </c>
      <c r="G337" s="79"/>
      <c r="H337" s="79" t="s">
        <v>12</v>
      </c>
      <c r="I337" s="79" t="s">
        <v>148</v>
      </c>
      <c r="J337" s="69" t="s">
        <v>31</v>
      </c>
    </row>
    <row r="338" spans="1:18" ht="30" x14ac:dyDescent="0.2">
      <c r="A338" s="75">
        <f t="shared" si="5"/>
        <v>0</v>
      </c>
      <c r="B338" s="76" t="s">
        <v>32</v>
      </c>
      <c r="C338" s="77">
        <v>45536</v>
      </c>
      <c r="D338" s="77" t="s">
        <v>811</v>
      </c>
      <c r="E338" s="84" t="s">
        <v>812</v>
      </c>
      <c r="F338" s="79" t="s">
        <v>145</v>
      </c>
      <c r="G338" s="79"/>
      <c r="H338" s="79" t="s">
        <v>12</v>
      </c>
      <c r="I338" s="79" t="s">
        <v>148</v>
      </c>
      <c r="J338" s="69" t="s">
        <v>31</v>
      </c>
    </row>
    <row r="339" spans="1:18" ht="28" x14ac:dyDescent="0.2">
      <c r="A339" s="75">
        <f t="shared" si="5"/>
        <v>0</v>
      </c>
      <c r="B339" s="76" t="s">
        <v>32</v>
      </c>
      <c r="C339" s="77">
        <v>45536</v>
      </c>
      <c r="D339" s="77" t="s">
        <v>813</v>
      </c>
      <c r="E339" s="84" t="s">
        <v>814</v>
      </c>
      <c r="F339" s="79" t="s">
        <v>145</v>
      </c>
      <c r="G339" s="79"/>
      <c r="H339" s="79" t="s">
        <v>12</v>
      </c>
      <c r="I339" s="79" t="s">
        <v>148</v>
      </c>
      <c r="J339" s="69" t="s">
        <v>31</v>
      </c>
    </row>
    <row r="340" spans="1:18" ht="30" x14ac:dyDescent="0.2">
      <c r="A340" s="75">
        <f t="shared" si="5"/>
        <v>0</v>
      </c>
      <c r="B340" s="76" t="s">
        <v>32</v>
      </c>
      <c r="C340" s="77">
        <v>45536</v>
      </c>
      <c r="D340" s="77" t="s">
        <v>815</v>
      </c>
      <c r="E340" s="84" t="s">
        <v>816</v>
      </c>
      <c r="F340" s="79" t="s">
        <v>145</v>
      </c>
      <c r="G340" s="79"/>
      <c r="H340" s="79" t="s">
        <v>12</v>
      </c>
      <c r="I340" s="79" t="s">
        <v>148</v>
      </c>
      <c r="J340" s="69" t="s">
        <v>31</v>
      </c>
    </row>
    <row r="341" spans="1:18" ht="28" x14ac:dyDescent="0.2">
      <c r="A341" s="75">
        <f t="shared" si="5"/>
        <v>0</v>
      </c>
      <c r="B341" s="76" t="s">
        <v>32</v>
      </c>
      <c r="C341" s="77">
        <v>45536</v>
      </c>
      <c r="D341" s="77" t="s">
        <v>817</v>
      </c>
      <c r="E341" s="84" t="s">
        <v>818</v>
      </c>
      <c r="F341" s="79" t="s">
        <v>145</v>
      </c>
      <c r="G341" s="79"/>
      <c r="H341" s="79" t="s">
        <v>12</v>
      </c>
      <c r="I341" s="79" t="s">
        <v>148</v>
      </c>
      <c r="J341" s="69" t="s">
        <v>31</v>
      </c>
    </row>
    <row r="342" spans="1:18" ht="15" x14ac:dyDescent="0.2">
      <c r="A342" s="75">
        <f t="shared" si="5"/>
        <v>0</v>
      </c>
      <c r="B342" s="76" t="s">
        <v>32</v>
      </c>
      <c r="C342" s="77">
        <v>45536</v>
      </c>
      <c r="D342" s="77" t="s">
        <v>819</v>
      </c>
      <c r="E342" s="84" t="s">
        <v>820</v>
      </c>
      <c r="F342" s="79" t="s">
        <v>145</v>
      </c>
      <c r="G342" s="79"/>
      <c r="H342" s="79" t="s">
        <v>256</v>
      </c>
      <c r="I342" s="79" t="s">
        <v>148</v>
      </c>
      <c r="J342" s="69" t="s">
        <v>31</v>
      </c>
    </row>
    <row r="343" spans="1:18" ht="28" x14ac:dyDescent="0.2">
      <c r="A343" s="75">
        <f t="shared" si="5"/>
        <v>0</v>
      </c>
      <c r="B343" s="76" t="s">
        <v>32</v>
      </c>
      <c r="C343" s="77">
        <v>45536</v>
      </c>
      <c r="D343" s="77" t="s">
        <v>821</v>
      </c>
      <c r="E343" s="84" t="s">
        <v>822</v>
      </c>
      <c r="F343" s="79" t="s">
        <v>145</v>
      </c>
      <c r="G343" s="79"/>
      <c r="H343" s="79" t="s">
        <v>12</v>
      </c>
      <c r="I343" s="79" t="s">
        <v>148</v>
      </c>
      <c r="J343" s="69" t="s">
        <v>31</v>
      </c>
    </row>
    <row r="344" spans="1:18" ht="28" x14ac:dyDescent="0.2">
      <c r="A344" s="75">
        <f t="shared" si="5"/>
        <v>0</v>
      </c>
      <c r="B344" s="76" t="s">
        <v>32</v>
      </c>
      <c r="C344" s="77">
        <v>45536</v>
      </c>
      <c r="D344" s="77" t="s">
        <v>823</v>
      </c>
      <c r="E344" s="84" t="s">
        <v>824</v>
      </c>
      <c r="F344" s="79" t="s">
        <v>145</v>
      </c>
      <c r="G344" s="79"/>
      <c r="H344" s="79" t="s">
        <v>12</v>
      </c>
      <c r="I344" s="79" t="s">
        <v>148</v>
      </c>
      <c r="J344" s="69" t="s">
        <v>31</v>
      </c>
    </row>
    <row r="345" spans="1:18" ht="28" x14ac:dyDescent="0.2">
      <c r="A345" s="75">
        <f t="shared" si="5"/>
        <v>0</v>
      </c>
      <c r="B345" s="76" t="s">
        <v>32</v>
      </c>
      <c r="C345" s="77">
        <v>45536</v>
      </c>
      <c r="D345" s="77" t="s">
        <v>825</v>
      </c>
      <c r="E345" s="84" t="s">
        <v>826</v>
      </c>
      <c r="F345" s="79" t="s">
        <v>145</v>
      </c>
      <c r="G345" s="79"/>
      <c r="H345" s="79" t="s">
        <v>12</v>
      </c>
      <c r="I345" s="79" t="s">
        <v>148</v>
      </c>
      <c r="J345" s="69" t="s">
        <v>31</v>
      </c>
    </row>
    <row r="346" spans="1:18" ht="28" x14ac:dyDescent="0.2">
      <c r="A346" s="75">
        <f t="shared" si="5"/>
        <v>0</v>
      </c>
      <c r="B346" s="76" t="s">
        <v>32</v>
      </c>
      <c r="C346" s="77">
        <v>45536</v>
      </c>
      <c r="D346" s="77" t="s">
        <v>827</v>
      </c>
      <c r="E346" s="84" t="s">
        <v>828</v>
      </c>
      <c r="F346" s="79" t="s">
        <v>145</v>
      </c>
      <c r="G346" s="79"/>
      <c r="H346" s="79" t="s">
        <v>12</v>
      </c>
      <c r="I346" s="79" t="s">
        <v>148</v>
      </c>
      <c r="J346" s="69" t="s">
        <v>31</v>
      </c>
    </row>
    <row r="347" spans="1:18" ht="30" x14ac:dyDescent="0.2">
      <c r="A347" s="75">
        <f t="shared" si="5"/>
        <v>0</v>
      </c>
      <c r="B347" s="76" t="s">
        <v>32</v>
      </c>
      <c r="C347" s="77">
        <v>45536</v>
      </c>
      <c r="D347" s="77" t="s">
        <v>829</v>
      </c>
      <c r="E347" s="84" t="s">
        <v>830</v>
      </c>
      <c r="F347" s="79" t="s">
        <v>145</v>
      </c>
      <c r="G347" s="79"/>
      <c r="H347" s="79" t="s">
        <v>12</v>
      </c>
      <c r="I347" s="79" t="s">
        <v>148</v>
      </c>
      <c r="J347" s="69" t="s">
        <v>31</v>
      </c>
    </row>
    <row r="348" spans="1:18" ht="28" x14ac:dyDescent="0.2">
      <c r="A348" s="75">
        <f t="shared" si="5"/>
        <v>0</v>
      </c>
      <c r="B348" s="76" t="s">
        <v>32</v>
      </c>
      <c r="C348" s="77">
        <v>45536</v>
      </c>
      <c r="D348" s="77" t="s">
        <v>831</v>
      </c>
      <c r="E348" s="84" t="s">
        <v>832</v>
      </c>
      <c r="F348" s="79" t="s">
        <v>145</v>
      </c>
      <c r="G348" s="79"/>
      <c r="H348" s="79" t="s">
        <v>12</v>
      </c>
      <c r="I348" s="79" t="s">
        <v>148</v>
      </c>
      <c r="J348" s="69" t="s">
        <v>31</v>
      </c>
    </row>
    <row r="349" spans="1:18" ht="28" x14ac:dyDescent="0.2">
      <c r="A349" s="75">
        <f t="shared" si="5"/>
        <v>0</v>
      </c>
      <c r="B349" s="76" t="s">
        <v>32</v>
      </c>
      <c r="C349" s="77">
        <v>45536</v>
      </c>
      <c r="D349" s="77" t="s">
        <v>833</v>
      </c>
      <c r="E349" s="84" t="s">
        <v>834</v>
      </c>
      <c r="F349" s="79" t="s">
        <v>145</v>
      </c>
      <c r="G349" s="79"/>
      <c r="H349" s="79" t="s">
        <v>12</v>
      </c>
      <c r="I349" s="79" t="s">
        <v>148</v>
      </c>
      <c r="J349" s="69" t="s">
        <v>31</v>
      </c>
    </row>
    <row r="350" spans="1:18" ht="28" x14ac:dyDescent="0.2">
      <c r="A350" s="75">
        <f t="shared" si="5"/>
        <v>0</v>
      </c>
      <c r="B350" s="76" t="s">
        <v>32</v>
      </c>
      <c r="C350" s="77">
        <v>45536</v>
      </c>
      <c r="D350" s="77" t="s">
        <v>835</v>
      </c>
      <c r="E350" s="84" t="s">
        <v>836</v>
      </c>
      <c r="F350" s="79" t="s">
        <v>145</v>
      </c>
      <c r="G350" s="79"/>
      <c r="H350" s="79" t="s">
        <v>12</v>
      </c>
      <c r="I350" s="79" t="s">
        <v>148</v>
      </c>
      <c r="J350" s="69" t="s">
        <v>31</v>
      </c>
    </row>
    <row r="351" spans="1:18" ht="28" x14ac:dyDescent="0.2">
      <c r="A351" s="75">
        <f t="shared" si="5"/>
        <v>0</v>
      </c>
      <c r="B351" s="76" t="s">
        <v>32</v>
      </c>
      <c r="C351" s="77">
        <v>45536</v>
      </c>
      <c r="D351" s="77" t="s">
        <v>837</v>
      </c>
      <c r="E351" s="84" t="s">
        <v>838</v>
      </c>
      <c r="F351" s="79" t="s">
        <v>145</v>
      </c>
      <c r="G351" s="79"/>
      <c r="H351" s="79" t="s">
        <v>12</v>
      </c>
      <c r="I351" s="79" t="s">
        <v>148</v>
      </c>
      <c r="J351" s="69" t="s">
        <v>31</v>
      </c>
    </row>
    <row r="352" spans="1:18" ht="28" x14ac:dyDescent="0.2">
      <c r="A352" s="75">
        <f t="shared" si="5"/>
        <v>0</v>
      </c>
      <c r="B352" s="76" t="s">
        <v>32</v>
      </c>
      <c r="C352" s="77">
        <v>45444</v>
      </c>
      <c r="D352" s="77" t="s">
        <v>839</v>
      </c>
      <c r="E352" s="78" t="s">
        <v>77</v>
      </c>
      <c r="F352" s="79" t="s">
        <v>147</v>
      </c>
      <c r="G352" s="79"/>
      <c r="H352" s="79" t="s">
        <v>4</v>
      </c>
      <c r="I352" s="79" t="s">
        <v>146</v>
      </c>
      <c r="J352" s="69" t="s">
        <v>31</v>
      </c>
      <c r="Q352" s="102"/>
      <c r="R352" s="102">
        <v>0</v>
      </c>
    </row>
    <row r="353" spans="1:18" ht="28" x14ac:dyDescent="0.2">
      <c r="A353" s="75">
        <f t="shared" si="5"/>
        <v>0</v>
      </c>
      <c r="B353" s="76" t="s">
        <v>32</v>
      </c>
      <c r="C353" s="77">
        <v>45536</v>
      </c>
      <c r="D353" s="77" t="s">
        <v>840</v>
      </c>
      <c r="E353" s="84" t="s">
        <v>841</v>
      </c>
      <c r="F353" s="79" t="s">
        <v>145</v>
      </c>
      <c r="G353" s="79"/>
      <c r="H353" s="79" t="s">
        <v>12</v>
      </c>
      <c r="I353" s="79" t="s">
        <v>148</v>
      </c>
      <c r="J353" s="69" t="s">
        <v>31</v>
      </c>
    </row>
    <row r="354" spans="1:18" ht="28" x14ac:dyDescent="0.2">
      <c r="A354" s="75">
        <f t="shared" si="5"/>
        <v>0</v>
      </c>
      <c r="B354" s="76" t="s">
        <v>32</v>
      </c>
      <c r="C354" s="77">
        <v>45536</v>
      </c>
      <c r="D354" s="77" t="s">
        <v>842</v>
      </c>
      <c r="E354" s="84" t="s">
        <v>843</v>
      </c>
      <c r="F354" s="79" t="s">
        <v>145</v>
      </c>
      <c r="G354" s="79"/>
      <c r="H354" s="79" t="s">
        <v>12</v>
      </c>
      <c r="I354" s="79" t="s">
        <v>148</v>
      </c>
      <c r="J354" s="69" t="s">
        <v>31</v>
      </c>
    </row>
    <row r="355" spans="1:18" ht="28" x14ac:dyDescent="0.2">
      <c r="A355" s="75">
        <f t="shared" si="5"/>
        <v>0</v>
      </c>
      <c r="B355" s="76" t="s">
        <v>32</v>
      </c>
      <c r="C355" s="77">
        <v>45444</v>
      </c>
      <c r="D355" s="77" t="s">
        <v>844</v>
      </c>
      <c r="E355" s="78" t="s">
        <v>65</v>
      </c>
      <c r="F355" s="79" t="s">
        <v>145</v>
      </c>
      <c r="G355" s="79"/>
      <c r="H355" s="79" t="s">
        <v>8</v>
      </c>
      <c r="I355" s="79" t="s">
        <v>146</v>
      </c>
      <c r="J355" s="69" t="s">
        <v>31</v>
      </c>
      <c r="Q355" s="102"/>
      <c r="R355" s="102">
        <v>0</v>
      </c>
    </row>
    <row r="356" spans="1:18" ht="28" x14ac:dyDescent="0.2">
      <c r="A356" s="75">
        <f t="shared" si="5"/>
        <v>0</v>
      </c>
      <c r="B356" s="76" t="s">
        <v>32</v>
      </c>
      <c r="C356" s="77">
        <v>45536</v>
      </c>
      <c r="D356" s="77" t="s">
        <v>845</v>
      </c>
      <c r="E356" s="84" t="s">
        <v>846</v>
      </c>
      <c r="F356" s="79" t="s">
        <v>145</v>
      </c>
      <c r="G356" s="79"/>
      <c r="H356" s="79" t="s">
        <v>12</v>
      </c>
      <c r="I356" s="79" t="s">
        <v>148</v>
      </c>
      <c r="J356" s="69" t="s">
        <v>31</v>
      </c>
    </row>
    <row r="357" spans="1:18" ht="28" x14ac:dyDescent="0.2">
      <c r="A357" s="75">
        <f t="shared" si="5"/>
        <v>0</v>
      </c>
      <c r="B357" s="76" t="s">
        <v>32</v>
      </c>
      <c r="C357" s="77">
        <v>45536</v>
      </c>
      <c r="D357" s="77" t="s">
        <v>847</v>
      </c>
      <c r="E357" s="84" t="s">
        <v>848</v>
      </c>
      <c r="F357" s="79" t="s">
        <v>145</v>
      </c>
      <c r="G357" s="79"/>
      <c r="H357" s="79" t="s">
        <v>6</v>
      </c>
      <c r="I357" s="79" t="s">
        <v>148</v>
      </c>
      <c r="J357" s="69" t="s">
        <v>31</v>
      </c>
    </row>
    <row r="358" spans="1:18" ht="28" x14ac:dyDescent="0.2">
      <c r="A358" s="75">
        <f t="shared" si="5"/>
        <v>0</v>
      </c>
      <c r="B358" s="76" t="s">
        <v>32</v>
      </c>
      <c r="C358" s="77">
        <v>45536</v>
      </c>
      <c r="D358" s="77" t="s">
        <v>849</v>
      </c>
      <c r="E358" s="84" t="s">
        <v>850</v>
      </c>
      <c r="F358" s="79" t="s">
        <v>145</v>
      </c>
      <c r="G358" s="79"/>
      <c r="H358" s="79" t="s">
        <v>12</v>
      </c>
      <c r="I358" s="79" t="s">
        <v>148</v>
      </c>
      <c r="J358" s="69" t="s">
        <v>31</v>
      </c>
    </row>
    <row r="359" spans="1:18" ht="28" x14ac:dyDescent="0.2">
      <c r="A359" s="75">
        <f t="shared" si="5"/>
        <v>0</v>
      </c>
      <c r="B359" s="76" t="s">
        <v>32</v>
      </c>
      <c r="C359" s="77">
        <v>45536</v>
      </c>
      <c r="D359" s="77" t="s">
        <v>851</v>
      </c>
      <c r="E359" s="84" t="s">
        <v>852</v>
      </c>
      <c r="F359" s="79" t="s">
        <v>145</v>
      </c>
      <c r="G359" s="79"/>
      <c r="H359" s="79" t="s">
        <v>12</v>
      </c>
      <c r="I359" s="79" t="s">
        <v>148</v>
      </c>
      <c r="J359" s="69" t="s">
        <v>31</v>
      </c>
    </row>
    <row r="360" spans="1:18" ht="42" x14ac:dyDescent="0.2">
      <c r="A360" s="75">
        <f t="shared" si="5"/>
        <v>0</v>
      </c>
      <c r="B360" s="76" t="s">
        <v>32</v>
      </c>
      <c r="C360" s="77">
        <v>45078</v>
      </c>
      <c r="D360" s="77" t="s">
        <v>853</v>
      </c>
      <c r="E360" s="78" t="s">
        <v>134</v>
      </c>
      <c r="F360" s="79" t="s">
        <v>145</v>
      </c>
      <c r="G360" s="79"/>
      <c r="H360" s="79" t="s">
        <v>4</v>
      </c>
      <c r="I360" s="79" t="s">
        <v>417</v>
      </c>
      <c r="J360" s="69" t="s">
        <v>31</v>
      </c>
      <c r="K360" s="69" t="s">
        <v>212</v>
      </c>
      <c r="L360" s="69" t="s">
        <v>212</v>
      </c>
      <c r="M360" s="69" t="s">
        <v>212</v>
      </c>
      <c r="N360" s="69" t="s">
        <v>212</v>
      </c>
      <c r="O360" s="69" t="str">
        <f>IF(OR(ISERROR(VLOOKUP($E360,'Summary-Fundraise'!$A$3:$L$76,O$2,FALSE)),0),"",VLOOKUP($E360,'Summary-Fundraise'!$A$3:$L$76,O$2,FALSE))</f>
        <v/>
      </c>
      <c r="Q360" s="102"/>
      <c r="R360" s="102" t="s">
        <v>854</v>
      </c>
    </row>
    <row r="361" spans="1:18" ht="28" x14ac:dyDescent="0.2">
      <c r="A361" s="75">
        <f t="shared" si="5"/>
        <v>0</v>
      </c>
      <c r="B361" s="76" t="s">
        <v>32</v>
      </c>
      <c r="C361" s="77">
        <v>45536</v>
      </c>
      <c r="D361" s="77" t="s">
        <v>855</v>
      </c>
      <c r="E361" s="84" t="s">
        <v>856</v>
      </c>
      <c r="F361" s="79" t="s">
        <v>145</v>
      </c>
      <c r="G361" s="79"/>
      <c r="H361" s="79" t="s">
        <v>12</v>
      </c>
      <c r="I361" s="79" t="s">
        <v>148</v>
      </c>
      <c r="J361" s="69" t="s">
        <v>31</v>
      </c>
    </row>
    <row r="362" spans="1:18" ht="30" x14ac:dyDescent="0.2">
      <c r="A362" s="75">
        <f t="shared" si="5"/>
        <v>0</v>
      </c>
      <c r="B362" s="76" t="s">
        <v>32</v>
      </c>
      <c r="C362" s="77">
        <v>45536</v>
      </c>
      <c r="D362" s="77" t="s">
        <v>857</v>
      </c>
      <c r="E362" s="84" t="s">
        <v>858</v>
      </c>
      <c r="F362" s="79" t="s">
        <v>145</v>
      </c>
      <c r="G362" s="79"/>
      <c r="H362" s="79" t="s">
        <v>12</v>
      </c>
      <c r="I362" s="79" t="s">
        <v>148</v>
      </c>
      <c r="J362" s="69" t="s">
        <v>31</v>
      </c>
    </row>
    <row r="363" spans="1:18" ht="28" x14ac:dyDescent="0.2">
      <c r="A363" s="75">
        <f t="shared" si="5"/>
        <v>0</v>
      </c>
      <c r="B363" s="76" t="s">
        <v>32</v>
      </c>
      <c r="C363" s="77">
        <v>45536</v>
      </c>
      <c r="D363" s="77" t="s">
        <v>859</v>
      </c>
      <c r="E363" s="84" t="s">
        <v>860</v>
      </c>
      <c r="F363" s="79" t="s">
        <v>145</v>
      </c>
      <c r="G363" s="79"/>
      <c r="H363" s="79" t="s">
        <v>12</v>
      </c>
      <c r="I363" s="79" t="s">
        <v>148</v>
      </c>
      <c r="J363" s="69" t="s">
        <v>31</v>
      </c>
    </row>
    <row r="364" spans="1:18" ht="28" x14ac:dyDescent="0.2">
      <c r="A364" s="75">
        <f t="shared" si="5"/>
        <v>0</v>
      </c>
      <c r="B364" s="76" t="s">
        <v>32</v>
      </c>
      <c r="C364" s="77">
        <v>45536</v>
      </c>
      <c r="D364" s="77" t="s">
        <v>861</v>
      </c>
      <c r="E364" s="84" t="s">
        <v>862</v>
      </c>
      <c r="F364" s="79" t="s">
        <v>145</v>
      </c>
      <c r="G364" s="79"/>
      <c r="H364" s="79" t="s">
        <v>12</v>
      </c>
      <c r="I364" s="79" t="s">
        <v>148</v>
      </c>
      <c r="J364" s="69" t="s">
        <v>31</v>
      </c>
    </row>
    <row r="365" spans="1:18" ht="28" x14ac:dyDescent="0.2">
      <c r="A365" s="75">
        <f t="shared" si="5"/>
        <v>0</v>
      </c>
      <c r="B365" s="76" t="s">
        <v>32</v>
      </c>
      <c r="C365" s="77">
        <v>45536</v>
      </c>
      <c r="D365" s="77" t="s">
        <v>863</v>
      </c>
      <c r="E365" s="84" t="s">
        <v>864</v>
      </c>
      <c r="F365" s="79" t="s">
        <v>145</v>
      </c>
      <c r="G365" s="79"/>
      <c r="H365" s="79" t="s">
        <v>12</v>
      </c>
      <c r="I365" s="79" t="s">
        <v>148</v>
      </c>
      <c r="J365" s="69" t="s">
        <v>31</v>
      </c>
    </row>
    <row r="366" spans="1:18" ht="28" x14ac:dyDescent="0.2">
      <c r="A366" s="75">
        <f t="shared" si="5"/>
        <v>0</v>
      </c>
      <c r="B366" s="76" t="s">
        <v>32</v>
      </c>
      <c r="C366" s="77">
        <v>45536</v>
      </c>
      <c r="D366" s="77" t="s">
        <v>865</v>
      </c>
      <c r="E366" s="84" t="s">
        <v>866</v>
      </c>
      <c r="F366" s="79" t="s">
        <v>145</v>
      </c>
      <c r="G366" s="79"/>
      <c r="H366" s="79" t="s">
        <v>12</v>
      </c>
      <c r="I366" s="79" t="s">
        <v>148</v>
      </c>
      <c r="J366" s="69" t="s">
        <v>31</v>
      </c>
    </row>
    <row r="367" spans="1:18" ht="28" x14ac:dyDescent="0.2">
      <c r="A367" s="75">
        <f t="shared" si="5"/>
        <v>0</v>
      </c>
      <c r="B367" s="76" t="s">
        <v>32</v>
      </c>
      <c r="C367" s="77">
        <v>45536</v>
      </c>
      <c r="D367" s="77" t="s">
        <v>867</v>
      </c>
      <c r="E367" s="84" t="s">
        <v>868</v>
      </c>
      <c r="F367" s="79" t="s">
        <v>145</v>
      </c>
      <c r="G367" s="79"/>
      <c r="H367" s="79" t="s">
        <v>12</v>
      </c>
      <c r="I367" s="79" t="s">
        <v>148</v>
      </c>
      <c r="J367" s="69" t="s">
        <v>31</v>
      </c>
    </row>
    <row r="368" spans="1:18" ht="30" x14ac:dyDescent="0.2">
      <c r="A368" s="75">
        <f t="shared" si="5"/>
        <v>0</v>
      </c>
      <c r="B368" s="76" t="s">
        <v>32</v>
      </c>
      <c r="C368" s="77">
        <v>45536</v>
      </c>
      <c r="D368" s="77" t="s">
        <v>869</v>
      </c>
      <c r="E368" s="84" t="s">
        <v>870</v>
      </c>
      <c r="F368" s="79" t="s">
        <v>145</v>
      </c>
      <c r="G368" s="79"/>
      <c r="H368" s="79" t="s">
        <v>12</v>
      </c>
      <c r="I368" s="79" t="s">
        <v>148</v>
      </c>
      <c r="J368" s="69" t="s">
        <v>31</v>
      </c>
    </row>
    <row r="369" spans="1:12" ht="30" x14ac:dyDescent="0.2">
      <c r="A369" s="75">
        <f t="shared" si="5"/>
        <v>0</v>
      </c>
      <c r="B369" s="76" t="s">
        <v>32</v>
      </c>
      <c r="C369" s="77">
        <v>45536</v>
      </c>
      <c r="D369" s="77" t="s">
        <v>871</v>
      </c>
      <c r="E369" s="84" t="s">
        <v>872</v>
      </c>
      <c r="F369" s="79" t="s">
        <v>145</v>
      </c>
      <c r="G369" s="79"/>
      <c r="H369" s="79" t="s">
        <v>12</v>
      </c>
      <c r="I369" s="79" t="s">
        <v>148</v>
      </c>
      <c r="J369" s="69" t="s">
        <v>31</v>
      </c>
    </row>
    <row r="370" spans="1:12" ht="30" x14ac:dyDescent="0.2">
      <c r="A370" s="75">
        <f t="shared" si="5"/>
        <v>0</v>
      </c>
      <c r="B370" s="76" t="s">
        <v>32</v>
      </c>
      <c r="C370" s="77">
        <v>45536</v>
      </c>
      <c r="D370" s="77" t="s">
        <v>873</v>
      </c>
      <c r="E370" s="84" t="s">
        <v>874</v>
      </c>
      <c r="F370" s="79" t="s">
        <v>145</v>
      </c>
      <c r="G370" s="79"/>
      <c r="H370" s="79" t="s">
        <v>12</v>
      </c>
      <c r="I370" s="79" t="s">
        <v>148</v>
      </c>
      <c r="J370" s="69" t="s">
        <v>31</v>
      </c>
    </row>
    <row r="371" spans="1:12" ht="30" x14ac:dyDescent="0.2">
      <c r="A371" s="75">
        <f t="shared" si="5"/>
        <v>0</v>
      </c>
      <c r="B371" s="76" t="s">
        <v>32</v>
      </c>
      <c r="C371" s="77">
        <v>45536</v>
      </c>
      <c r="D371" s="77" t="s">
        <v>875</v>
      </c>
      <c r="E371" s="84" t="s">
        <v>876</v>
      </c>
      <c r="F371" s="79" t="s">
        <v>145</v>
      </c>
      <c r="G371" s="79"/>
      <c r="H371" s="79" t="s">
        <v>12</v>
      </c>
      <c r="I371" s="79" t="s">
        <v>148</v>
      </c>
      <c r="J371" s="69" t="s">
        <v>31</v>
      </c>
    </row>
    <row r="372" spans="1:12" ht="28" x14ac:dyDescent="0.2">
      <c r="A372" s="75">
        <f t="shared" si="5"/>
        <v>0</v>
      </c>
      <c r="B372" s="76" t="s">
        <v>32</v>
      </c>
      <c r="C372" s="77">
        <v>45536</v>
      </c>
      <c r="D372" s="77" t="s">
        <v>877</v>
      </c>
      <c r="E372" s="84" t="s">
        <v>878</v>
      </c>
      <c r="F372" s="79" t="s">
        <v>145</v>
      </c>
      <c r="G372" s="79"/>
      <c r="H372" s="79" t="s">
        <v>12</v>
      </c>
      <c r="I372" s="79" t="s">
        <v>148</v>
      </c>
      <c r="J372" s="69" t="s">
        <v>31</v>
      </c>
    </row>
    <row r="373" spans="1:12" ht="28" x14ac:dyDescent="0.2">
      <c r="A373" s="75">
        <f t="shared" si="5"/>
        <v>0</v>
      </c>
      <c r="B373" s="76" t="s">
        <v>32</v>
      </c>
      <c r="C373" s="77">
        <v>45536</v>
      </c>
      <c r="D373" s="77" t="s">
        <v>879</v>
      </c>
      <c r="E373" s="84" t="s">
        <v>880</v>
      </c>
      <c r="F373" s="79" t="s">
        <v>145</v>
      </c>
      <c r="G373" s="79"/>
      <c r="H373" s="79" t="s">
        <v>12</v>
      </c>
      <c r="I373" s="79" t="s">
        <v>148</v>
      </c>
      <c r="J373" s="69" t="s">
        <v>31</v>
      </c>
    </row>
    <row r="374" spans="1:12" ht="28" x14ac:dyDescent="0.2">
      <c r="A374" s="75">
        <f t="shared" si="5"/>
        <v>0</v>
      </c>
      <c r="B374" s="76" t="s">
        <v>32</v>
      </c>
      <c r="C374" s="77">
        <v>45536</v>
      </c>
      <c r="D374" s="77" t="s">
        <v>881</v>
      </c>
      <c r="E374" s="84" t="s">
        <v>882</v>
      </c>
      <c r="F374" s="79" t="s">
        <v>145</v>
      </c>
      <c r="G374" s="79"/>
      <c r="H374" s="79" t="s">
        <v>12</v>
      </c>
      <c r="I374" s="79" t="s">
        <v>148</v>
      </c>
      <c r="J374" s="69" t="s">
        <v>31</v>
      </c>
    </row>
    <row r="375" spans="1:12" ht="28" x14ac:dyDescent="0.2">
      <c r="A375" s="75">
        <f t="shared" si="5"/>
        <v>0</v>
      </c>
      <c r="B375" s="76" t="s">
        <v>32</v>
      </c>
      <c r="C375" s="77">
        <v>45536</v>
      </c>
      <c r="D375" s="77" t="s">
        <v>883</v>
      </c>
      <c r="E375" s="84" t="s">
        <v>884</v>
      </c>
      <c r="F375" s="79" t="s">
        <v>145</v>
      </c>
      <c r="G375" s="79"/>
      <c r="H375" s="79" t="s">
        <v>12</v>
      </c>
      <c r="I375" s="79" t="s">
        <v>148</v>
      </c>
      <c r="J375" s="69" t="s">
        <v>31</v>
      </c>
    </row>
    <row r="376" spans="1:12" ht="28" x14ac:dyDescent="0.2">
      <c r="A376" s="75">
        <f t="shared" si="5"/>
        <v>0</v>
      </c>
      <c r="B376" s="76" t="s">
        <v>32</v>
      </c>
      <c r="C376" s="77">
        <v>45536</v>
      </c>
      <c r="D376" s="77" t="s">
        <v>885</v>
      </c>
      <c r="E376" s="84" t="s">
        <v>886</v>
      </c>
      <c r="F376" s="79" t="s">
        <v>145</v>
      </c>
      <c r="G376" s="79"/>
      <c r="H376" s="79" t="s">
        <v>12</v>
      </c>
      <c r="I376" s="79" t="s">
        <v>148</v>
      </c>
      <c r="J376" s="69" t="s">
        <v>31</v>
      </c>
    </row>
    <row r="377" spans="1:12" ht="45" x14ac:dyDescent="0.2">
      <c r="A377" s="75">
        <f t="shared" si="5"/>
        <v>0</v>
      </c>
      <c r="B377" s="76" t="s">
        <v>32</v>
      </c>
      <c r="C377" s="77">
        <v>45536</v>
      </c>
      <c r="D377" s="77" t="s">
        <v>887</v>
      </c>
      <c r="E377" s="84" t="s">
        <v>888</v>
      </c>
      <c r="F377" s="79" t="s">
        <v>145</v>
      </c>
      <c r="G377" s="79"/>
      <c r="H377" s="79" t="s">
        <v>12</v>
      </c>
      <c r="I377" s="79" t="s">
        <v>148</v>
      </c>
      <c r="J377" s="69" t="s">
        <v>31</v>
      </c>
    </row>
    <row r="378" spans="1:12" ht="30" x14ac:dyDescent="0.2">
      <c r="A378" s="75">
        <f t="shared" si="5"/>
        <v>0</v>
      </c>
      <c r="B378" s="76" t="s">
        <v>32</v>
      </c>
      <c r="C378" s="77">
        <v>45536</v>
      </c>
      <c r="D378" s="77" t="s">
        <v>889</v>
      </c>
      <c r="E378" s="84" t="s">
        <v>890</v>
      </c>
      <c r="F378" s="79" t="s">
        <v>145</v>
      </c>
      <c r="G378" s="79"/>
      <c r="H378" s="79" t="s">
        <v>12</v>
      </c>
      <c r="I378" s="79" t="s">
        <v>148</v>
      </c>
      <c r="J378" s="69" t="s">
        <v>31</v>
      </c>
    </row>
    <row r="379" spans="1:12" ht="28" x14ac:dyDescent="0.2">
      <c r="A379" s="75">
        <f t="shared" si="5"/>
        <v>0</v>
      </c>
      <c r="B379" s="76" t="s">
        <v>32</v>
      </c>
      <c r="C379" s="77">
        <v>45536</v>
      </c>
      <c r="D379" s="77" t="s">
        <v>891</v>
      </c>
      <c r="E379" s="84" t="s">
        <v>892</v>
      </c>
      <c r="F379" s="79" t="s">
        <v>145</v>
      </c>
      <c r="G379" s="79"/>
      <c r="H379" s="79" t="s">
        <v>12</v>
      </c>
      <c r="I379" s="79" t="s">
        <v>148</v>
      </c>
      <c r="J379" s="69" t="s">
        <v>31</v>
      </c>
    </row>
    <row r="380" spans="1:12" ht="28" x14ac:dyDescent="0.2">
      <c r="A380" s="75">
        <f t="shared" si="5"/>
        <v>3</v>
      </c>
      <c r="B380" s="76" t="s">
        <v>32</v>
      </c>
      <c r="C380" s="77">
        <v>45678</v>
      </c>
      <c r="D380" s="77" t="str">
        <f t="shared" ref="D380:D388" si="6">IF(B380="","","ORG 0"&amp;(ROW()-ROW($A$3)-1))</f>
        <v>ORG 0376</v>
      </c>
      <c r="E380" s="84" t="s">
        <v>293</v>
      </c>
      <c r="F380" s="79" t="s">
        <v>145</v>
      </c>
      <c r="G380" s="79"/>
      <c r="H380" s="79" t="s">
        <v>11</v>
      </c>
      <c r="I380" s="79" t="s">
        <v>146</v>
      </c>
      <c r="J380" s="69" t="s">
        <v>28</v>
      </c>
      <c r="K380" s="69" t="s">
        <v>28</v>
      </c>
      <c r="L380" s="69" t="s">
        <v>28</v>
      </c>
    </row>
    <row r="381" spans="1:12" x14ac:dyDescent="0.2">
      <c r="A381" s="75">
        <f t="shared" si="5"/>
        <v>-1</v>
      </c>
      <c r="B381" s="76"/>
      <c r="C381" s="77"/>
      <c r="D381" s="77" t="str">
        <f t="shared" si="6"/>
        <v/>
      </c>
      <c r="E381" s="84"/>
      <c r="F381" s="79"/>
      <c r="G381" s="79"/>
      <c r="H381" s="79"/>
      <c r="I381" s="79"/>
    </row>
    <row r="382" spans="1:12" x14ac:dyDescent="0.2">
      <c r="A382" s="75">
        <f t="shared" si="5"/>
        <v>-1</v>
      </c>
      <c r="B382" s="76"/>
      <c r="C382" s="77"/>
      <c r="D382" s="77" t="str">
        <f t="shared" si="6"/>
        <v/>
      </c>
      <c r="E382" s="84"/>
      <c r="F382" s="79"/>
      <c r="G382" s="79"/>
      <c r="H382" s="79"/>
      <c r="I382" s="79"/>
    </row>
    <row r="383" spans="1:12" x14ac:dyDescent="0.2">
      <c r="A383" s="75">
        <f t="shared" si="5"/>
        <v>-1</v>
      </c>
      <c r="B383" s="76"/>
      <c r="C383" s="77"/>
      <c r="D383" s="77" t="str">
        <f t="shared" si="6"/>
        <v/>
      </c>
      <c r="E383" s="84"/>
      <c r="F383" s="79"/>
      <c r="G383" s="79"/>
      <c r="H383" s="79"/>
      <c r="I383" s="79"/>
    </row>
    <row r="384" spans="1:12" x14ac:dyDescent="0.2">
      <c r="A384" s="75">
        <f t="shared" si="5"/>
        <v>-1</v>
      </c>
      <c r="B384" s="76"/>
      <c r="C384" s="77"/>
      <c r="D384" s="77" t="str">
        <f t="shared" si="6"/>
        <v/>
      </c>
      <c r="E384" s="84"/>
      <c r="F384" s="79"/>
      <c r="G384" s="79"/>
      <c r="H384" s="79"/>
      <c r="I384" s="79"/>
    </row>
    <row r="385" spans="1:9" x14ac:dyDescent="0.2">
      <c r="A385" s="75">
        <f t="shared" si="5"/>
        <v>-1</v>
      </c>
      <c r="B385" s="76"/>
      <c r="C385" s="77"/>
      <c r="D385" s="77" t="str">
        <f t="shared" si="6"/>
        <v/>
      </c>
      <c r="E385" s="84"/>
      <c r="F385" s="79"/>
      <c r="G385" s="79"/>
      <c r="H385" s="79"/>
      <c r="I385" s="79"/>
    </row>
    <row r="386" spans="1:9" x14ac:dyDescent="0.2">
      <c r="A386" s="75">
        <f t="shared" si="5"/>
        <v>-1</v>
      </c>
      <c r="B386" s="76"/>
      <c r="C386" s="77"/>
      <c r="D386" s="77" t="str">
        <f t="shared" si="6"/>
        <v/>
      </c>
      <c r="E386" s="84"/>
      <c r="F386" s="79"/>
      <c r="G386" s="79"/>
      <c r="H386" s="79"/>
      <c r="I386" s="79"/>
    </row>
    <row r="387" spans="1:9" x14ac:dyDescent="0.2">
      <c r="A387" s="75">
        <f t="shared" si="5"/>
        <v>-1</v>
      </c>
      <c r="B387" s="76"/>
      <c r="C387" s="77"/>
      <c r="D387" s="77" t="str">
        <f t="shared" si="6"/>
        <v/>
      </c>
      <c r="E387" s="84"/>
      <c r="F387" s="79"/>
      <c r="G387" s="79"/>
      <c r="H387" s="79"/>
      <c r="I387" s="79"/>
    </row>
    <row r="388" spans="1:9" x14ac:dyDescent="0.2">
      <c r="A388" s="75">
        <f t="shared" si="5"/>
        <v>-1</v>
      </c>
      <c r="B388" s="76"/>
      <c r="C388" s="77"/>
      <c r="D388" s="77" t="str">
        <f t="shared" si="6"/>
        <v/>
      </c>
      <c r="E388" s="84"/>
      <c r="F388" s="79"/>
      <c r="G388" s="79"/>
      <c r="H388" s="79"/>
      <c r="I388" s="79"/>
    </row>
  </sheetData>
  <autoFilter ref="A3:R388" xr:uid="{045A8157-7370-4FE1-9B67-EEDDBCBE882D}">
    <sortState xmlns:xlrd2="http://schemas.microsoft.com/office/spreadsheetml/2017/richdata2" ref="A4:R388">
      <sortCondition descending="1" ref="A3:A388"/>
    </sortState>
  </autoFilter>
  <sortState xmlns:xlrd2="http://schemas.microsoft.com/office/spreadsheetml/2017/richdata2" ref="A3:V388">
    <sortCondition descending="1" ref="A3:A388"/>
    <sortCondition ref="B3:B388"/>
  </sortState>
  <phoneticPr fontId="45" type="noConversion"/>
  <conditionalFormatting sqref="J4:O368 K369:O374 K376:O379 K381:O393 J380:O380">
    <cfRule type="expression" dxfId="47" priority="33">
      <formula>J4="No"</formula>
    </cfRule>
    <cfRule type="expression" dxfId="46" priority="34">
      <formula>J4="YES"</formula>
    </cfRule>
  </conditionalFormatting>
  <conditionalFormatting sqref="B4:B388">
    <cfRule type="expression" dxfId="45" priority="13">
      <formula>B4="Invested"</formula>
    </cfRule>
    <cfRule type="expression" dxfId="44" priority="27">
      <formula>B4="Closed / Deferred"</formula>
    </cfRule>
    <cfRule type="expression" dxfId="43" priority="28">
      <formula>B4="Open"</formula>
    </cfRule>
    <cfRule type="expression" dxfId="42" priority="31" stopIfTrue="1">
      <formula>B4="Inv / Credit Committee"</formula>
    </cfRule>
    <cfRule type="expression" dxfId="41" priority="32">
      <formula>B4="Declined"</formula>
    </cfRule>
  </conditionalFormatting>
  <conditionalFormatting sqref="A4:A388">
    <cfRule type="expression" dxfId="40" priority="26">
      <formula>A4&lt;0</formula>
    </cfRule>
  </conditionalFormatting>
  <conditionalFormatting sqref="K365">
    <cfRule type="expression" dxfId="39" priority="24">
      <formula>K365="No"</formula>
    </cfRule>
    <cfRule type="expression" dxfId="38" priority="25">
      <formula>K365="YES"</formula>
    </cfRule>
  </conditionalFormatting>
  <conditionalFormatting sqref="K364">
    <cfRule type="expression" dxfId="37" priority="22">
      <formula>K364="No"</formula>
    </cfRule>
    <cfRule type="expression" dxfId="36" priority="23">
      <formula>K364="YES"</formula>
    </cfRule>
  </conditionalFormatting>
  <conditionalFormatting sqref="L364">
    <cfRule type="expression" dxfId="35" priority="18">
      <formula>L364="No"</formula>
    </cfRule>
    <cfRule type="expression" dxfId="34" priority="19">
      <formula>L364="YES"</formula>
    </cfRule>
  </conditionalFormatting>
  <conditionalFormatting sqref="B1">
    <cfRule type="expression" dxfId="33" priority="14">
      <formula>B1="Closed / Deferred"</formula>
    </cfRule>
    <cfRule type="expression" dxfId="32" priority="15">
      <formula>B1="Open"</formula>
    </cfRule>
    <cfRule type="expression" dxfId="31" priority="16" stopIfTrue="1">
      <formula>B1="Inv / Credit Committee"</formula>
    </cfRule>
    <cfRule type="expression" dxfId="30" priority="17">
      <formula>B1="Declined"</formula>
    </cfRule>
  </conditionalFormatting>
  <conditionalFormatting sqref="J369:J371 J371:N372">
    <cfRule type="expression" dxfId="29" priority="11">
      <formula>J369="No"</formula>
    </cfRule>
    <cfRule type="expression" dxfId="28" priority="12">
      <formula>J369="YES"</formula>
    </cfRule>
  </conditionalFormatting>
  <conditionalFormatting sqref="J373:O373">
    <cfRule type="expression" dxfId="27" priority="9">
      <formula>J373="No"</formula>
    </cfRule>
    <cfRule type="expression" dxfId="26" priority="10">
      <formula>J373="YES"</formula>
    </cfRule>
  </conditionalFormatting>
  <conditionalFormatting sqref="J374:O374">
    <cfRule type="expression" dxfId="25" priority="7">
      <formula>J374="No"</formula>
    </cfRule>
    <cfRule type="expression" dxfId="24" priority="8">
      <formula>J374="YES"</formula>
    </cfRule>
  </conditionalFormatting>
  <conditionalFormatting sqref="J375:O375">
    <cfRule type="expression" dxfId="23" priority="5">
      <formula>J375="No"</formula>
    </cfRule>
    <cfRule type="expression" dxfId="22" priority="6">
      <formula>J375="YES"</formula>
    </cfRule>
  </conditionalFormatting>
  <conditionalFormatting sqref="J376:L376">
    <cfRule type="expression" dxfId="21" priority="3">
      <formula>J376="No"</formula>
    </cfRule>
    <cfRule type="expression" dxfId="20" priority="4">
      <formula>J376="YES"</formula>
    </cfRule>
  </conditionalFormatting>
  <conditionalFormatting sqref="J377:J379">
    <cfRule type="expression" dxfId="19" priority="1">
      <formula>J377="No"</formula>
    </cfRule>
    <cfRule type="expression" dxfId="18" priority="2">
      <formula>J377="YES"</formula>
    </cfRule>
  </conditionalFormatting>
  <dataValidations count="6">
    <dataValidation type="list" allowBlank="1" showInputMessage="1" showErrorMessage="1" sqref="J4:O375 J377:J380 J376:L376 K377:L379 M376:O379 K380:O393" xr:uid="{D17D8569-34B5-4664-A53E-18587704C544}">
      <formula1>Deal_Status</formula1>
    </dataValidation>
    <dataValidation type="list" allowBlank="1" showInputMessage="1" showErrorMessage="1" sqref="I4:I388" xr:uid="{C45D3AEA-64C8-438D-8D3F-E91B0512992D}">
      <formula1>FR_Team</formula1>
    </dataValidation>
    <dataValidation type="list" showInputMessage="1" showErrorMessage="1" sqref="F4:F388" xr:uid="{F14AB673-3F38-4333-BC20-21A16CE89F8C}">
      <formula1>Placement_Advisor</formula1>
    </dataValidation>
    <dataValidation type="list" allowBlank="1" showInputMessage="1" showErrorMessage="1" sqref="E1 H4:H388" xr:uid="{3B224CD4-EA06-4B66-8CBC-EDBD89DA53B7}">
      <formula1>Investor_Classification</formula1>
    </dataValidation>
    <dataValidation type="list" allowBlank="1" sqref="B1 B4:B388" xr:uid="{C40C710D-B6AB-40F8-A3CD-A0CCA21ABC4E}">
      <formula1>Engagement_Status</formula1>
    </dataValidation>
    <dataValidation type="whole" showInputMessage="1" showErrorMessage="1" sqref="G4:G388" xr:uid="{FB885FF5-7F65-4CDB-9CD5-D85CCD9F24E1}">
      <formula1>0</formula1>
      <formula2>400</formula2>
    </dataValidation>
  </dataValidations>
  <pageMargins left="0.70866141732283472" right="0.70866141732283472" top="0.74803149606299213" bottom="0.74803149606299213" header="0.31496062992125984" footer="0.31496062992125984"/>
  <pageSetup paperSize="9" scale="33" fitToHeight="8" orientation="portrait" r:id="rId1"/>
  <headerFooter>
    <oddHeader>&amp;A</oddHeader>
    <oddFooter>&amp;L&amp;B Confidential&amp;B&amp;C&amp;D&amp;RPage &amp;P</oddFooter>
  </headerFooter>
  <colBreaks count="1" manualBreakCount="1">
    <brk id="18" max="142" man="1"/>
  </col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78BD7-41C6-4755-998E-88A7ECDF8218}">
  <sheetPr codeName="Sheet8">
    <outlinePr summaryBelow="0" summaryRight="0"/>
    <pageSetUpPr fitToPage="1"/>
  </sheetPr>
  <dimension ref="A1:O480"/>
  <sheetViews>
    <sheetView view="pageBreakPreview" zoomScaleNormal="100" zoomScaleSheetLayoutView="100" workbookViewId="0">
      <pane ySplit="3" topLeftCell="A81" activePane="bottomLeft" state="frozen"/>
      <selection pane="bottomLeft" activeCell="C81" sqref="C81"/>
    </sheetView>
  </sheetViews>
  <sheetFormatPr baseColWidth="10" defaultColWidth="12.6640625" defaultRowHeight="13" x14ac:dyDescent="0.15"/>
  <cols>
    <col min="1" max="1" width="12.6640625" style="87" customWidth="1"/>
    <col min="2" max="2" width="19.1640625" style="87" customWidth="1"/>
    <col min="3" max="3" width="29.6640625" style="87" customWidth="1"/>
    <col min="4" max="4" width="21.6640625" style="87" customWidth="1"/>
    <col min="5" max="5" width="24" style="87" customWidth="1"/>
    <col min="6" max="6" width="17" style="87" customWidth="1"/>
    <col min="7" max="7" width="30" style="87" customWidth="1"/>
    <col min="8" max="8" width="32.6640625" style="87" customWidth="1"/>
    <col min="9" max="10" width="17.1640625" style="87" customWidth="1"/>
    <col min="11" max="11" width="14.33203125" style="87" customWidth="1"/>
    <col min="12" max="12" width="11" style="87" customWidth="1"/>
    <col min="13" max="13" width="11.33203125" style="87" customWidth="1"/>
    <col min="14" max="14" width="57.83203125" style="87" customWidth="1"/>
    <col min="15" max="16384" width="12.6640625" style="87"/>
  </cols>
  <sheetData>
    <row r="1" spans="1:14" ht="14" x14ac:dyDescent="0.15">
      <c r="A1" s="85"/>
      <c r="B1" s="86"/>
      <c r="C1" s="86"/>
      <c r="D1" s="85" t="s">
        <v>893</v>
      </c>
      <c r="E1" s="86" t="s">
        <v>894</v>
      </c>
      <c r="F1" s="86" t="s">
        <v>895</v>
      </c>
      <c r="G1" s="86"/>
      <c r="H1" s="86"/>
      <c r="I1" s="86"/>
      <c r="J1" s="86"/>
      <c r="K1" s="86"/>
      <c r="L1" s="86"/>
      <c r="M1" s="86"/>
      <c r="N1" s="86"/>
    </row>
    <row r="2" spans="1:14" x14ac:dyDescent="0.15">
      <c r="A2" s="85"/>
      <c r="B2" s="86"/>
      <c r="C2" s="86"/>
      <c r="D2" s="85"/>
      <c r="E2" s="86"/>
      <c r="F2" s="86"/>
      <c r="G2" s="86"/>
      <c r="H2" s="86"/>
      <c r="I2" s="86"/>
      <c r="J2" s="86"/>
      <c r="K2" s="86"/>
      <c r="L2" s="86"/>
      <c r="M2" s="86"/>
      <c r="N2" s="86"/>
    </row>
    <row r="3" spans="1:14" ht="30" x14ac:dyDescent="0.15">
      <c r="A3" s="74" t="str">
        <f>Summary_FR!F3</f>
        <v>Reference</v>
      </c>
      <c r="B3" s="74" t="str">
        <f>Summary_FR!H3</f>
        <v>Investor Type</v>
      </c>
      <c r="C3" s="74" t="str">
        <f>Summary_FR!E3</f>
        <v>Organisation</v>
      </c>
      <c r="D3" s="74" t="s">
        <v>896</v>
      </c>
      <c r="E3" s="74" t="s">
        <v>897</v>
      </c>
      <c r="F3" s="74" t="s">
        <v>898</v>
      </c>
      <c r="G3" s="74" t="s">
        <v>899</v>
      </c>
      <c r="H3" s="74" t="s">
        <v>900</v>
      </c>
      <c r="I3" s="74" t="s">
        <v>901</v>
      </c>
      <c r="J3" s="74" t="s">
        <v>902</v>
      </c>
      <c r="K3" s="74" t="s">
        <v>903</v>
      </c>
      <c r="L3" s="74" t="s">
        <v>904</v>
      </c>
      <c r="M3" s="74" t="s">
        <v>905</v>
      </c>
      <c r="N3" s="74" t="s">
        <v>906</v>
      </c>
    </row>
    <row r="4" spans="1:14" ht="28" x14ac:dyDescent="0.15">
      <c r="A4" s="86" t="str">
        <f>IF($C4="","",INDEX(Summary_FR!$A$3:$R$557,MATCH($C4,Summary_FR!$E$3:$E$557,0),MATCH(A$3,Summary_FR!$A$3:$R$3,0)))</f>
        <v>Propreitory</v>
      </c>
      <c r="B4" s="86" t="str">
        <f>IF($C4="","",INDEX(Summary_FR!$A$3:$R$557,MATCH($C4,Summary_FR!$E$3:$E$557,0),MATCH(B$3,Summary_FR!$A$3:$R$3,0)))</f>
        <v>SWFs / MFIs / Pension Funds / FoFs</v>
      </c>
      <c r="C4" s="86" t="s">
        <v>93</v>
      </c>
      <c r="D4" s="86" t="s">
        <v>907</v>
      </c>
      <c r="E4" s="86" t="s">
        <v>908</v>
      </c>
      <c r="F4" s="86"/>
      <c r="G4" s="86"/>
      <c r="H4" s="86"/>
      <c r="I4" s="88" t="s">
        <v>909</v>
      </c>
      <c r="J4" s="88"/>
      <c r="K4" s="86"/>
      <c r="L4" s="86"/>
      <c r="M4" s="86"/>
      <c r="N4" s="86"/>
    </row>
    <row r="5" spans="1:14" ht="28" x14ac:dyDescent="0.15">
      <c r="A5" s="86" t="str">
        <f>IF($C5="","",INDEX(Summary_FR!$A$3:$R$557,MATCH($C5,Summary_FR!$E$3:$E$557,0),MATCH(A$3,Summary_FR!$A$3:$R$3,0)))</f>
        <v>Government</v>
      </c>
      <c r="B5" s="86" t="str">
        <f>IF($C5="","",INDEX(Summary_FR!$A$3:$R$557,MATCH($C5,Summary_FR!$E$3:$E$557,0),MATCH(B$3,Summary_FR!$A$3:$R$3,0)))</f>
        <v>SWFs / MFIs / Pension Funds / FoFs</v>
      </c>
      <c r="C5" s="86" t="s">
        <v>54</v>
      </c>
      <c r="D5" s="86" t="s">
        <v>910</v>
      </c>
      <c r="E5" s="86" t="s">
        <v>911</v>
      </c>
      <c r="F5" s="86"/>
      <c r="G5" s="86"/>
      <c r="H5" s="86"/>
      <c r="I5" s="86"/>
      <c r="J5" s="86"/>
      <c r="K5" s="86"/>
      <c r="L5" s="86"/>
      <c r="M5" s="86"/>
      <c r="N5" s="86" t="s">
        <v>912</v>
      </c>
    </row>
    <row r="6" spans="1:14" ht="28" x14ac:dyDescent="0.15">
      <c r="A6" s="86" t="str">
        <f>IF($C6="","",INDEX(Summary_FR!$A$3:$R$557,MATCH($C6,Summary_FR!$E$3:$E$557,0),MATCH(A$3,Summary_FR!$A$3:$R$3,0)))</f>
        <v>Propreitory</v>
      </c>
      <c r="B6" s="86" t="str">
        <f>IF($C6="","",INDEX(Summary_FR!$A$3:$R$557,MATCH($C6,Summary_FR!$E$3:$E$557,0),MATCH(B$3,Summary_FR!$A$3:$R$3,0)))</f>
        <v>Advisor</v>
      </c>
      <c r="C6" s="86" t="s">
        <v>95</v>
      </c>
      <c r="D6" s="86" t="s">
        <v>913</v>
      </c>
      <c r="E6" s="86" t="s">
        <v>914</v>
      </c>
      <c r="F6" s="86" t="s">
        <v>915</v>
      </c>
      <c r="G6" s="89" t="s">
        <v>916</v>
      </c>
      <c r="H6" s="86"/>
      <c r="I6" s="86"/>
      <c r="J6" s="86"/>
      <c r="K6" s="86"/>
      <c r="L6" s="86"/>
      <c r="M6" s="86"/>
      <c r="N6" s="86" t="s">
        <v>917</v>
      </c>
    </row>
    <row r="7" spans="1:14" ht="28" x14ac:dyDescent="0.15">
      <c r="A7" s="86" t="str">
        <f>IF($C7="","",INDEX(Summary_FR!$A$3:$R$557,MATCH($C7,Summary_FR!$E$3:$E$557,0),MATCH(A$3,Summary_FR!$A$3:$R$3,0)))</f>
        <v>Propreitory</v>
      </c>
      <c r="B7" s="86" t="str">
        <f>IF($C7="","",INDEX(Summary_FR!$A$3:$R$557,MATCH($C7,Summary_FR!$E$3:$E$557,0),MATCH(B$3,Summary_FR!$A$3:$R$3,0)))</f>
        <v>SWFs / MFIs / Pension Funds / FoFs</v>
      </c>
      <c r="C7" s="86" t="s">
        <v>96</v>
      </c>
      <c r="D7" s="86" t="s">
        <v>918</v>
      </c>
      <c r="E7" s="86" t="s">
        <v>919</v>
      </c>
      <c r="F7" s="86"/>
      <c r="G7" s="86" t="s">
        <v>920</v>
      </c>
      <c r="H7" s="86"/>
      <c r="I7" s="88" t="s">
        <v>921</v>
      </c>
      <c r="J7" s="88"/>
      <c r="K7" s="86"/>
      <c r="L7" s="86"/>
      <c r="M7" s="86"/>
      <c r="N7" s="86"/>
    </row>
    <row r="8" spans="1:14" ht="21.75" customHeight="1" x14ac:dyDescent="0.15">
      <c r="A8" s="86" t="str">
        <f>IF($C8="","",INDEX(Summary_FR!$A$3:$R$557,MATCH($C8,Summary_FR!$E$3:$E$557,0),MATCH(A$3,Summary_FR!$A$3:$R$3,0)))</f>
        <v>SKC</v>
      </c>
      <c r="B8" s="86" t="str">
        <f>IF($C8="","",INDEX(Summary_FR!$A$3:$R$557,MATCH($C8,Summary_FR!$E$3:$E$557,0),MATCH(B$3,Summary_FR!$A$3:$R$3,0)))</f>
        <v>PSU Banks / PFIs</v>
      </c>
      <c r="C8" s="86" t="s">
        <v>38</v>
      </c>
      <c r="D8" s="86" t="s">
        <v>922</v>
      </c>
      <c r="E8" s="86" t="s">
        <v>923</v>
      </c>
      <c r="F8" s="86"/>
      <c r="G8" s="86" t="s">
        <v>924</v>
      </c>
      <c r="H8" s="86" t="s">
        <v>925</v>
      </c>
      <c r="I8" s="86"/>
      <c r="J8" s="86"/>
      <c r="K8" s="86"/>
      <c r="L8" s="86"/>
      <c r="M8" s="86"/>
      <c r="N8" s="86" t="s">
        <v>926</v>
      </c>
    </row>
    <row r="9" spans="1:14" ht="28" x14ac:dyDescent="0.15">
      <c r="A9" s="86" t="str">
        <f>IF($C9="","",INDEX(Summary_FR!$A$3:$R$557,MATCH($C9,Summary_FR!$E$3:$E$557,0),MATCH(A$3,Summary_FR!$A$3:$R$3,0)))</f>
        <v>Propreitory</v>
      </c>
      <c r="B9" s="86" t="str">
        <f>IF($C9="","",INDEX(Summary_FR!$A$3:$R$557,MATCH($C9,Summary_FR!$E$3:$E$557,0),MATCH(B$3,Summary_FR!$A$3:$R$3,0)))</f>
        <v>SWFs / MFIs / Pension Funds / FoFs</v>
      </c>
      <c r="C9" s="86" t="s">
        <v>367</v>
      </c>
      <c r="D9" s="86" t="s">
        <v>927</v>
      </c>
      <c r="E9" s="86" t="s">
        <v>928</v>
      </c>
      <c r="F9" s="86"/>
      <c r="G9" s="86" t="s">
        <v>929</v>
      </c>
      <c r="H9" s="86"/>
      <c r="I9" s="86" t="s">
        <v>930</v>
      </c>
      <c r="J9" s="86"/>
      <c r="K9" s="86"/>
      <c r="L9" s="86"/>
      <c r="M9" s="86"/>
      <c r="N9" s="86"/>
    </row>
    <row r="10" spans="1:14" ht="28" x14ac:dyDescent="0.15">
      <c r="A10" s="86" t="str">
        <f>IF($C10="","",INDEX(Summary_FR!$A$3:$R$557,MATCH($C10,Summary_FR!$E$3:$E$557,0),MATCH(A$3,Summary_FR!$A$3:$R$3,0)))</f>
        <v>SBI Caps</v>
      </c>
      <c r="B10" s="86" t="str">
        <f>IF($C10="","",INDEX(Summary_FR!$A$3:$R$557,MATCH($C10,Summary_FR!$E$3:$E$557,0),MATCH(B$3,Summary_FR!$A$3:$R$3,0)))</f>
        <v>PSU Banks / PFIs</v>
      </c>
      <c r="C10" s="86" t="s">
        <v>98</v>
      </c>
      <c r="D10" s="86" t="s">
        <v>931</v>
      </c>
      <c r="E10" s="86" t="s">
        <v>932</v>
      </c>
      <c r="F10" s="86"/>
      <c r="G10" s="89"/>
      <c r="H10" s="86" t="s">
        <v>933</v>
      </c>
      <c r="I10" s="86"/>
      <c r="J10" s="86"/>
      <c r="K10" s="86"/>
      <c r="L10" s="86" t="s">
        <v>934</v>
      </c>
      <c r="M10" s="86"/>
      <c r="N10" s="86" t="s">
        <v>935</v>
      </c>
    </row>
    <row r="11" spans="1:14" ht="28" x14ac:dyDescent="0.15">
      <c r="A11" s="86" t="str">
        <f>IF($C11="","",INDEX(Summary_FR!$A$3:$R$557,MATCH($C11,Summary_FR!$E$3:$E$557,0),MATCH(A$3,Summary_FR!$A$3:$R$3,0)))</f>
        <v>SBI Caps</v>
      </c>
      <c r="B11" s="86" t="str">
        <f>IF($C11="","",INDEX(Summary_FR!$A$3:$R$557,MATCH($C11,Summary_FR!$E$3:$E$557,0),MATCH(B$3,Summary_FR!$A$3:$R$3,0)))</f>
        <v>PSU Banks / PFIs</v>
      </c>
      <c r="C11" s="86" t="s">
        <v>98</v>
      </c>
      <c r="D11" s="86" t="s">
        <v>936</v>
      </c>
      <c r="E11" s="86" t="s">
        <v>937</v>
      </c>
      <c r="F11" s="86"/>
      <c r="G11" s="89" t="s">
        <v>938</v>
      </c>
      <c r="H11" s="86" t="s">
        <v>933</v>
      </c>
      <c r="I11" s="86"/>
      <c r="J11" s="86"/>
      <c r="K11" s="86"/>
      <c r="L11" s="86" t="s">
        <v>934</v>
      </c>
      <c r="M11" s="86"/>
      <c r="N11" s="86" t="s">
        <v>935</v>
      </c>
    </row>
    <row r="12" spans="1:14" ht="14" x14ac:dyDescent="0.15">
      <c r="A12" s="86" t="str">
        <f>IF($C12="","",INDEX(Summary_FR!$A$3:$R$557,MATCH($C12,Summary_FR!$E$3:$E$557,0),MATCH(A$3,Summary_FR!$A$3:$R$3,0)))</f>
        <v>SBI Caps</v>
      </c>
      <c r="B12" s="86" t="str">
        <f>IF($C12="","",INDEX(Summary_FR!$A$3:$R$557,MATCH($C12,Summary_FR!$E$3:$E$557,0),MATCH(B$3,Summary_FR!$A$3:$R$3,0)))</f>
        <v>PSU Banks / PFIs</v>
      </c>
      <c r="C12" s="86" t="s">
        <v>98</v>
      </c>
      <c r="D12" s="86" t="s">
        <v>939</v>
      </c>
      <c r="E12" s="86" t="s">
        <v>940</v>
      </c>
      <c r="F12" s="86"/>
      <c r="G12" s="86" t="s">
        <v>941</v>
      </c>
      <c r="H12" s="86"/>
      <c r="I12" s="86" t="s">
        <v>942</v>
      </c>
      <c r="J12" s="86"/>
      <c r="K12" s="86"/>
      <c r="L12" s="86"/>
      <c r="M12" s="86"/>
      <c r="N12" s="86"/>
    </row>
    <row r="13" spans="1:14" ht="42" x14ac:dyDescent="0.15">
      <c r="A13" s="86" t="str">
        <f>IF($C13="","",INDEX(Summary_FR!$A$3:$R$557,MATCH($C13,Summary_FR!$E$3:$E$557,0),MATCH(A$3,Summary_FR!$A$3:$R$3,0)))</f>
        <v>CFM</v>
      </c>
      <c r="B13" s="86" t="str">
        <f>IF($C13="","",INDEX(Summary_FR!$A$3:$R$557,MATCH($C13,Summary_FR!$E$3:$E$557,0),MATCH(B$3,Summary_FR!$A$3:$R$3,0)))</f>
        <v>PSU Banks / PFIs</v>
      </c>
      <c r="C13" s="86" t="s">
        <v>44</v>
      </c>
      <c r="D13" s="86" t="s">
        <v>943</v>
      </c>
      <c r="E13" s="86" t="s">
        <v>923</v>
      </c>
      <c r="F13" s="86"/>
      <c r="G13" s="89" t="s">
        <v>944</v>
      </c>
      <c r="H13" s="86" t="s">
        <v>945</v>
      </c>
      <c r="I13" s="86"/>
      <c r="J13" s="86"/>
      <c r="K13" s="86"/>
      <c r="L13" s="86"/>
      <c r="M13" s="86"/>
      <c r="N13" s="86"/>
    </row>
    <row r="14" spans="1:14" ht="42" x14ac:dyDescent="0.15">
      <c r="A14" s="86" t="str">
        <f>IF($C14="","",INDEX(Summary_FR!$A$3:$R$557,MATCH($C14,Summary_FR!$E$3:$E$557,0),MATCH(A$3,Summary_FR!$A$3:$R$3,0)))</f>
        <v>CFM</v>
      </c>
      <c r="B14" s="86" t="str">
        <f>IF($C14="","",INDEX(Summary_FR!$A$3:$R$557,MATCH($C14,Summary_FR!$E$3:$E$557,0),MATCH(B$3,Summary_FR!$A$3:$R$3,0)))</f>
        <v>PSU Banks / PFIs</v>
      </c>
      <c r="C14" s="86" t="s">
        <v>44</v>
      </c>
      <c r="D14" s="86" t="s">
        <v>946</v>
      </c>
      <c r="E14" s="86" t="s">
        <v>923</v>
      </c>
      <c r="F14" s="86"/>
      <c r="G14" s="86" t="s">
        <v>944</v>
      </c>
      <c r="H14" s="86" t="s">
        <v>947</v>
      </c>
      <c r="I14" s="86"/>
      <c r="J14" s="86"/>
      <c r="K14" s="86"/>
      <c r="L14" s="86" t="s">
        <v>948</v>
      </c>
      <c r="M14" s="86" t="s">
        <v>949</v>
      </c>
      <c r="N14" s="86" t="s">
        <v>926</v>
      </c>
    </row>
    <row r="15" spans="1:14" ht="42" x14ac:dyDescent="0.15">
      <c r="A15" s="86" t="str">
        <f>IF($C15="","",INDEX(Summary_FR!$A$3:$R$557,MATCH($C15,Summary_FR!$E$3:$E$557,0),MATCH(A$3,Summary_FR!$A$3:$R$3,0)))</f>
        <v>CFM</v>
      </c>
      <c r="B15" s="86" t="str">
        <f>IF($C15="","",INDEX(Summary_FR!$A$3:$R$557,MATCH($C15,Summary_FR!$E$3:$E$557,0),MATCH(B$3,Summary_FR!$A$3:$R$3,0)))</f>
        <v>PSU Banks / PFIs</v>
      </c>
      <c r="C15" s="86" t="s">
        <v>99</v>
      </c>
      <c r="D15" s="86" t="s">
        <v>950</v>
      </c>
      <c r="E15" s="86" t="s">
        <v>923</v>
      </c>
      <c r="F15" s="86"/>
      <c r="G15" s="89" t="s">
        <v>951</v>
      </c>
      <c r="H15" s="86" t="s">
        <v>952</v>
      </c>
      <c r="I15" s="86"/>
      <c r="J15" s="86"/>
      <c r="K15" s="86"/>
      <c r="L15" s="86"/>
      <c r="M15" s="86"/>
      <c r="N15" s="86"/>
    </row>
    <row r="16" spans="1:14" ht="28" x14ac:dyDescent="0.15">
      <c r="A16" s="86" t="str">
        <f>IF($C16="","",INDEX(Summary_FR!$A$3:$R$557,MATCH($C16,Summary_FR!$E$3:$E$557,0),MATCH(A$3,Summary_FR!$A$3:$R$3,0)))</f>
        <v>CFM</v>
      </c>
      <c r="B16" s="86" t="str">
        <f>IF($C16="","",INDEX(Summary_FR!$A$3:$R$557,MATCH($C16,Summary_FR!$E$3:$E$557,0),MATCH(B$3,Summary_FR!$A$3:$R$3,0)))</f>
        <v>PSU Banks / PFIs</v>
      </c>
      <c r="C16" s="86" t="s">
        <v>99</v>
      </c>
      <c r="D16" s="86" t="s">
        <v>953</v>
      </c>
      <c r="E16" s="86" t="s">
        <v>923</v>
      </c>
      <c r="F16" s="86"/>
      <c r="G16" s="86" t="s">
        <v>954</v>
      </c>
      <c r="H16" s="86" t="s">
        <v>955</v>
      </c>
      <c r="I16" s="86"/>
      <c r="J16" s="86"/>
      <c r="K16" s="86"/>
      <c r="L16" s="86"/>
      <c r="M16" s="86"/>
      <c r="N16" s="86" t="s">
        <v>926</v>
      </c>
    </row>
    <row r="17" spans="1:14" ht="56" x14ac:dyDescent="0.15">
      <c r="A17" s="86" t="str">
        <f>IF($C17="","",INDEX(Summary_FR!$A$3:$R$557,MATCH($C17,Summary_FR!$E$3:$E$557,0),MATCH(A$3,Summary_FR!$A$3:$R$3,0)))</f>
        <v>Propreitory</v>
      </c>
      <c r="B17" s="86" t="str">
        <f>IF($C17="","",INDEX(Summary_FR!$A$3:$R$557,MATCH($C17,Summary_FR!$E$3:$E$557,0),MATCH(B$3,Summary_FR!$A$3:$R$3,0)))</f>
        <v>Sponsors</v>
      </c>
      <c r="C17" s="86" t="s">
        <v>46</v>
      </c>
      <c r="D17" s="86" t="s">
        <v>956</v>
      </c>
      <c r="E17" s="86" t="s">
        <v>923</v>
      </c>
      <c r="F17" s="86"/>
      <c r="G17" s="86" t="s">
        <v>957</v>
      </c>
      <c r="H17" s="86" t="s">
        <v>958</v>
      </c>
      <c r="I17" s="86"/>
      <c r="J17" s="86"/>
      <c r="K17" s="86"/>
      <c r="L17" s="86" t="s">
        <v>959</v>
      </c>
      <c r="M17" s="86"/>
      <c r="N17" s="86" t="s">
        <v>960</v>
      </c>
    </row>
    <row r="18" spans="1:14" ht="28" x14ac:dyDescent="0.15">
      <c r="A18" s="86" t="str">
        <f>IF($C18="","",INDEX(Summary_FR!$A$3:$R$557,MATCH($C18,Summary_FR!$E$3:$E$557,0),MATCH(A$3,Summary_FR!$A$3:$R$3,0)))</f>
        <v>Propreitory</v>
      </c>
      <c r="B18" s="86" t="str">
        <f>IF($C18="","",INDEX(Summary_FR!$A$3:$R$557,MATCH($C18,Summary_FR!$E$3:$E$557,0),MATCH(B$3,Summary_FR!$A$3:$R$3,0)))</f>
        <v>Sponsors</v>
      </c>
      <c r="C18" s="86" t="s">
        <v>46</v>
      </c>
      <c r="D18" s="86" t="s">
        <v>961</v>
      </c>
      <c r="E18" s="86" t="s">
        <v>923</v>
      </c>
      <c r="F18" s="86"/>
      <c r="G18" s="89" t="s">
        <v>957</v>
      </c>
      <c r="H18" s="86" t="s">
        <v>962</v>
      </c>
      <c r="I18" s="86"/>
      <c r="J18" s="86"/>
      <c r="K18" s="86"/>
      <c r="L18" s="86"/>
      <c r="M18" s="86"/>
      <c r="N18" s="86"/>
    </row>
    <row r="19" spans="1:14" ht="27" customHeight="1" x14ac:dyDescent="0.15">
      <c r="A19" s="86" t="str">
        <f>IF($C19="","",INDEX(Summary_FR!$A$3:$R$557,MATCH($C19,Summary_FR!$E$3:$E$557,0),MATCH(A$3,Summary_FR!$A$3:$R$3,0)))</f>
        <v>Others</v>
      </c>
      <c r="B19" s="86" t="str">
        <f>IF($C19="","",INDEX(Summary_FR!$A$3:$R$557,MATCH($C19,Summary_FR!$E$3:$E$557,0),MATCH(B$3,Summary_FR!$A$3:$R$3,0)))</f>
        <v>Advisor</v>
      </c>
      <c r="C19" s="86" t="s">
        <v>100</v>
      </c>
      <c r="D19" s="86" t="s">
        <v>963</v>
      </c>
      <c r="E19" s="86" t="s">
        <v>964</v>
      </c>
      <c r="F19" s="86"/>
      <c r="G19" s="86" t="s">
        <v>965</v>
      </c>
      <c r="H19" s="86"/>
      <c r="I19" s="86" t="s">
        <v>966</v>
      </c>
      <c r="J19" s="86"/>
      <c r="K19" s="86"/>
      <c r="L19" s="86"/>
      <c r="M19" s="86"/>
      <c r="N19" s="86" t="s">
        <v>967</v>
      </c>
    </row>
    <row r="20" spans="1:14" ht="28" x14ac:dyDescent="0.15">
      <c r="A20" s="86" t="str">
        <f>IF($C20="","",INDEX(Summary_FR!$A$3:$R$557,MATCH($C20,Summary_FR!$E$3:$E$557,0),MATCH(A$3,Summary_FR!$A$3:$R$3,0)))</f>
        <v>Propreitory</v>
      </c>
      <c r="B20" s="86" t="str">
        <f>IF($C20="","",INDEX(Summary_FR!$A$3:$R$557,MATCH($C20,Summary_FR!$E$3:$E$557,0),MATCH(B$3,Summary_FR!$A$3:$R$3,0)))</f>
        <v>Private Sector / Foreign  Banks in India / NBFCs</v>
      </c>
      <c r="C20" s="86" t="s">
        <v>101</v>
      </c>
      <c r="D20" s="86" t="s">
        <v>968</v>
      </c>
      <c r="E20" s="86" t="s">
        <v>923</v>
      </c>
      <c r="F20" s="86"/>
      <c r="G20" s="86" t="s">
        <v>969</v>
      </c>
      <c r="H20" s="86" t="s">
        <v>970</v>
      </c>
      <c r="I20" s="86"/>
      <c r="J20" s="86"/>
      <c r="K20" s="86"/>
      <c r="L20" s="86"/>
      <c r="M20" s="86"/>
      <c r="N20" s="86" t="s">
        <v>926</v>
      </c>
    </row>
    <row r="21" spans="1:14" ht="28" x14ac:dyDescent="0.15">
      <c r="A21" s="86" t="str">
        <f>IF($C21="","",INDEX(Summary_FR!$A$3:$R$557,MATCH($C21,Summary_FR!$E$3:$E$557,0),MATCH(A$3,Summary_FR!$A$3:$R$3,0)))</f>
        <v>Propreitory</v>
      </c>
      <c r="B21" s="86" t="str">
        <f>IF($C21="","",INDEX(Summary_FR!$A$3:$R$557,MATCH($C21,Summary_FR!$E$3:$E$557,0),MATCH(B$3,Summary_FR!$A$3:$R$3,0)))</f>
        <v>Private Sector / Foreign  Banks in India / NBFCs</v>
      </c>
      <c r="C21" s="86" t="s">
        <v>101</v>
      </c>
      <c r="D21" s="86" t="s">
        <v>971</v>
      </c>
      <c r="E21" s="86" t="s">
        <v>923</v>
      </c>
      <c r="F21" s="86"/>
      <c r="G21" s="89" t="s">
        <v>972</v>
      </c>
      <c r="H21" s="86" t="s">
        <v>973</v>
      </c>
      <c r="I21" s="86"/>
      <c r="J21" s="86"/>
      <c r="K21" s="86"/>
      <c r="L21" s="86"/>
      <c r="M21" s="86"/>
      <c r="N21" s="86"/>
    </row>
    <row r="22" spans="1:14" ht="28" x14ac:dyDescent="0.15">
      <c r="A22" s="86" t="str">
        <f>IF($C22="","",INDEX(Summary_FR!$A$3:$R$557,MATCH($C22,Summary_FR!$E$3:$E$557,0),MATCH(A$3,Summary_FR!$A$3:$R$3,0)))</f>
        <v>Propreitory</v>
      </c>
      <c r="B22" s="86" t="str">
        <f>IF($C22="","",INDEX(Summary_FR!$A$3:$R$557,MATCH($C22,Summary_FR!$E$3:$E$557,0),MATCH(B$3,Summary_FR!$A$3:$R$3,0)))</f>
        <v>PSU Banks / PFIs</v>
      </c>
      <c r="C22" s="86" t="s">
        <v>102</v>
      </c>
      <c r="D22" s="86" t="s">
        <v>974</v>
      </c>
      <c r="E22" s="86" t="s">
        <v>975</v>
      </c>
      <c r="F22" s="86" t="s">
        <v>976</v>
      </c>
      <c r="G22" s="89" t="s">
        <v>977</v>
      </c>
      <c r="H22" s="86"/>
      <c r="I22" s="86"/>
      <c r="J22" s="86"/>
      <c r="K22" s="86"/>
      <c r="L22" s="86"/>
      <c r="M22" s="86"/>
      <c r="N22" s="86" t="s">
        <v>917</v>
      </c>
    </row>
    <row r="23" spans="1:14" ht="14" x14ac:dyDescent="0.15">
      <c r="A23" s="86" t="str">
        <f>IF($C23="","",INDEX(Summary_FR!$A$3:$R$557,MATCH($C23,Summary_FR!$E$3:$E$557,0),MATCH(A$3,Summary_FR!$A$3:$R$3,0)))</f>
        <v>Propreitory</v>
      </c>
      <c r="B23" s="86" t="str">
        <f>IF($C23="","",INDEX(Summary_FR!$A$3:$R$557,MATCH($C23,Summary_FR!$E$3:$E$557,0),MATCH(B$3,Summary_FR!$A$3:$R$3,0)))</f>
        <v>Corporates</v>
      </c>
      <c r="C23" s="86" t="s">
        <v>103</v>
      </c>
      <c r="D23" s="86" t="s">
        <v>978</v>
      </c>
      <c r="E23" s="86" t="s">
        <v>979</v>
      </c>
      <c r="F23" s="86"/>
      <c r="G23" s="86" t="s">
        <v>980</v>
      </c>
      <c r="H23" s="86"/>
      <c r="I23" s="86" t="s">
        <v>981</v>
      </c>
      <c r="J23" s="86"/>
      <c r="K23" s="86"/>
      <c r="L23" s="86"/>
      <c r="M23" s="86"/>
      <c r="N23" s="86"/>
    </row>
    <row r="24" spans="1:14" ht="28" x14ac:dyDescent="0.15">
      <c r="A24" s="86" t="str">
        <f>IF($C24="","",INDEX(Summary_FR!$A$3:$R$557,MATCH($C24,Summary_FR!$E$3:$E$557,0),MATCH(A$3,Summary_FR!$A$3:$R$3,0)))</f>
        <v>Others</v>
      </c>
      <c r="B24" s="86" t="str">
        <f>IF($C24="","",INDEX(Summary_FR!$A$3:$R$557,MATCH($C24,Summary_FR!$E$3:$E$557,0),MATCH(B$3,Summary_FR!$A$3:$R$3,0)))</f>
        <v>SWFs / MFIs / Pension Funds / FoFs</v>
      </c>
      <c r="C24" s="86" t="s">
        <v>84</v>
      </c>
      <c r="D24" s="86" t="s">
        <v>982</v>
      </c>
      <c r="E24" s="86" t="s">
        <v>983</v>
      </c>
      <c r="F24" s="86" t="s">
        <v>984</v>
      </c>
      <c r="G24" s="86"/>
      <c r="H24" s="86"/>
      <c r="I24" s="86" t="s">
        <v>985</v>
      </c>
      <c r="J24" s="86"/>
      <c r="K24" s="86"/>
      <c r="L24" s="86"/>
      <c r="M24" s="86"/>
      <c r="N24" s="86" t="s">
        <v>986</v>
      </c>
    </row>
    <row r="25" spans="1:14" ht="28" x14ac:dyDescent="0.15">
      <c r="A25" s="86" t="str">
        <f>IF($C25="","",INDEX(Summary_FR!$A$3:$R$557,MATCH($C25,Summary_FR!$E$3:$E$557,0),MATCH(A$3,Summary_FR!$A$3:$R$3,0)))</f>
        <v>CFM</v>
      </c>
      <c r="B25" s="86" t="str">
        <f>IF($C25="","",INDEX(Summary_FR!$A$3:$R$557,MATCH($C25,Summary_FR!$E$3:$E$557,0),MATCH(B$3,Summary_FR!$A$3:$R$3,0)))</f>
        <v>PSU Banks / PFIs</v>
      </c>
      <c r="C25" s="86" t="s">
        <v>49</v>
      </c>
      <c r="D25" s="86" t="s">
        <v>987</v>
      </c>
      <c r="E25" s="86" t="s">
        <v>923</v>
      </c>
      <c r="F25" s="86"/>
      <c r="G25" s="89" t="s">
        <v>988</v>
      </c>
      <c r="H25" s="86" t="s">
        <v>989</v>
      </c>
      <c r="I25" s="86"/>
      <c r="J25" s="86"/>
      <c r="K25" s="86"/>
      <c r="L25" s="86"/>
      <c r="M25" s="86"/>
      <c r="N25" s="86"/>
    </row>
    <row r="26" spans="1:14" ht="28" x14ac:dyDescent="0.15">
      <c r="A26" s="86" t="str">
        <f>IF($C26="","",INDEX(Summary_FR!$A$3:$R$557,MATCH($C26,Summary_FR!$E$3:$E$557,0),MATCH(A$3,Summary_FR!$A$3:$R$3,0)))</f>
        <v>CFM</v>
      </c>
      <c r="B26" s="86" t="str">
        <f>IF($C26="","",INDEX(Summary_FR!$A$3:$R$557,MATCH($C26,Summary_FR!$E$3:$E$557,0),MATCH(B$3,Summary_FR!$A$3:$R$3,0)))</f>
        <v>PSU Banks / PFIs</v>
      </c>
      <c r="C26" s="86" t="s">
        <v>49</v>
      </c>
      <c r="D26" s="86" t="s">
        <v>990</v>
      </c>
      <c r="E26" s="86" t="s">
        <v>923</v>
      </c>
      <c r="F26" s="86"/>
      <c r="G26" s="86" t="s">
        <v>988</v>
      </c>
      <c r="H26" s="86" t="s">
        <v>991</v>
      </c>
      <c r="I26" s="86"/>
      <c r="J26" s="86"/>
      <c r="K26" s="86"/>
      <c r="L26" s="86"/>
      <c r="M26" s="86"/>
      <c r="N26" s="86" t="s">
        <v>926</v>
      </c>
    </row>
    <row r="27" spans="1:14" ht="28" x14ac:dyDescent="0.15">
      <c r="A27" s="86" t="str">
        <f>IF($C27="","",INDEX(Summary_FR!$A$3:$R$557,MATCH($C27,Summary_FR!$E$3:$E$557,0),MATCH(A$3,Summary_FR!$A$3:$R$3,0)))</f>
        <v>Propreitory</v>
      </c>
      <c r="B27" s="86" t="str">
        <f>IF($C27="","",INDEX(Summary_FR!$A$3:$R$557,MATCH($C27,Summary_FR!$E$3:$E$557,0),MATCH(B$3,Summary_FR!$A$3:$R$3,0)))</f>
        <v>Corporates</v>
      </c>
      <c r="C27" s="86" t="s">
        <v>104</v>
      </c>
      <c r="D27" s="86" t="s">
        <v>992</v>
      </c>
      <c r="E27" s="86" t="s">
        <v>923</v>
      </c>
      <c r="F27" s="86"/>
      <c r="G27" s="86" t="s">
        <v>993</v>
      </c>
      <c r="H27" s="86" t="s">
        <v>994</v>
      </c>
      <c r="I27" s="86"/>
      <c r="J27" s="86"/>
      <c r="K27" s="86"/>
      <c r="L27" s="86" t="s">
        <v>948</v>
      </c>
      <c r="M27" s="86" t="s">
        <v>995</v>
      </c>
      <c r="N27" s="86" t="s">
        <v>926</v>
      </c>
    </row>
    <row r="28" spans="1:14" ht="28" x14ac:dyDescent="0.15">
      <c r="A28" s="86" t="str">
        <f>IF($C28="","",INDEX(Summary_FR!$A$3:$R$557,MATCH($C28,Summary_FR!$E$3:$E$557,0),MATCH(A$3,Summary_FR!$A$3:$R$3,0)))</f>
        <v>Propreitory</v>
      </c>
      <c r="B28" s="86" t="str">
        <f>IF($C28="","",INDEX(Summary_FR!$A$3:$R$557,MATCH($C28,Summary_FR!$E$3:$E$557,0),MATCH(B$3,Summary_FR!$A$3:$R$3,0)))</f>
        <v>Corporates</v>
      </c>
      <c r="C28" s="86" t="s">
        <v>104</v>
      </c>
      <c r="D28" s="86" t="s">
        <v>996</v>
      </c>
      <c r="E28" s="86" t="s">
        <v>923</v>
      </c>
      <c r="F28" s="86"/>
      <c r="G28" s="89" t="s">
        <v>993</v>
      </c>
      <c r="H28" s="86" t="s">
        <v>997</v>
      </c>
      <c r="I28" s="86"/>
      <c r="J28" s="86"/>
      <c r="K28" s="86"/>
      <c r="L28" s="86"/>
      <c r="M28" s="86"/>
      <c r="N28" s="86"/>
    </row>
    <row r="29" spans="1:14" ht="28" x14ac:dyDescent="0.15">
      <c r="A29" s="86" t="str">
        <f>IF($C29="","",INDEX(Summary_FR!$A$3:$R$557,MATCH($C29,Summary_FR!$E$3:$E$557,0),MATCH(A$3,Summary_FR!$A$3:$R$3,0)))</f>
        <v>Propreitory</v>
      </c>
      <c r="B29" s="86" t="str">
        <f>IF($C29="","",INDEX(Summary_FR!$A$3:$R$557,MATCH($C29,Summary_FR!$E$3:$E$557,0),MATCH(B$3,Summary_FR!$A$3:$R$3,0)))</f>
        <v>SWFs / MFIs / Pension Funds / FoFs</v>
      </c>
      <c r="C29" s="86" t="s">
        <v>105</v>
      </c>
      <c r="D29" s="86" t="s">
        <v>998</v>
      </c>
      <c r="E29" s="86" t="s">
        <v>923</v>
      </c>
      <c r="F29" s="86"/>
      <c r="G29" s="86" t="s">
        <v>999</v>
      </c>
      <c r="H29" s="86" t="s">
        <v>1000</v>
      </c>
      <c r="I29" s="86"/>
      <c r="J29" s="86"/>
      <c r="K29" s="86"/>
      <c r="L29" s="86" t="s">
        <v>948</v>
      </c>
      <c r="M29" s="86"/>
      <c r="N29" s="86" t="s">
        <v>926</v>
      </c>
    </row>
    <row r="30" spans="1:14" ht="28" x14ac:dyDescent="0.15">
      <c r="A30" s="86" t="str">
        <f>IF($C30="","",INDEX(Summary_FR!$A$3:$R$557,MATCH($C30,Summary_FR!$E$3:$E$557,0),MATCH(A$3,Summary_FR!$A$3:$R$3,0)))</f>
        <v>Propreitory</v>
      </c>
      <c r="B30" s="86" t="str">
        <f>IF($C30="","",INDEX(Summary_FR!$A$3:$R$557,MATCH($C30,Summary_FR!$E$3:$E$557,0),MATCH(B$3,Summary_FR!$A$3:$R$3,0)))</f>
        <v>SWFs / MFIs / Pension Funds / FoFs</v>
      </c>
      <c r="C30" s="86" t="s">
        <v>105</v>
      </c>
      <c r="D30" s="86" t="s">
        <v>1001</v>
      </c>
      <c r="E30" s="86" t="s">
        <v>923</v>
      </c>
      <c r="F30" s="86"/>
      <c r="G30" s="89" t="s">
        <v>999</v>
      </c>
      <c r="H30" s="86" t="s">
        <v>1002</v>
      </c>
      <c r="I30" s="86"/>
      <c r="J30" s="86"/>
      <c r="K30" s="86"/>
      <c r="L30" s="86"/>
      <c r="M30" s="86"/>
      <c r="N30" s="86"/>
    </row>
    <row r="31" spans="1:14" ht="28" x14ac:dyDescent="0.15">
      <c r="A31" s="86" t="str">
        <f>IF($C31="","",INDEX(Summary_FR!$A$3:$R$557,MATCH($C31,Summary_FR!$E$3:$E$557,0),MATCH(A$3,Summary_FR!$A$3:$R$3,0)))</f>
        <v>Propreitory</v>
      </c>
      <c r="B31" s="86" t="str">
        <f>IF($C31="","",INDEX(Summary_FR!$A$3:$R$557,MATCH($C31,Summary_FR!$E$3:$E$557,0),MATCH(B$3,Summary_FR!$A$3:$R$3,0)))</f>
        <v>PSU Banks / PFIs</v>
      </c>
      <c r="C31" s="86" t="s">
        <v>106</v>
      </c>
      <c r="D31" s="86" t="s">
        <v>1003</v>
      </c>
      <c r="E31" s="86" t="s">
        <v>923</v>
      </c>
      <c r="F31" s="86"/>
      <c r="G31" s="86" t="s">
        <v>1004</v>
      </c>
      <c r="H31" s="86" t="s">
        <v>1005</v>
      </c>
      <c r="I31" s="86"/>
      <c r="J31" s="86"/>
      <c r="K31" s="86"/>
      <c r="L31" s="86"/>
      <c r="M31" s="86"/>
      <c r="N31" s="86" t="s">
        <v>926</v>
      </c>
    </row>
    <row r="32" spans="1:14" ht="28" x14ac:dyDescent="0.15">
      <c r="A32" s="86" t="str">
        <f>IF($C32="","",INDEX(Summary_FR!$A$3:$R$557,MATCH($C32,Summary_FR!$E$3:$E$557,0),MATCH(A$3,Summary_FR!$A$3:$R$3,0)))</f>
        <v>Propreitory</v>
      </c>
      <c r="B32" s="86" t="str">
        <f>IF($C32="","",INDEX(Summary_FR!$A$3:$R$557,MATCH($C32,Summary_FR!$E$3:$E$557,0),MATCH(B$3,Summary_FR!$A$3:$R$3,0)))</f>
        <v>PSU Banks / PFIs</v>
      </c>
      <c r="C32" s="86" t="s">
        <v>106</v>
      </c>
      <c r="D32" s="86" t="s">
        <v>1006</v>
      </c>
      <c r="E32" s="86" t="s">
        <v>923</v>
      </c>
      <c r="F32" s="86"/>
      <c r="G32" s="89" t="s">
        <v>1004</v>
      </c>
      <c r="H32" s="86" t="s">
        <v>1007</v>
      </c>
      <c r="I32" s="86"/>
      <c r="J32" s="86"/>
      <c r="K32" s="86"/>
      <c r="L32" s="86"/>
      <c r="M32" s="86"/>
      <c r="N32" s="86"/>
    </row>
    <row r="33" spans="1:14" ht="14" x14ac:dyDescent="0.15">
      <c r="A33" s="86" t="str">
        <f>IF($C33="","",INDEX(Summary_FR!$A$3:$R$557,MATCH($C33,Summary_FR!$E$3:$E$557,0),MATCH(A$3,Summary_FR!$A$3:$R$3,0)))</f>
        <v>EAA</v>
      </c>
      <c r="B33" s="86" t="str">
        <f>IF($C33="","",INDEX(Summary_FR!$A$3:$R$557,MATCH($C33,Summary_FR!$E$3:$E$557,0),MATCH(B$3,Summary_FR!$A$3:$R$3,0)))</f>
        <v>Advisor</v>
      </c>
      <c r="C33" s="86" t="s">
        <v>107</v>
      </c>
      <c r="D33" s="90" t="s">
        <v>1008</v>
      </c>
      <c r="E33" s="90" t="s">
        <v>1009</v>
      </c>
      <c r="F33" s="90"/>
      <c r="G33" s="86"/>
      <c r="H33" s="90"/>
      <c r="I33" s="86"/>
      <c r="J33" s="86"/>
      <c r="K33" s="86"/>
      <c r="L33" s="86"/>
      <c r="M33" s="86"/>
      <c r="N33" s="90"/>
    </row>
    <row r="34" spans="1:14" ht="28" x14ac:dyDescent="0.15">
      <c r="A34" s="86" t="str">
        <f>IF($C34="","",INDEX(Summary_FR!$A$3:$R$557,MATCH($C34,Summary_FR!$E$3:$E$557,0),MATCH(A$3,Summary_FR!$A$3:$R$3,0)))</f>
        <v>Propreitory</v>
      </c>
      <c r="B34" s="86" t="str">
        <f>IF($C34="","",INDEX(Summary_FR!$A$3:$R$557,MATCH($C34,Summary_FR!$E$3:$E$557,0),MATCH(B$3,Summary_FR!$A$3:$R$3,0)))</f>
        <v>Domestic Pension Funds / Insurance Companies/MFs</v>
      </c>
      <c r="C34" s="86" t="s">
        <v>108</v>
      </c>
      <c r="D34" s="86" t="s">
        <v>1010</v>
      </c>
      <c r="E34" s="86" t="s">
        <v>1011</v>
      </c>
      <c r="F34" s="86"/>
      <c r="G34" s="89" t="s">
        <v>1012</v>
      </c>
      <c r="H34" s="86" t="s">
        <v>1013</v>
      </c>
      <c r="I34" s="86"/>
      <c r="J34" s="86"/>
      <c r="K34" s="86"/>
      <c r="L34" s="86"/>
      <c r="M34" s="86"/>
      <c r="N34" s="86" t="s">
        <v>935</v>
      </c>
    </row>
    <row r="35" spans="1:14" ht="28" x14ac:dyDescent="0.15">
      <c r="A35" s="86" t="str">
        <f>IF($C35="","",INDEX(Summary_FR!$A$3:$R$557,MATCH($C35,Summary_FR!$E$3:$E$557,0),MATCH(A$3,Summary_FR!$A$3:$R$3,0)))</f>
        <v>CFM</v>
      </c>
      <c r="B35" s="86" t="str">
        <f>IF($C35="","",INDEX(Summary_FR!$A$3:$R$557,MATCH($C35,Summary_FR!$E$3:$E$557,0),MATCH(B$3,Summary_FR!$A$3:$R$3,0)))</f>
        <v>Domestic Pension Funds / Insurance Companies/MFs</v>
      </c>
      <c r="C35" s="86" t="s">
        <v>53</v>
      </c>
      <c r="D35" s="86" t="s">
        <v>1014</v>
      </c>
      <c r="E35" s="86" t="s">
        <v>923</v>
      </c>
      <c r="F35" s="86"/>
      <c r="G35" s="86" t="s">
        <v>1015</v>
      </c>
      <c r="H35" s="86" t="s">
        <v>1016</v>
      </c>
      <c r="I35" s="86"/>
      <c r="J35" s="86"/>
      <c r="K35" s="86"/>
      <c r="L35" s="86"/>
      <c r="M35" s="86"/>
      <c r="N35" s="86" t="s">
        <v>926</v>
      </c>
    </row>
    <row r="36" spans="1:14" ht="28" x14ac:dyDescent="0.15">
      <c r="A36" s="86" t="str">
        <f>IF($C36="","",INDEX(Summary_FR!$A$3:$R$557,MATCH($C36,Summary_FR!$E$3:$E$557,0),MATCH(A$3,Summary_FR!$A$3:$R$3,0)))</f>
        <v>CFM</v>
      </c>
      <c r="B36" s="86" t="str">
        <f>IF($C36="","",INDEX(Summary_FR!$A$3:$R$557,MATCH($C36,Summary_FR!$E$3:$E$557,0),MATCH(B$3,Summary_FR!$A$3:$R$3,0)))</f>
        <v>Domestic Pension Funds / Insurance Companies/MFs</v>
      </c>
      <c r="C36" s="86" t="s">
        <v>53</v>
      </c>
      <c r="D36" s="86" t="s">
        <v>1017</v>
      </c>
      <c r="E36" s="86" t="s">
        <v>923</v>
      </c>
      <c r="F36" s="86"/>
      <c r="G36" s="89" t="s">
        <v>1015</v>
      </c>
      <c r="H36" s="86" t="s">
        <v>1018</v>
      </c>
      <c r="I36" s="86"/>
      <c r="J36" s="86"/>
      <c r="K36" s="86"/>
      <c r="L36" s="86"/>
      <c r="M36" s="86"/>
      <c r="N36" s="86"/>
    </row>
    <row r="37" spans="1:14" ht="14" x14ac:dyDescent="0.15">
      <c r="A37" s="86" t="str">
        <f>IF($C37="","",INDEX(Summary_FR!$A$3:$R$557,MATCH($C37,Summary_FR!$E$3:$E$557,0),MATCH(A$3,Summary_FR!$A$3:$R$3,0)))</f>
        <v>Propreitory</v>
      </c>
      <c r="B37" s="86" t="str">
        <f>IF($C37="","",INDEX(Summary_FR!$A$3:$R$557,MATCH($C37,Summary_FR!$E$3:$E$557,0),MATCH(B$3,Summary_FR!$A$3:$R$3,0)))</f>
        <v>PSU Banks / PFIs</v>
      </c>
      <c r="C37" s="86" t="s">
        <v>109</v>
      </c>
      <c r="D37" s="86" t="s">
        <v>1019</v>
      </c>
      <c r="E37" s="86" t="s">
        <v>1020</v>
      </c>
      <c r="F37" s="86"/>
      <c r="G37" s="86" t="s">
        <v>1021</v>
      </c>
      <c r="H37" s="86"/>
      <c r="I37" s="86" t="s">
        <v>1022</v>
      </c>
      <c r="J37" s="86"/>
      <c r="K37" s="86"/>
      <c r="L37" s="86"/>
      <c r="M37" s="86"/>
      <c r="N37" s="86"/>
    </row>
    <row r="38" spans="1:14" ht="28" x14ac:dyDescent="0.15">
      <c r="A38" s="86" t="str">
        <f>IF($C38="","",INDEX(Summary_FR!$A$3:$R$557,MATCH($C38,Summary_FR!$E$3:$E$557,0),MATCH(A$3,Summary_FR!$A$3:$R$3,0)))</f>
        <v>Propreitory</v>
      </c>
      <c r="B38" s="86" t="str">
        <f>IF($C38="","",INDEX(Summary_FR!$A$3:$R$557,MATCH($C38,Summary_FR!$E$3:$E$557,0),MATCH(B$3,Summary_FR!$A$3:$R$3,0)))</f>
        <v>PSU Banks / PFIs</v>
      </c>
      <c r="C38" s="86" t="s">
        <v>109</v>
      </c>
      <c r="D38" s="86" t="s">
        <v>1023</v>
      </c>
      <c r="E38" s="86" t="s">
        <v>1024</v>
      </c>
      <c r="F38" s="86"/>
      <c r="G38" s="86" t="s">
        <v>1025</v>
      </c>
      <c r="H38" s="86"/>
      <c r="I38" s="86" t="s">
        <v>1026</v>
      </c>
      <c r="J38" s="86"/>
      <c r="K38" s="86"/>
      <c r="L38" s="86"/>
      <c r="M38" s="86"/>
      <c r="N38" s="86"/>
    </row>
    <row r="39" spans="1:14" ht="28" x14ac:dyDescent="0.15">
      <c r="A39" s="86" t="str">
        <f>IF($C39="","",INDEX(Summary_FR!$A$3:$R$557,MATCH($C39,Summary_FR!$E$3:$E$557,0),MATCH(A$3,Summary_FR!$A$3:$R$3,0)))</f>
        <v>Propreitory</v>
      </c>
      <c r="B39" s="86" t="str">
        <f>IF($C39="","",INDEX(Summary_FR!$A$3:$R$557,MATCH($C39,Summary_FR!$E$3:$E$557,0),MATCH(B$3,Summary_FR!$A$3:$R$3,0)))</f>
        <v>Domestic Pension Funds / Insurance Companies/MFs</v>
      </c>
      <c r="C39" s="86" t="s">
        <v>211</v>
      </c>
      <c r="D39" s="86" t="s">
        <v>1027</v>
      </c>
      <c r="E39" s="86" t="s">
        <v>1028</v>
      </c>
      <c r="F39" s="86"/>
      <c r="G39" s="86" t="s">
        <v>1029</v>
      </c>
      <c r="H39" s="86"/>
      <c r="I39" s="86" t="s">
        <v>1030</v>
      </c>
      <c r="J39" s="86"/>
      <c r="K39" s="86"/>
      <c r="L39" s="86"/>
      <c r="M39" s="86"/>
      <c r="N39" s="86"/>
    </row>
    <row r="40" spans="1:14" ht="28" x14ac:dyDescent="0.15">
      <c r="A40" s="86" t="str">
        <f>IF($C40="","",INDEX(Summary_FR!$A$3:$R$557,MATCH($C40,Summary_FR!$E$3:$E$557,0),MATCH(A$3,Summary_FR!$A$3:$R$3,0)))</f>
        <v>Propreitory</v>
      </c>
      <c r="B40" s="86" t="str">
        <f>IF($C40="","",INDEX(Summary_FR!$A$3:$R$557,MATCH($C40,Summary_FR!$E$3:$E$557,0),MATCH(B$3,Summary_FR!$A$3:$R$3,0)))</f>
        <v>Domestic Pension Funds / Insurance Companies/MFs</v>
      </c>
      <c r="C40" s="86" t="s">
        <v>211</v>
      </c>
      <c r="D40" s="86" t="s">
        <v>1031</v>
      </c>
      <c r="E40" s="86" t="s">
        <v>1032</v>
      </c>
      <c r="F40" s="86"/>
      <c r="G40" s="86" t="s">
        <v>1033</v>
      </c>
      <c r="H40" s="86"/>
      <c r="I40" s="86" t="s">
        <v>1034</v>
      </c>
      <c r="J40" s="86"/>
      <c r="K40" s="86"/>
      <c r="L40" s="86"/>
      <c r="M40" s="86"/>
      <c r="N40" s="86"/>
    </row>
    <row r="41" spans="1:14" ht="14" x14ac:dyDescent="0.15">
      <c r="A41" s="86" t="str">
        <f>IF($C41="","",INDEX(Summary_FR!$A$3:$R$557,MATCH($C41,Summary_FR!$E$3:$E$557,0),MATCH(A$3,Summary_FR!$A$3:$R$3,0)))</f>
        <v>Propreitory</v>
      </c>
      <c r="B41" s="86" t="str">
        <f>IF($C41="","",INDEX(Summary_FR!$A$3:$R$557,MATCH($C41,Summary_FR!$E$3:$E$557,0),MATCH(B$3,Summary_FR!$A$3:$R$3,0)))</f>
        <v>PSU Banks / PFIs</v>
      </c>
      <c r="C41" s="86" t="s">
        <v>86</v>
      </c>
      <c r="D41" s="86" t="s">
        <v>1035</v>
      </c>
      <c r="E41" s="86"/>
      <c r="F41" s="86"/>
      <c r="G41" s="86"/>
      <c r="H41" s="86"/>
      <c r="I41" s="86"/>
      <c r="J41" s="86"/>
      <c r="K41" s="86"/>
      <c r="L41" s="86"/>
      <c r="M41" s="86"/>
      <c r="N41" s="86" t="s">
        <v>1036</v>
      </c>
    </row>
    <row r="42" spans="1:14" ht="14" x14ac:dyDescent="0.15">
      <c r="A42" s="86" t="str">
        <f>IF($C42="","",INDEX(Summary_FR!$A$3:$R$557,MATCH($C42,Summary_FR!$E$3:$E$557,0),MATCH(A$3,Summary_FR!$A$3:$R$3,0)))</f>
        <v>SKC</v>
      </c>
      <c r="B42" s="86" t="str">
        <f>IF($C42="","",INDEX(Summary_FR!$A$3:$R$557,MATCH($C42,Summary_FR!$E$3:$E$557,0),MATCH(B$3,Summary_FR!$A$3:$R$3,0)))</f>
        <v>Corporates</v>
      </c>
      <c r="C42" s="86" t="s">
        <v>73</v>
      </c>
      <c r="D42" s="90"/>
      <c r="E42" s="90"/>
      <c r="F42" s="90"/>
      <c r="G42" s="90"/>
      <c r="H42" s="90"/>
      <c r="I42" s="90"/>
      <c r="J42" s="90"/>
      <c r="K42" s="90"/>
      <c r="L42" s="90"/>
      <c r="M42" s="90"/>
      <c r="N42" s="90"/>
    </row>
    <row r="43" spans="1:14" ht="14" x14ac:dyDescent="0.15">
      <c r="A43" s="86" t="str">
        <f>IF($C43="","",INDEX(Summary_FR!$A$3:$R$557,MATCH($C43,Summary_FR!$E$3:$E$557,0),MATCH(A$3,Summary_FR!$A$3:$R$3,0)))</f>
        <v>Propreitory</v>
      </c>
      <c r="B43" s="86" t="str">
        <f>IF($C43="","",INDEX(Summary_FR!$A$3:$R$557,MATCH($C43,Summary_FR!$E$3:$E$557,0),MATCH(B$3,Summary_FR!$A$3:$R$3,0)))</f>
        <v>Corporates</v>
      </c>
      <c r="C43" s="86" t="s">
        <v>111</v>
      </c>
      <c r="D43" s="86" t="s">
        <v>1037</v>
      </c>
      <c r="E43" s="86" t="s">
        <v>1038</v>
      </c>
      <c r="F43" s="86"/>
      <c r="G43" s="86" t="s">
        <v>1039</v>
      </c>
      <c r="H43" s="86"/>
      <c r="I43" s="86"/>
      <c r="J43" s="86"/>
      <c r="K43" s="86"/>
      <c r="L43" s="86"/>
      <c r="M43" s="86"/>
      <c r="N43" s="86"/>
    </row>
    <row r="44" spans="1:14" ht="14" x14ac:dyDescent="0.15">
      <c r="A44" s="86" t="e">
        <f>IF($C44="","",INDEX(Summary_FR!$A$3:$R$557,MATCH($C44,Summary_FR!$E$3:$E$557,0),MATCH(A$3,Summary_FR!$A$3:$R$3,0)))</f>
        <v>#N/A</v>
      </c>
      <c r="B44" s="86" t="e">
        <f>IF($C44="","",INDEX(Summary_FR!$A$3:$R$557,MATCH($C44,Summary_FR!$E$3:$E$557,0),MATCH(B$3,Summary_FR!$A$3:$R$3,0)))</f>
        <v>#N/A</v>
      </c>
      <c r="C44" s="86" t="s">
        <v>112</v>
      </c>
      <c r="D44" s="86" t="s">
        <v>1040</v>
      </c>
      <c r="E44" s="86" t="s">
        <v>1041</v>
      </c>
      <c r="F44" s="86"/>
      <c r="G44" s="86" t="s">
        <v>1042</v>
      </c>
      <c r="H44" s="86" t="s">
        <v>1043</v>
      </c>
      <c r="I44" s="86"/>
      <c r="J44" s="86"/>
      <c r="K44" s="86"/>
      <c r="L44" s="86"/>
      <c r="M44" s="86"/>
      <c r="N44" s="86" t="s">
        <v>926</v>
      </c>
    </row>
    <row r="45" spans="1:14" ht="14" x14ac:dyDescent="0.15">
      <c r="A45" s="86" t="str">
        <f>IF($C45="","",INDEX(Summary_FR!$A$3:$R$557,MATCH($C45,Summary_FR!$E$3:$E$557,0),MATCH(A$3,Summary_FR!$A$3:$R$3,0)))</f>
        <v>SKC</v>
      </c>
      <c r="B45" s="86" t="str">
        <f>IF($C45="","",INDEX(Summary_FR!$A$3:$R$557,MATCH($C45,Summary_FR!$E$3:$E$557,0),MATCH(B$3,Summary_FR!$A$3:$R$3,0)))</f>
        <v>Corporates</v>
      </c>
      <c r="C45" s="86" t="s">
        <v>70</v>
      </c>
      <c r="D45" s="90" t="s">
        <v>1044</v>
      </c>
      <c r="E45" s="90" t="s">
        <v>1045</v>
      </c>
      <c r="F45" s="90"/>
      <c r="G45" s="89"/>
      <c r="H45" s="90"/>
      <c r="I45" s="90"/>
      <c r="J45" s="90"/>
      <c r="K45" s="90"/>
      <c r="L45" s="90"/>
      <c r="M45" s="90"/>
      <c r="N45" s="90"/>
    </row>
    <row r="46" spans="1:14" ht="28" x14ac:dyDescent="0.15">
      <c r="A46" s="86" t="str">
        <f>IF($C46="","",INDEX(Summary_FR!$A$3:$R$557,MATCH($C46,Summary_FR!$E$3:$E$557,0),MATCH(A$3,Summary_FR!$A$3:$R$3,0)))</f>
        <v>CFM</v>
      </c>
      <c r="B46" s="86" t="str">
        <f>IF($C46="","",INDEX(Summary_FR!$A$3:$R$557,MATCH($C46,Summary_FR!$E$3:$E$557,0),MATCH(B$3,Summary_FR!$A$3:$R$3,0)))</f>
        <v>PSU Banks / PFIs</v>
      </c>
      <c r="C46" s="86" t="s">
        <v>41</v>
      </c>
      <c r="D46" s="86" t="s">
        <v>1046</v>
      </c>
      <c r="E46" s="86" t="s">
        <v>923</v>
      </c>
      <c r="F46" s="86"/>
      <c r="G46" s="86" t="s">
        <v>1047</v>
      </c>
      <c r="H46" s="86" t="s">
        <v>1048</v>
      </c>
      <c r="I46" s="86"/>
      <c r="J46" s="86"/>
      <c r="K46" s="86"/>
      <c r="L46" s="86" t="s">
        <v>948</v>
      </c>
      <c r="M46" s="86"/>
      <c r="N46" s="86" t="s">
        <v>926</v>
      </c>
    </row>
    <row r="47" spans="1:14" ht="28" x14ac:dyDescent="0.15">
      <c r="A47" s="86" t="str">
        <f>IF($C47="","",INDEX(Summary_FR!$A$3:$R$557,MATCH($C47,Summary_FR!$E$3:$E$557,0),MATCH(A$3,Summary_FR!$A$3:$R$3,0)))</f>
        <v>CFM</v>
      </c>
      <c r="B47" s="86" t="str">
        <f>IF($C47="","",INDEX(Summary_FR!$A$3:$R$557,MATCH($C47,Summary_FR!$E$3:$E$557,0),MATCH(B$3,Summary_FR!$A$3:$R$3,0)))</f>
        <v>PSU Banks / PFIs</v>
      </c>
      <c r="C47" s="86" t="s">
        <v>41</v>
      </c>
      <c r="D47" s="86" t="s">
        <v>1049</v>
      </c>
      <c r="E47" s="86" t="s">
        <v>923</v>
      </c>
      <c r="F47" s="86"/>
      <c r="G47" s="89" t="s">
        <v>1047</v>
      </c>
      <c r="H47" s="86" t="s">
        <v>1050</v>
      </c>
      <c r="I47" s="86"/>
      <c r="J47" s="86"/>
      <c r="K47" s="86"/>
      <c r="L47" s="86"/>
      <c r="M47" s="86"/>
      <c r="N47" s="86"/>
    </row>
    <row r="48" spans="1:14" ht="14" x14ac:dyDescent="0.15">
      <c r="A48" s="86" t="str">
        <f>IF($C48="","",INDEX(Summary_FR!$A$3:$R$557,MATCH($C48,Summary_FR!$E$3:$E$557,0),MATCH(A$3,Summary_FR!$A$3:$R$3,0)))</f>
        <v>Propreitory</v>
      </c>
      <c r="B48" s="86" t="str">
        <f>IF($C48="","",INDEX(Summary_FR!$A$3:$R$557,MATCH($C48,Summary_FR!$E$3:$E$557,0),MATCH(B$3,Summary_FR!$A$3:$R$3,0)))</f>
        <v>Corporates</v>
      </c>
      <c r="C48" s="86" t="s">
        <v>113</v>
      </c>
      <c r="D48" s="86" t="s">
        <v>1051</v>
      </c>
      <c r="E48" s="86"/>
      <c r="F48" s="86"/>
      <c r="G48" s="89" t="s">
        <v>1052</v>
      </c>
      <c r="H48" s="86"/>
      <c r="I48" s="86"/>
      <c r="J48" s="86"/>
      <c r="K48" s="86"/>
      <c r="L48" s="86"/>
      <c r="M48" s="86"/>
      <c r="N48" s="86" t="s">
        <v>935</v>
      </c>
    </row>
    <row r="49" spans="1:14" ht="42" x14ac:dyDescent="0.15">
      <c r="A49" s="86" t="str">
        <f>IF($C49="","",INDEX(Summary_FR!$A$3:$R$557,MATCH($C49,Summary_FR!$E$3:$E$557,0),MATCH(A$3,Summary_FR!$A$3:$R$3,0)))</f>
        <v>Propreitory</v>
      </c>
      <c r="B49" s="86" t="str">
        <f>IF($C49="","",INDEX(Summary_FR!$A$3:$R$557,MATCH($C49,Summary_FR!$E$3:$E$557,0),MATCH(B$3,Summary_FR!$A$3:$R$3,0)))</f>
        <v>PSU Banks / PFIs</v>
      </c>
      <c r="C49" s="86" t="s">
        <v>114</v>
      </c>
      <c r="D49" s="86" t="s">
        <v>1053</v>
      </c>
      <c r="E49" s="86" t="s">
        <v>1054</v>
      </c>
      <c r="F49" s="86"/>
      <c r="G49" s="89" t="s">
        <v>1055</v>
      </c>
      <c r="H49" s="86" t="s">
        <v>1056</v>
      </c>
      <c r="I49" s="86"/>
      <c r="J49" s="86"/>
      <c r="K49" s="86"/>
      <c r="L49" s="86"/>
      <c r="M49" s="86"/>
      <c r="N49" s="86" t="s">
        <v>935</v>
      </c>
    </row>
    <row r="50" spans="1:14" ht="14" x14ac:dyDescent="0.15">
      <c r="A50" s="86" t="str">
        <f>IF($C50="","",INDEX(Summary_FR!$A$3:$R$557,MATCH($C50,Summary_FR!$E$3:$E$557,0),MATCH(A$3,Summary_FR!$A$3:$R$3,0)))</f>
        <v>SKC</v>
      </c>
      <c r="B50" s="86" t="str">
        <f>IF($C50="","",INDEX(Summary_FR!$A$3:$R$557,MATCH($C50,Summary_FR!$E$3:$E$557,0),MATCH(B$3,Summary_FR!$A$3:$R$3,0)))</f>
        <v>PSU Banks / PFIs</v>
      </c>
      <c r="C50" s="86" t="s">
        <v>59</v>
      </c>
      <c r="D50" s="90" t="s">
        <v>1057</v>
      </c>
      <c r="E50" s="90" t="s">
        <v>1045</v>
      </c>
      <c r="F50" s="90"/>
      <c r="G50" s="90" t="s">
        <v>1058</v>
      </c>
      <c r="H50" s="90"/>
      <c r="I50" s="90"/>
      <c r="J50" s="90"/>
      <c r="K50" s="90"/>
      <c r="L50" s="90"/>
      <c r="M50" s="90"/>
      <c r="N50" s="90" t="s">
        <v>1059</v>
      </c>
    </row>
    <row r="51" spans="1:14" ht="28" x14ac:dyDescent="0.15">
      <c r="A51" s="86" t="str">
        <f>IF($C51="","",INDEX(Summary_FR!$A$3:$R$557,MATCH($C51,Summary_FR!$E$3:$E$557,0),MATCH(A$3,Summary_FR!$A$3:$R$3,0)))</f>
        <v>SKC</v>
      </c>
      <c r="B51" s="86" t="str">
        <f>IF($C51="","",INDEX(Summary_FR!$A$3:$R$557,MATCH($C51,Summary_FR!$E$3:$E$557,0),MATCH(B$3,Summary_FR!$A$3:$R$3,0)))</f>
        <v>Sponsors</v>
      </c>
      <c r="C51" s="86" t="s">
        <v>34</v>
      </c>
      <c r="D51" s="86" t="s">
        <v>1060</v>
      </c>
      <c r="E51" s="86" t="s">
        <v>923</v>
      </c>
      <c r="F51" s="86"/>
      <c r="G51" s="86" t="s">
        <v>1061</v>
      </c>
      <c r="H51" s="86" t="s">
        <v>1062</v>
      </c>
      <c r="I51" s="86"/>
      <c r="J51" s="86"/>
      <c r="K51" s="86" t="s">
        <v>1063</v>
      </c>
      <c r="L51" s="86" t="s">
        <v>1064</v>
      </c>
      <c r="M51" s="86" t="s">
        <v>1065</v>
      </c>
      <c r="N51" s="86" t="s">
        <v>926</v>
      </c>
    </row>
    <row r="52" spans="1:14" ht="14" x14ac:dyDescent="0.15">
      <c r="A52" s="86" t="str">
        <f>IF($C52="","",INDEX(Summary_FR!$A$3:$R$557,MATCH($C52,Summary_FR!$E$3:$E$557,0),MATCH(A$3,Summary_FR!$A$3:$R$3,0)))</f>
        <v>SKC</v>
      </c>
      <c r="B52" s="86" t="str">
        <f>IF($C52="","",INDEX(Summary_FR!$A$3:$R$557,MATCH($C52,Summary_FR!$E$3:$E$557,0),MATCH(B$3,Summary_FR!$A$3:$R$3,0)))</f>
        <v>Corporates</v>
      </c>
      <c r="C52" s="86" t="s">
        <v>72</v>
      </c>
      <c r="D52" s="90"/>
      <c r="E52" s="90"/>
      <c r="F52" s="90"/>
      <c r="G52" s="90"/>
      <c r="H52" s="90"/>
      <c r="I52" s="90"/>
      <c r="J52" s="90"/>
      <c r="K52" s="90"/>
      <c r="L52" s="90"/>
      <c r="M52" s="90"/>
      <c r="N52" s="90"/>
    </row>
    <row r="53" spans="1:14" ht="14" x14ac:dyDescent="0.15">
      <c r="A53" s="86" t="str">
        <f>IF($C53="","",INDEX(Summary_FR!$A$3:$R$557,MATCH($C53,Summary_FR!$E$3:$E$557,0),MATCH(A$3,Summary_FR!$A$3:$R$3,0)))</f>
        <v>CFM</v>
      </c>
      <c r="B53" s="86" t="str">
        <f>IF($C53="","",INDEX(Summary_FR!$A$3:$R$557,MATCH($C53,Summary_FR!$E$3:$E$557,0),MATCH(B$3,Summary_FR!$A$3:$R$3,0)))</f>
        <v>PSU Banks / PFIs</v>
      </c>
      <c r="C53" s="86" t="s">
        <v>26</v>
      </c>
      <c r="D53" s="90"/>
      <c r="E53" s="90"/>
      <c r="F53" s="90"/>
      <c r="G53" s="86"/>
      <c r="H53" s="90"/>
      <c r="I53" s="86"/>
      <c r="J53" s="86"/>
      <c r="K53" s="86"/>
      <c r="L53" s="86"/>
      <c r="M53" s="86"/>
      <c r="N53" s="90"/>
    </row>
    <row r="54" spans="1:14" ht="14" x14ac:dyDescent="0.15">
      <c r="A54" s="86" t="str">
        <f>IF($C54="","",INDEX(Summary_FR!$A$3:$R$557,MATCH($C54,Summary_FR!$E$3:$E$557,0),MATCH(A$3,Summary_FR!$A$3:$R$3,0)))</f>
        <v>SBI Caps</v>
      </c>
      <c r="B54" s="86" t="str">
        <f>IF($C54="","",INDEX(Summary_FR!$A$3:$R$557,MATCH($C54,Summary_FR!$E$3:$E$557,0),MATCH(B$3,Summary_FR!$A$3:$R$3,0)))</f>
        <v>PSU Banks / PFIs</v>
      </c>
      <c r="C54" s="86" t="s">
        <v>117</v>
      </c>
      <c r="D54" s="90"/>
      <c r="E54" s="90"/>
      <c r="F54" s="90"/>
      <c r="G54" s="90"/>
      <c r="H54" s="90"/>
      <c r="I54" s="90"/>
      <c r="J54" s="90"/>
      <c r="K54" s="90"/>
      <c r="L54" s="90"/>
      <c r="M54" s="90"/>
      <c r="N54" s="90"/>
    </row>
    <row r="55" spans="1:14" ht="28" x14ac:dyDescent="0.15">
      <c r="A55" s="86" t="str">
        <f>IF($C55="","",INDEX(Summary_FR!$A$3:$R$557,MATCH($C55,Summary_FR!$E$3:$E$557,0),MATCH(A$3,Summary_FR!$A$3:$R$3,0)))</f>
        <v>Propreitory</v>
      </c>
      <c r="B55" s="86" t="str">
        <f>IF($C55="","",INDEX(Summary_FR!$A$3:$R$557,MATCH($C55,Summary_FR!$E$3:$E$557,0),MATCH(B$3,Summary_FR!$A$3:$R$3,0)))</f>
        <v>SWFs / MFIs / Pension Funds / FoFs</v>
      </c>
      <c r="C55" s="86" t="s">
        <v>118</v>
      </c>
      <c r="D55" s="86" t="s">
        <v>1066</v>
      </c>
      <c r="E55" s="86" t="s">
        <v>1067</v>
      </c>
      <c r="F55" s="86" t="s">
        <v>1068</v>
      </c>
      <c r="G55" s="89" t="s">
        <v>1069</v>
      </c>
      <c r="H55" s="86"/>
      <c r="I55" s="86"/>
      <c r="J55" s="86"/>
      <c r="K55" s="86"/>
      <c r="L55" s="86"/>
      <c r="M55" s="86"/>
      <c r="N55" s="86" t="s">
        <v>917</v>
      </c>
    </row>
    <row r="56" spans="1:14" ht="28" x14ac:dyDescent="0.15">
      <c r="A56" s="86" t="str">
        <f>IF($C56="","",INDEX(Summary_FR!$A$3:$R$557,MATCH($C56,Summary_FR!$E$3:$E$557,0),MATCH(A$3,Summary_FR!$A$3:$R$3,0)))</f>
        <v>Propreitory</v>
      </c>
      <c r="B56" s="86" t="str">
        <f>IF($C56="","",INDEX(Summary_FR!$A$3:$R$557,MATCH($C56,Summary_FR!$E$3:$E$557,0),MATCH(B$3,Summary_FR!$A$3:$R$3,0)))</f>
        <v>Foreign Banks / Insurance Companies</v>
      </c>
      <c r="C56" s="86" t="s">
        <v>224</v>
      </c>
      <c r="D56" s="86" t="s">
        <v>1070</v>
      </c>
      <c r="E56" s="86" t="s">
        <v>1071</v>
      </c>
      <c r="F56" s="86"/>
      <c r="G56" s="86" t="s">
        <v>1072</v>
      </c>
      <c r="H56" s="86"/>
      <c r="I56" s="86" t="s">
        <v>1073</v>
      </c>
      <c r="J56" s="86"/>
      <c r="K56" s="86"/>
      <c r="L56" s="86"/>
      <c r="M56" s="86"/>
      <c r="N56" s="86"/>
    </row>
    <row r="57" spans="1:14" ht="42" x14ac:dyDescent="0.15">
      <c r="A57" s="86" t="str">
        <f>IF($C57="","",INDEX(Summary_FR!$A$3:$R$557,MATCH($C57,Summary_FR!$E$3:$E$557,0),MATCH(A$3,Summary_FR!$A$3:$R$3,0)))</f>
        <v>CFM</v>
      </c>
      <c r="B57" s="86" t="str">
        <f>IF($C57="","",INDEX(Summary_FR!$A$3:$R$557,MATCH($C57,Summary_FR!$E$3:$E$557,0),MATCH(B$3,Summary_FR!$A$3:$R$3,0)))</f>
        <v>PSU Banks / PFIs</v>
      </c>
      <c r="C57" s="86" t="s">
        <v>120</v>
      </c>
      <c r="D57" s="86" t="s">
        <v>1074</v>
      </c>
      <c r="E57" s="86" t="s">
        <v>923</v>
      </c>
      <c r="F57" s="86"/>
      <c r="G57" s="86" t="s">
        <v>1075</v>
      </c>
      <c r="H57" s="86" t="s">
        <v>1076</v>
      </c>
      <c r="I57" s="86"/>
      <c r="J57" s="86"/>
      <c r="K57" s="86"/>
      <c r="L57" s="86"/>
      <c r="M57" s="86"/>
      <c r="N57" s="86" t="s">
        <v>926</v>
      </c>
    </row>
    <row r="58" spans="1:14" ht="42" x14ac:dyDescent="0.15">
      <c r="A58" s="86" t="str">
        <f>IF($C58="","",INDEX(Summary_FR!$A$3:$R$557,MATCH($C58,Summary_FR!$E$3:$E$557,0),MATCH(A$3,Summary_FR!$A$3:$R$3,0)))</f>
        <v>CFM</v>
      </c>
      <c r="B58" s="86" t="str">
        <f>IF($C58="","",INDEX(Summary_FR!$A$3:$R$557,MATCH($C58,Summary_FR!$E$3:$E$557,0),MATCH(B$3,Summary_FR!$A$3:$R$3,0)))</f>
        <v>PSU Banks / PFIs</v>
      </c>
      <c r="C58" s="86" t="s">
        <v>120</v>
      </c>
      <c r="D58" s="86" t="s">
        <v>1077</v>
      </c>
      <c r="E58" s="86" t="s">
        <v>923</v>
      </c>
      <c r="F58" s="86"/>
      <c r="G58" s="89" t="s">
        <v>1075</v>
      </c>
      <c r="H58" s="86" t="s">
        <v>1078</v>
      </c>
      <c r="I58" s="86"/>
      <c r="J58" s="86"/>
      <c r="K58" s="86"/>
      <c r="L58" s="86"/>
      <c r="M58" s="86"/>
      <c r="N58" s="86"/>
    </row>
    <row r="59" spans="1:14" ht="28" x14ac:dyDescent="0.15">
      <c r="A59" s="86" t="str">
        <f>IF($C59="","",INDEX(Summary_FR!$A$3:$R$557,MATCH($C59,Summary_FR!$E$3:$E$557,0),MATCH(A$3,Summary_FR!$A$3:$R$3,0)))</f>
        <v>Propreitory</v>
      </c>
      <c r="B59" s="86" t="str">
        <f>IF($C59="","",INDEX(Summary_FR!$A$3:$R$557,MATCH($C59,Summary_FR!$E$3:$E$557,0),MATCH(B$3,Summary_FR!$A$3:$R$3,0)))</f>
        <v>Sponsors</v>
      </c>
      <c r="C59" s="86" t="s">
        <v>121</v>
      </c>
      <c r="D59" s="86" t="s">
        <v>1079</v>
      </c>
      <c r="E59" s="86" t="s">
        <v>923</v>
      </c>
      <c r="F59" s="86"/>
      <c r="G59" s="89" t="s">
        <v>1080</v>
      </c>
      <c r="H59" s="86" t="s">
        <v>1081</v>
      </c>
      <c r="I59" s="86"/>
      <c r="J59" s="86"/>
      <c r="K59" s="86"/>
      <c r="L59" s="86"/>
      <c r="M59" s="86"/>
      <c r="N59" s="86"/>
    </row>
    <row r="60" spans="1:14" ht="14" x14ac:dyDescent="0.15">
      <c r="A60" s="86" t="str">
        <f>IF($C60="","",INDEX(Summary_FR!$A$3:$R$557,MATCH($C60,Summary_FR!$E$3:$E$557,0),MATCH(A$3,Summary_FR!$A$3:$R$3,0)))</f>
        <v>Propreitory</v>
      </c>
      <c r="B60" s="86" t="str">
        <f>IF($C60="","",INDEX(Summary_FR!$A$3:$R$557,MATCH($C60,Summary_FR!$E$3:$E$557,0),MATCH(B$3,Summary_FR!$A$3:$R$3,0)))</f>
        <v>PSU Banks / PFIs</v>
      </c>
      <c r="C60" s="86" t="s">
        <v>122</v>
      </c>
      <c r="D60" s="86" t="s">
        <v>1082</v>
      </c>
      <c r="E60" s="86" t="s">
        <v>1083</v>
      </c>
      <c r="F60" s="86"/>
      <c r="G60" s="86" t="s">
        <v>1084</v>
      </c>
      <c r="H60" s="86"/>
      <c r="I60" s="86" t="s">
        <v>1085</v>
      </c>
      <c r="J60" s="86"/>
      <c r="K60" s="86"/>
      <c r="L60" s="86"/>
      <c r="M60" s="86"/>
      <c r="N60" s="86"/>
    </row>
    <row r="61" spans="1:14" ht="28" x14ac:dyDescent="0.15">
      <c r="A61" s="86" t="str">
        <f>IF($C61="","",INDEX(Summary_FR!$A$3:$R$557,MATCH($C61,Summary_FR!$E$3:$E$557,0),MATCH(A$3,Summary_FR!$A$3:$R$3,0)))</f>
        <v>CFM</v>
      </c>
      <c r="B61" s="86" t="str">
        <f>IF($C61="","",INDEX(Summary_FR!$A$3:$R$557,MATCH($C61,Summary_FR!$E$3:$E$557,0),MATCH(B$3,Summary_FR!$A$3:$R$3,0)))</f>
        <v>PSU Banks / PFIs</v>
      </c>
      <c r="C61" s="86" t="s">
        <v>45</v>
      </c>
      <c r="D61" s="86" t="s">
        <v>1086</v>
      </c>
      <c r="E61" s="86" t="s">
        <v>923</v>
      </c>
      <c r="F61" s="86"/>
      <c r="G61" s="86" t="s">
        <v>1080</v>
      </c>
      <c r="H61" s="86" t="s">
        <v>1087</v>
      </c>
      <c r="I61" s="86"/>
      <c r="J61" s="86"/>
      <c r="K61" s="86"/>
      <c r="L61" s="86"/>
      <c r="M61" s="86"/>
      <c r="N61" s="86" t="s">
        <v>926</v>
      </c>
    </row>
    <row r="62" spans="1:14" ht="28" x14ac:dyDescent="0.15">
      <c r="A62" s="86" t="str">
        <f>IF($C62="","",INDEX(Summary_FR!$A$3:$R$557,MATCH($C62,Summary_FR!$E$3:$E$557,0),MATCH(A$3,Summary_FR!$A$3:$R$3,0)))</f>
        <v>SKC</v>
      </c>
      <c r="B62" s="86" t="str">
        <f>IF($C62="","",INDEX(Summary_FR!$A$3:$R$557,MATCH($C62,Summary_FR!$E$3:$E$557,0),MATCH(B$3,Summary_FR!$A$3:$R$3,0)))</f>
        <v>Domestic Pension Funds / Insurance Companies/MFs</v>
      </c>
      <c r="C62" s="86" t="s">
        <v>62</v>
      </c>
      <c r="D62" s="90"/>
      <c r="E62" s="90"/>
      <c r="F62" s="90"/>
      <c r="G62" s="90"/>
      <c r="H62" s="90"/>
      <c r="I62" s="90"/>
      <c r="J62" s="90"/>
      <c r="K62" s="90"/>
      <c r="L62" s="90"/>
      <c r="M62" s="90"/>
      <c r="N62" s="90"/>
    </row>
    <row r="63" spans="1:14" ht="14" x14ac:dyDescent="0.15">
      <c r="A63" s="86" t="str">
        <f>IF($C63="","",INDEX(Summary_FR!$A$3:$R$557,MATCH($C63,Summary_FR!$E$3:$E$557,0),MATCH(A$3,Summary_FR!$A$3:$R$3,0)))</f>
        <v>SKC</v>
      </c>
      <c r="B63" s="86" t="str">
        <f>IF($C63="","",INDEX(Summary_FR!$A$3:$R$557,MATCH($C63,Summary_FR!$E$3:$E$557,0),MATCH(B$3,Summary_FR!$A$3:$R$3,0)))</f>
        <v>Corporates</v>
      </c>
      <c r="C63" s="86" t="s">
        <v>81</v>
      </c>
      <c r="D63" s="90"/>
      <c r="E63" s="90"/>
      <c r="F63" s="90"/>
      <c r="G63" s="90"/>
      <c r="H63" s="90"/>
      <c r="I63" s="90"/>
      <c r="J63" s="90"/>
      <c r="K63" s="90"/>
      <c r="L63" s="90"/>
      <c r="M63" s="90"/>
      <c r="N63" s="90"/>
    </row>
    <row r="64" spans="1:14" ht="28" x14ac:dyDescent="0.15">
      <c r="A64" s="86" t="str">
        <f>IF($C64="","",INDEX(Summary_FR!$A$3:$R$557,MATCH($C64,Summary_FR!$E$3:$E$557,0),MATCH(A$3,Summary_FR!$A$3:$R$3,0)))</f>
        <v>SKC</v>
      </c>
      <c r="B64" s="86" t="str">
        <f>IF($C64="","",INDEX(Summary_FR!$A$3:$R$557,MATCH($C64,Summary_FR!$E$3:$E$557,0),MATCH(B$3,Summary_FR!$A$3:$R$3,0)))</f>
        <v>Domestic Pension Funds / Insurance Companies/MFs</v>
      </c>
      <c r="C64" s="86" t="s">
        <v>61</v>
      </c>
      <c r="D64" s="90"/>
      <c r="E64" s="90"/>
      <c r="F64" s="90"/>
      <c r="G64" s="90"/>
      <c r="H64" s="90"/>
      <c r="I64" s="90"/>
      <c r="J64" s="90"/>
      <c r="K64" s="90"/>
      <c r="L64" s="90"/>
      <c r="M64" s="90"/>
      <c r="N64" s="90"/>
    </row>
    <row r="65" spans="1:14" ht="14" x14ac:dyDescent="0.15">
      <c r="A65" s="86" t="str">
        <f>IF($C65="","",INDEX(Summary_FR!$A$3:$R$557,MATCH($C65,Summary_FR!$E$3:$E$557,0),MATCH(A$3,Summary_FR!$A$3:$R$3,0)))</f>
        <v>Propreitory</v>
      </c>
      <c r="B65" s="86" t="str">
        <f>IF($C65="","",INDEX(Summary_FR!$A$3:$R$557,MATCH($C65,Summary_FR!$E$3:$E$557,0),MATCH(B$3,Summary_FR!$A$3:$R$3,0)))</f>
        <v>PSU Banks / PFIs</v>
      </c>
      <c r="C65" s="86" t="s">
        <v>42</v>
      </c>
      <c r="D65" s="86" t="s">
        <v>1088</v>
      </c>
      <c r="E65" s="86" t="s">
        <v>1089</v>
      </c>
      <c r="F65" s="86"/>
      <c r="G65" s="86"/>
      <c r="H65" s="86"/>
      <c r="I65" s="86"/>
      <c r="J65" s="86"/>
      <c r="K65" s="86" t="s">
        <v>1063</v>
      </c>
      <c r="L65" s="86" t="s">
        <v>948</v>
      </c>
      <c r="M65" s="86" t="s">
        <v>949</v>
      </c>
      <c r="N65" s="86" t="s">
        <v>1090</v>
      </c>
    </row>
    <row r="66" spans="1:14" ht="28" x14ac:dyDescent="0.15">
      <c r="A66" s="86" t="str">
        <f>IF($C66="","",INDEX(Summary_FR!$A$3:$R$557,MATCH($C66,Summary_FR!$E$3:$E$557,0),MATCH(A$3,Summary_FR!$A$3:$R$3,0)))</f>
        <v>Propreitory</v>
      </c>
      <c r="B66" s="86" t="str">
        <f>IF($C66="","",INDEX(Summary_FR!$A$3:$R$557,MATCH($C66,Summary_FR!$E$3:$E$557,0),MATCH(B$3,Summary_FR!$A$3:$R$3,0)))</f>
        <v>PSU Banks / PFIs</v>
      </c>
      <c r="C66" s="86" t="s">
        <v>42</v>
      </c>
      <c r="D66" s="86" t="s">
        <v>1091</v>
      </c>
      <c r="E66" s="86" t="s">
        <v>1092</v>
      </c>
      <c r="F66" s="86" t="s">
        <v>1093</v>
      </c>
      <c r="G66" s="89" t="s">
        <v>1094</v>
      </c>
      <c r="H66" s="86"/>
      <c r="I66" s="86">
        <v>2236539113</v>
      </c>
      <c r="J66" s="86"/>
      <c r="K66" s="86" t="s">
        <v>1063</v>
      </c>
      <c r="L66" s="86" t="s">
        <v>948</v>
      </c>
      <c r="M66" s="86" t="s">
        <v>949</v>
      </c>
      <c r="N66" s="86" t="s">
        <v>1090</v>
      </c>
    </row>
    <row r="67" spans="1:14" ht="42" x14ac:dyDescent="0.15">
      <c r="A67" s="86" t="str">
        <f>IF($C67="","",INDEX(Summary_FR!$A$3:$R$557,MATCH($C67,Summary_FR!$E$3:$E$557,0),MATCH(A$3,Summary_FR!$A$3:$R$3,0)))</f>
        <v>Propreitory</v>
      </c>
      <c r="B67" s="86" t="str">
        <f>IF($C67="","",INDEX(Summary_FR!$A$3:$R$557,MATCH($C67,Summary_FR!$E$3:$E$557,0),MATCH(B$3,Summary_FR!$A$3:$R$3,0)))</f>
        <v>PSU Banks / PFIs</v>
      </c>
      <c r="C67" s="86" t="s">
        <v>42</v>
      </c>
      <c r="D67" s="86" t="s">
        <v>1095</v>
      </c>
      <c r="E67" s="86" t="s">
        <v>1096</v>
      </c>
      <c r="F67" s="86"/>
      <c r="G67" s="86" t="s">
        <v>1097</v>
      </c>
      <c r="H67" s="86" t="s">
        <v>1098</v>
      </c>
      <c r="I67" s="86"/>
      <c r="J67" s="86"/>
      <c r="K67" s="86" t="s">
        <v>1063</v>
      </c>
      <c r="L67" s="86" t="s">
        <v>948</v>
      </c>
      <c r="M67" s="86" t="s">
        <v>949</v>
      </c>
      <c r="N67" s="86" t="s">
        <v>1099</v>
      </c>
    </row>
    <row r="68" spans="1:14" ht="42" x14ac:dyDescent="0.15">
      <c r="A68" s="86" t="str">
        <f>IF($C68="","",INDEX(Summary_FR!$A$3:$R$557,MATCH($C68,Summary_FR!$E$3:$E$557,0),MATCH(A$3,Summary_FR!$A$3:$R$3,0)))</f>
        <v>Propreitory</v>
      </c>
      <c r="B68" s="86" t="str">
        <f>IF($C68="","",INDEX(Summary_FR!$A$3:$R$557,MATCH($C68,Summary_FR!$E$3:$E$557,0),MATCH(B$3,Summary_FR!$A$3:$R$3,0)))</f>
        <v>PSU Banks / PFIs</v>
      </c>
      <c r="C68" s="86" t="s">
        <v>42</v>
      </c>
      <c r="D68" s="86" t="s">
        <v>1100</v>
      </c>
      <c r="E68" s="86" t="s">
        <v>1096</v>
      </c>
      <c r="F68" s="86"/>
      <c r="G68" s="89" t="s">
        <v>1097</v>
      </c>
      <c r="H68" s="86" t="s">
        <v>1101</v>
      </c>
      <c r="I68" s="86"/>
      <c r="J68" s="86"/>
      <c r="K68" s="86"/>
      <c r="L68" s="86"/>
      <c r="M68" s="86"/>
      <c r="N68" s="86"/>
    </row>
    <row r="69" spans="1:14" ht="14" x14ac:dyDescent="0.15">
      <c r="A69" s="86" t="str">
        <f>IF($C69="","",INDEX(Summary_FR!$A$3:$R$557,MATCH($C69,Summary_FR!$E$3:$E$557,0),MATCH(A$3,Summary_FR!$A$3:$R$3,0)))</f>
        <v>Propreitory</v>
      </c>
      <c r="B69" s="86" t="str">
        <f>IF($C69="","",INDEX(Summary_FR!$A$3:$R$557,MATCH($C69,Summary_FR!$E$3:$E$557,0),MATCH(B$3,Summary_FR!$A$3:$R$3,0)))</f>
        <v>PSU Banks / PFIs</v>
      </c>
      <c r="C69" s="86" t="s">
        <v>235</v>
      </c>
      <c r="D69" s="90" t="s">
        <v>1102</v>
      </c>
      <c r="E69" s="90" t="s">
        <v>1103</v>
      </c>
      <c r="F69" s="90"/>
      <c r="G69" s="86"/>
      <c r="H69" s="90"/>
      <c r="I69" s="91"/>
      <c r="J69" s="91"/>
      <c r="K69" s="91"/>
      <c r="L69" s="91"/>
      <c r="M69" s="91"/>
      <c r="N69" s="90"/>
    </row>
    <row r="70" spans="1:14" ht="28" x14ac:dyDescent="0.15">
      <c r="A70" s="86" t="str">
        <f>IF($C70="","",INDEX(Summary_FR!$A$3:$R$557,MATCH($C70,Summary_FR!$E$3:$E$557,0),MATCH(A$3,Summary_FR!$A$3:$R$3,0)))</f>
        <v>Propreitory</v>
      </c>
      <c r="B70" s="86" t="str">
        <f>IF($C70="","",INDEX(Summary_FR!$A$3:$R$557,MATCH($C70,Summary_FR!$E$3:$E$557,0),MATCH(B$3,Summary_FR!$A$3:$R$3,0)))</f>
        <v>Domestic / Foreing PE/VC Funds</v>
      </c>
      <c r="C70" s="86" t="s">
        <v>238</v>
      </c>
      <c r="D70" s="90" t="s">
        <v>1104</v>
      </c>
      <c r="E70" s="90" t="s">
        <v>1105</v>
      </c>
      <c r="F70" s="90"/>
      <c r="G70" s="86" t="s">
        <v>1106</v>
      </c>
      <c r="H70" s="90"/>
      <c r="I70" s="86"/>
      <c r="J70" s="86"/>
      <c r="K70" s="86"/>
      <c r="L70" s="86"/>
      <c r="M70" s="86"/>
      <c r="N70" s="90"/>
    </row>
    <row r="71" spans="1:14" ht="28" x14ac:dyDescent="0.15">
      <c r="A71" s="86" t="str">
        <f>IF($C71="","",INDEX(Summary_FR!$A$3:$R$557,MATCH($C71,Summary_FR!$E$3:$E$557,0),MATCH(A$3,Summary_FR!$A$3:$R$3,0)))</f>
        <v>SKC</v>
      </c>
      <c r="B71" s="86" t="str">
        <f>IF($C71="","",INDEX(Summary_FR!$A$3:$R$557,MATCH($C71,Summary_FR!$E$3:$E$557,0),MATCH(B$3,Summary_FR!$A$3:$R$3,0)))</f>
        <v>Domestic Pension Funds / Insurance Companies/MFs</v>
      </c>
      <c r="C71" s="86" t="s">
        <v>80</v>
      </c>
      <c r="D71" s="86"/>
      <c r="E71" s="86"/>
      <c r="F71" s="86"/>
      <c r="G71" s="86"/>
      <c r="H71" s="86"/>
      <c r="I71" s="86"/>
      <c r="J71" s="86"/>
      <c r="K71" s="86"/>
      <c r="L71" s="86"/>
      <c r="M71" s="86"/>
      <c r="N71" s="86"/>
    </row>
    <row r="72" spans="1:14" ht="28" x14ac:dyDescent="0.15">
      <c r="A72" s="86" t="str">
        <f>IF($C72="","",INDEX(Summary_FR!$A$3:$R$557,MATCH($C72,Summary_FR!$E$3:$E$557,0),MATCH(A$3,Summary_FR!$A$3:$R$3,0)))</f>
        <v>Propreitory</v>
      </c>
      <c r="B72" s="86" t="str">
        <f>IF($C72="","",INDEX(Summary_FR!$A$3:$R$557,MATCH($C72,Summary_FR!$E$3:$E$557,0),MATCH(B$3,Summary_FR!$A$3:$R$3,0)))</f>
        <v>SWFs / MFIs / Pension Funds / FoFs</v>
      </c>
      <c r="C72" s="86" t="s">
        <v>340</v>
      </c>
      <c r="D72" s="86" t="s">
        <v>1107</v>
      </c>
      <c r="E72" s="86" t="s">
        <v>1108</v>
      </c>
      <c r="F72" s="86"/>
      <c r="G72" s="86" t="s">
        <v>1109</v>
      </c>
      <c r="H72" s="86"/>
      <c r="I72" s="86" t="s">
        <v>1110</v>
      </c>
      <c r="J72" s="86"/>
      <c r="K72" s="86"/>
      <c r="L72" s="86"/>
      <c r="M72" s="86"/>
      <c r="N72" s="86"/>
    </row>
    <row r="73" spans="1:14" ht="28" x14ac:dyDescent="0.15">
      <c r="A73" s="86" t="str">
        <f>IF($C73="","",INDEX(Summary_FR!$A$3:$R$557,MATCH($C73,Summary_FR!$E$3:$E$557,0),MATCH(A$3,Summary_FR!$A$3:$R$3,0)))</f>
        <v>Propreitory</v>
      </c>
      <c r="B73" s="86" t="str">
        <f>IF($C73="","",INDEX(Summary_FR!$A$3:$R$557,MATCH($C73,Summary_FR!$E$3:$E$557,0),MATCH(B$3,Summary_FR!$A$3:$R$3,0)))</f>
        <v>SWFs / MFIs / Pension Funds / FoFs</v>
      </c>
      <c r="C73" s="86" t="s">
        <v>340</v>
      </c>
      <c r="D73" s="86" t="s">
        <v>1111</v>
      </c>
      <c r="E73" s="86" t="s">
        <v>1108</v>
      </c>
      <c r="F73" s="86"/>
      <c r="G73" s="86" t="s">
        <v>1112</v>
      </c>
      <c r="H73" s="86"/>
      <c r="I73" s="86" t="s">
        <v>1113</v>
      </c>
      <c r="J73" s="86"/>
      <c r="K73" s="86"/>
      <c r="L73" s="86"/>
      <c r="M73" s="86"/>
      <c r="N73" s="86"/>
    </row>
    <row r="74" spans="1:14" ht="14" x14ac:dyDescent="0.15">
      <c r="A74" s="86" t="str">
        <f>IF($C74="","",INDEX(Summary_FR!$A$3:$R$557,MATCH($C74,Summary_FR!$E$3:$E$557,0),MATCH(A$3,Summary_FR!$A$3:$R$3,0)))</f>
        <v>Propreitory</v>
      </c>
      <c r="B74" s="86" t="str">
        <f>IF($C74="","",INDEX(Summary_FR!$A$3:$R$557,MATCH($C74,Summary_FR!$E$3:$E$557,0),MATCH(B$3,Summary_FR!$A$3:$R$3,0)))</f>
        <v>Sponsors</v>
      </c>
      <c r="C74" s="86" t="s">
        <v>68</v>
      </c>
      <c r="D74" s="90"/>
      <c r="E74" s="90"/>
      <c r="F74" s="90"/>
      <c r="G74" s="90"/>
      <c r="H74" s="90"/>
      <c r="I74" s="90"/>
      <c r="J74" s="90"/>
      <c r="K74" s="90"/>
      <c r="L74" s="90"/>
      <c r="M74" s="90"/>
      <c r="N74" s="90"/>
    </row>
    <row r="75" spans="1:14" ht="14" x14ac:dyDescent="0.15">
      <c r="A75" s="86" t="str">
        <f>IF($C75="","",INDEX(Summary_FR!$A$3:$R$557,MATCH($C75,Summary_FR!$E$3:$E$557,0),MATCH(A$3,Summary_FR!$A$3:$R$3,0)))</f>
        <v>SKC</v>
      </c>
      <c r="B75" s="86" t="str">
        <f>IF($C75="","",INDEX(Summary_FR!$A$3:$R$557,MATCH($C75,Summary_FR!$E$3:$E$557,0),MATCH(B$3,Summary_FR!$A$3:$R$3,0)))</f>
        <v>Corporates</v>
      </c>
      <c r="C75" s="86" t="s">
        <v>75</v>
      </c>
      <c r="D75" s="90"/>
      <c r="E75" s="90"/>
      <c r="F75" s="90"/>
      <c r="G75" s="86"/>
      <c r="H75" s="90"/>
      <c r="I75" s="86"/>
      <c r="J75" s="86"/>
      <c r="K75" s="86"/>
      <c r="L75" s="86"/>
      <c r="M75" s="86"/>
      <c r="N75" s="86"/>
    </row>
    <row r="76" spans="1:14" ht="14" x14ac:dyDescent="0.15">
      <c r="A76" s="86" t="str">
        <f>IF($C76="","",INDEX(Summary_FR!$A$3:$R$557,MATCH($C76,Summary_FR!$E$3:$E$557,0),MATCH(A$3,Summary_FR!$A$3:$R$3,0)))</f>
        <v>SKC</v>
      </c>
      <c r="B76" s="86" t="str">
        <f>IF($C76="","",INDEX(Summary_FR!$A$3:$R$557,MATCH($C76,Summary_FR!$E$3:$E$557,0),MATCH(B$3,Summary_FR!$A$3:$R$3,0)))</f>
        <v>Corporates</v>
      </c>
      <c r="C76" s="86" t="s">
        <v>76</v>
      </c>
      <c r="D76" s="90"/>
      <c r="E76" s="90"/>
      <c r="F76" s="90"/>
      <c r="G76" s="86"/>
      <c r="H76" s="90"/>
      <c r="I76" s="86"/>
      <c r="J76" s="86"/>
      <c r="K76" s="86"/>
      <c r="L76" s="86"/>
      <c r="M76" s="86"/>
      <c r="N76" s="86"/>
    </row>
    <row r="77" spans="1:14" ht="28" x14ac:dyDescent="0.15">
      <c r="A77" s="86" t="str">
        <f>IF($C77="","",INDEX(Summary_FR!$A$3:$R$557,MATCH($C77,Summary_FR!$E$3:$E$557,0),MATCH(A$3,Summary_FR!$A$3:$R$3,0)))</f>
        <v>Propreitory</v>
      </c>
      <c r="B77" s="86" t="str">
        <f>IF($C77="","",INDEX(Summary_FR!$A$3:$R$557,MATCH($C77,Summary_FR!$E$3:$E$557,0),MATCH(B$3,Summary_FR!$A$3:$R$3,0)))</f>
        <v>SWFs / MFIs / Pension Funds / FoFs</v>
      </c>
      <c r="C77" s="86" t="s">
        <v>55</v>
      </c>
      <c r="D77" s="86"/>
      <c r="E77" s="86"/>
      <c r="F77" s="86"/>
      <c r="G77" s="86"/>
      <c r="H77" s="86"/>
      <c r="I77" s="86"/>
      <c r="J77" s="86"/>
      <c r="K77" s="86"/>
      <c r="L77" s="86"/>
      <c r="M77" s="86"/>
      <c r="N77" s="86"/>
    </row>
    <row r="78" spans="1:14" ht="28" x14ac:dyDescent="0.15">
      <c r="A78" s="86" t="str">
        <f>IF($C78="","",INDEX(Summary_FR!$A$3:$R$557,MATCH($C78,Summary_FR!$E$3:$E$557,0),MATCH(A$3,Summary_FR!$A$3:$R$3,0)))</f>
        <v>Propreitory</v>
      </c>
      <c r="B78" s="86" t="str">
        <f>IF($C78="","",INDEX(Summary_FR!$A$3:$R$557,MATCH($C78,Summary_FR!$E$3:$E$557,0),MATCH(B$3,Summary_FR!$A$3:$R$3,0)))</f>
        <v>SWFs / MFIs / Pension Funds / FoFs</v>
      </c>
      <c r="C78" s="86" t="s">
        <v>126</v>
      </c>
      <c r="D78" s="86" t="s">
        <v>1114</v>
      </c>
      <c r="E78" s="86" t="s">
        <v>1115</v>
      </c>
      <c r="F78" s="86"/>
      <c r="G78" s="86" t="s">
        <v>1116</v>
      </c>
      <c r="H78" s="86"/>
      <c r="I78" s="86" t="s">
        <v>1117</v>
      </c>
      <c r="J78" s="86"/>
      <c r="K78" s="86"/>
      <c r="L78" s="86"/>
      <c r="M78" s="86"/>
      <c r="N78" s="86"/>
    </row>
    <row r="79" spans="1:14" ht="28" x14ac:dyDescent="0.15">
      <c r="A79" s="86" t="str">
        <f>IF($C79="","",INDEX(Summary_FR!$A$3:$R$557,MATCH($C79,Summary_FR!$E$3:$E$557,0),MATCH(A$3,Summary_FR!$A$3:$R$3,0)))</f>
        <v>Propreitory</v>
      </c>
      <c r="B79" s="86" t="str">
        <f>IF($C79="","",INDEX(Summary_FR!$A$3:$R$557,MATCH($C79,Summary_FR!$E$3:$E$557,0),MATCH(B$3,Summary_FR!$A$3:$R$3,0)))</f>
        <v>SWFs / MFIs / Pension Funds / FoFs</v>
      </c>
      <c r="C79" s="86" t="s">
        <v>126</v>
      </c>
      <c r="D79" s="86" t="s">
        <v>1118</v>
      </c>
      <c r="E79" s="86" t="s">
        <v>928</v>
      </c>
      <c r="F79" s="86"/>
      <c r="G79" s="86" t="s">
        <v>1119</v>
      </c>
      <c r="H79" s="86"/>
      <c r="I79" s="86" t="s">
        <v>1120</v>
      </c>
      <c r="J79" s="86"/>
      <c r="K79" s="86"/>
      <c r="L79" s="86"/>
      <c r="M79" s="86"/>
      <c r="N79" s="86"/>
    </row>
    <row r="80" spans="1:14" ht="14" x14ac:dyDescent="0.15">
      <c r="A80" s="86" t="str">
        <f>IF($C80="","",INDEX(Summary_FR!$A$3:$R$557,MATCH($C80,Summary_FR!$E$3:$E$557,0),MATCH(A$3,Summary_FR!$A$3:$R$3,0)))</f>
        <v>SKC</v>
      </c>
      <c r="B80" s="86" t="str">
        <f>IF($C80="","",INDEX(Summary_FR!$A$3:$R$557,MATCH($C80,Summary_FR!$E$3:$E$557,0),MATCH(B$3,Summary_FR!$A$3:$R$3,0)))</f>
        <v>Others</v>
      </c>
      <c r="C80" s="86" t="s">
        <v>74</v>
      </c>
      <c r="D80" s="90"/>
      <c r="E80" s="90"/>
      <c r="F80" s="90"/>
      <c r="G80" s="86"/>
      <c r="H80" s="90"/>
      <c r="I80" s="86"/>
      <c r="J80" s="86"/>
      <c r="K80" s="86"/>
      <c r="L80" s="86"/>
      <c r="M80" s="86"/>
      <c r="N80" s="86"/>
    </row>
    <row r="81" spans="1:14" ht="28" x14ac:dyDescent="0.15">
      <c r="A81" s="86" t="str">
        <f>IF($C81="","",INDEX(Summary_FR!$A$3:$R$557,MATCH($C81,Summary_FR!$E$3:$E$557,0),MATCH(A$3,Summary_FR!$A$3:$R$3,0)))</f>
        <v>Propreitory</v>
      </c>
      <c r="B81" s="86" t="str">
        <f>IF($C81="","",INDEX(Summary_FR!$A$3:$R$557,MATCH($C81,Summary_FR!$E$3:$E$557,0),MATCH(B$3,Summary_FR!$A$3:$R$3,0)))</f>
        <v>SWFs / MFIs / Pension Funds / FoFs</v>
      </c>
      <c r="C81" s="86" t="s">
        <v>127</v>
      </c>
      <c r="D81" s="86" t="s">
        <v>1121</v>
      </c>
      <c r="E81" s="86" t="s">
        <v>1122</v>
      </c>
      <c r="F81" s="86"/>
      <c r="G81" s="86" t="s">
        <v>1123</v>
      </c>
      <c r="H81" s="86"/>
      <c r="I81" s="86" t="s">
        <v>1124</v>
      </c>
      <c r="J81" s="86"/>
      <c r="K81" s="86"/>
      <c r="L81" s="86"/>
      <c r="M81" s="86"/>
      <c r="N81" s="86"/>
    </row>
    <row r="82" spans="1:14" ht="28" x14ac:dyDescent="0.15">
      <c r="A82" s="86" t="str">
        <f>IF($C82="","",INDEX(Summary_FR!$A$3:$R$557,MATCH($C82,Summary_FR!$E$3:$E$557,0),MATCH(A$3,Summary_FR!$A$3:$R$3,0)))</f>
        <v>Propreitory</v>
      </c>
      <c r="B82" s="86" t="str">
        <f>IF($C82="","",INDEX(Summary_FR!$A$3:$R$557,MATCH($C82,Summary_FR!$E$3:$E$557,0),MATCH(B$3,Summary_FR!$A$3:$R$3,0)))</f>
        <v>SWFs / MFIs / Pension Funds / FoFs</v>
      </c>
      <c r="C82" s="86" t="s">
        <v>127</v>
      </c>
      <c r="D82" s="86" t="s">
        <v>1125</v>
      </c>
      <c r="E82" s="86" t="s">
        <v>1126</v>
      </c>
      <c r="F82" s="86"/>
      <c r="G82" s="86" t="s">
        <v>1127</v>
      </c>
      <c r="H82" s="86"/>
      <c r="I82" s="86" t="s">
        <v>1128</v>
      </c>
      <c r="J82" s="86"/>
      <c r="K82" s="86"/>
      <c r="L82" s="86"/>
      <c r="M82" s="86"/>
      <c r="N82" s="86"/>
    </row>
    <row r="83" spans="1:14" ht="14" x14ac:dyDescent="0.15">
      <c r="A83" s="86" t="str">
        <f>IF($C83="","",INDEX(Summary_FR!$A$3:$R$557,MATCH($C83,Summary_FR!$E$3:$E$557,0),MATCH(A$3,Summary_FR!$A$3:$R$3,0)))</f>
        <v>SKC</v>
      </c>
      <c r="B83" s="86" t="str">
        <f>IF($C83="","",INDEX(Summary_FR!$A$3:$R$557,MATCH($C83,Summary_FR!$E$3:$E$557,0),MATCH(B$3,Summary_FR!$A$3:$R$3,0)))</f>
        <v>Others</v>
      </c>
      <c r="C83" s="86" t="s">
        <v>71</v>
      </c>
      <c r="D83" s="90"/>
      <c r="E83" s="90"/>
      <c r="F83" s="90"/>
      <c r="G83" s="90"/>
      <c r="H83" s="90"/>
      <c r="I83" s="90"/>
      <c r="J83" s="90"/>
      <c r="K83" s="90"/>
      <c r="L83" s="90"/>
      <c r="M83" s="90"/>
      <c r="N83" s="90"/>
    </row>
    <row r="84" spans="1:14" ht="28" x14ac:dyDescent="0.15">
      <c r="A84" s="86" t="str">
        <f>IF($C84="","",INDEX(Summary_FR!$A$3:$R$557,MATCH($C84,Summary_FR!$E$3:$E$557,0),MATCH(A$3,Summary_FR!$A$3:$R$3,0)))</f>
        <v>Propreitory</v>
      </c>
      <c r="B84" s="86" t="str">
        <f>IF($C84="","",INDEX(Summary_FR!$A$3:$R$557,MATCH($C84,Summary_FR!$E$3:$E$557,0),MATCH(B$3,Summary_FR!$A$3:$R$3,0)))</f>
        <v>SWFs / MFIs / Pension Funds / FoFs</v>
      </c>
      <c r="C84" s="86" t="s">
        <v>128</v>
      </c>
      <c r="D84" s="86" t="s">
        <v>1129</v>
      </c>
      <c r="E84" s="86" t="s">
        <v>1130</v>
      </c>
      <c r="F84" s="86"/>
      <c r="G84" s="86" t="s">
        <v>1131</v>
      </c>
      <c r="H84" s="86"/>
      <c r="I84" s="86" t="s">
        <v>1132</v>
      </c>
      <c r="J84" s="86"/>
      <c r="K84" s="86"/>
      <c r="L84" s="86"/>
      <c r="M84" s="86"/>
      <c r="N84" s="86"/>
    </row>
    <row r="85" spans="1:14" ht="14" x14ac:dyDescent="0.15">
      <c r="A85" s="86" t="str">
        <f>IF($C85="","",INDEX(Summary_FR!$A$3:$R$557,MATCH($C85,Summary_FR!$E$3:$E$557,0),MATCH(A$3,Summary_FR!$A$3:$R$3,0)))</f>
        <v>SBI Caps</v>
      </c>
      <c r="B85" s="86" t="str">
        <f>IF($C85="","",INDEX(Summary_FR!$A$3:$R$557,MATCH($C85,Summary_FR!$E$3:$E$557,0),MATCH(B$3,Summary_FR!$A$3:$R$3,0)))</f>
        <v>PSU Banks / PFIs</v>
      </c>
      <c r="C85" s="86" t="s">
        <v>78</v>
      </c>
      <c r="D85" s="90"/>
      <c r="E85" s="90"/>
      <c r="F85" s="90"/>
      <c r="G85" s="86"/>
      <c r="H85" s="90"/>
      <c r="I85" s="86"/>
      <c r="J85" s="86"/>
      <c r="K85" s="86"/>
      <c r="L85" s="86"/>
      <c r="M85" s="86"/>
      <c r="N85" s="90"/>
    </row>
    <row r="86" spans="1:14" ht="28" x14ac:dyDescent="0.15">
      <c r="A86" s="86" t="str">
        <f>IF($C86="","",INDEX(Summary_FR!$A$3:$R$557,MATCH($C86,Summary_FR!$E$3:$E$557,0),MATCH(A$3,Summary_FR!$A$3:$R$3,0)))</f>
        <v>SBI Caps</v>
      </c>
      <c r="B86" s="86" t="str">
        <f>IF($C86="","",INDEX(Summary_FR!$A$3:$R$557,MATCH($C86,Summary_FR!$E$3:$E$557,0),MATCH(B$3,Summary_FR!$A$3:$R$3,0)))</f>
        <v>SWFs / MFIs / Pension Funds / FoFs</v>
      </c>
      <c r="C86" s="86" t="s">
        <v>115</v>
      </c>
      <c r="D86" s="86" t="s">
        <v>1133</v>
      </c>
      <c r="E86" s="86" t="s">
        <v>1134</v>
      </c>
      <c r="F86" s="86"/>
      <c r="G86" s="89" t="s">
        <v>1135</v>
      </c>
      <c r="H86" s="86" t="s">
        <v>1136</v>
      </c>
      <c r="I86" s="86"/>
      <c r="J86" s="86"/>
      <c r="K86" s="86"/>
      <c r="L86" s="86"/>
      <c r="M86" s="86"/>
      <c r="N86" s="86" t="s">
        <v>935</v>
      </c>
    </row>
    <row r="87" spans="1:14" ht="28" x14ac:dyDescent="0.15">
      <c r="A87" s="86" t="str">
        <f>IF($C87="","",INDEX(Summary_FR!$A$3:$R$557,MATCH($C87,Summary_FR!$E$3:$E$557,0),MATCH(A$3,Summary_FR!$A$3:$R$3,0)))</f>
        <v>SKC</v>
      </c>
      <c r="B87" s="86" t="str">
        <f>IF($C87="","",INDEX(Summary_FR!$A$3:$R$557,MATCH($C87,Summary_FR!$E$3:$E$557,0),MATCH(B$3,Summary_FR!$A$3:$R$3,0)))</f>
        <v>PSU Banks / PFIs</v>
      </c>
      <c r="C87" s="86" t="s">
        <v>129</v>
      </c>
      <c r="D87" s="86" t="s">
        <v>1137</v>
      </c>
      <c r="E87" s="86" t="s">
        <v>923</v>
      </c>
      <c r="F87" s="86"/>
      <c r="G87" s="86" t="s">
        <v>1138</v>
      </c>
      <c r="H87" s="86" t="s">
        <v>1139</v>
      </c>
      <c r="I87" s="86"/>
      <c r="J87" s="86"/>
      <c r="K87" s="86"/>
      <c r="L87" s="86"/>
      <c r="M87" s="86"/>
      <c r="N87" s="86" t="s">
        <v>926</v>
      </c>
    </row>
    <row r="88" spans="1:14" ht="14" x14ac:dyDescent="0.15">
      <c r="A88" s="86" t="str">
        <f>IF($C88="","",INDEX(Summary_FR!$A$3:$R$557,MATCH($C88,Summary_FR!$E$3:$E$557,0),MATCH(A$3,Summary_FR!$A$3:$R$3,0)))</f>
        <v>SKC</v>
      </c>
      <c r="B88" s="86" t="str">
        <f>IF($C88="","",INDEX(Summary_FR!$A$3:$R$557,MATCH($C88,Summary_FR!$E$3:$E$557,0),MATCH(B$3,Summary_FR!$A$3:$R$3,0)))</f>
        <v>Others</v>
      </c>
      <c r="C88" s="86" t="s">
        <v>77</v>
      </c>
      <c r="D88" s="90"/>
      <c r="E88" s="90"/>
      <c r="F88" s="90"/>
      <c r="G88" s="86"/>
      <c r="H88" s="90"/>
      <c r="I88" s="86"/>
      <c r="J88" s="86"/>
      <c r="K88" s="86"/>
      <c r="L88" s="86"/>
      <c r="M88" s="86"/>
      <c r="N88" s="86"/>
    </row>
    <row r="89" spans="1:14" ht="28" x14ac:dyDescent="0.15">
      <c r="A89" s="86" t="str">
        <f>IF($C89="","",INDEX(Summary_FR!$A$3:$R$557,MATCH($C89,Summary_FR!$E$3:$E$557,0),MATCH(A$3,Summary_FR!$A$3:$R$3,0)))</f>
        <v>Propreitory</v>
      </c>
      <c r="B89" s="86" t="str">
        <f>IF($C89="","",INDEX(Summary_FR!$A$3:$R$557,MATCH($C89,Summary_FR!$E$3:$E$557,0),MATCH(B$3,Summary_FR!$A$3:$R$3,0)))</f>
        <v>SWFs / MFIs / Pension Funds / FoFs</v>
      </c>
      <c r="C89" s="86" t="s">
        <v>130</v>
      </c>
      <c r="D89" s="86" t="s">
        <v>1140</v>
      </c>
      <c r="E89" s="86" t="s">
        <v>1141</v>
      </c>
      <c r="F89" s="86"/>
      <c r="G89" s="86" t="s">
        <v>1142</v>
      </c>
      <c r="H89" s="86"/>
      <c r="I89" s="86" t="s">
        <v>1143</v>
      </c>
      <c r="J89" s="86"/>
      <c r="K89" s="86"/>
      <c r="L89" s="86"/>
      <c r="M89" s="86"/>
      <c r="N89" s="86"/>
    </row>
    <row r="90" spans="1:14" ht="14" x14ac:dyDescent="0.15">
      <c r="A90" s="86" t="str">
        <f>IF($C90="","",INDEX(Summary_FR!$A$3:$R$557,MATCH($C90,Summary_FR!$E$3:$E$557,0),MATCH(A$3,Summary_FR!$A$3:$R$3,0)))</f>
        <v>SBI Caps</v>
      </c>
      <c r="B90" s="86" t="str">
        <f>IF($C90="","",INDEX(Summary_FR!$A$3:$R$557,MATCH($C90,Summary_FR!$E$3:$E$557,0),MATCH(B$3,Summary_FR!$A$3:$R$3,0)))</f>
        <v>PSU Banks / PFIs</v>
      </c>
      <c r="C90" s="86" t="s">
        <v>63</v>
      </c>
      <c r="D90" s="90"/>
      <c r="E90" s="90"/>
      <c r="F90" s="90"/>
      <c r="G90" s="90"/>
      <c r="H90" s="90"/>
      <c r="I90" s="90"/>
      <c r="J90" s="90"/>
      <c r="K90" s="90"/>
      <c r="L90" s="90"/>
      <c r="M90" s="90"/>
      <c r="N90" s="90"/>
    </row>
    <row r="91" spans="1:14" ht="28" x14ac:dyDescent="0.15">
      <c r="A91" s="86" t="str">
        <f>IF($C91="","",INDEX(Summary_FR!$A$3:$R$557,MATCH($C91,Summary_FR!$E$3:$E$557,0),MATCH(A$3,Summary_FR!$A$3:$R$3,0)))</f>
        <v>Propreitory</v>
      </c>
      <c r="B91" s="86" t="str">
        <f>IF($C91="","",INDEX(Summary_FR!$A$3:$R$557,MATCH($C91,Summary_FR!$E$3:$E$557,0),MATCH(B$3,Summary_FR!$A$3:$R$3,0)))</f>
        <v>Domestic Pension Funds / Insurance Companies/MFs</v>
      </c>
      <c r="C91" s="86" t="s">
        <v>65</v>
      </c>
      <c r="D91" s="90"/>
      <c r="E91" s="90"/>
      <c r="F91" s="90"/>
      <c r="G91" s="90"/>
      <c r="H91" s="90"/>
      <c r="I91" s="90"/>
      <c r="J91" s="90"/>
      <c r="K91" s="90"/>
      <c r="L91" s="90"/>
      <c r="M91" s="90"/>
      <c r="N91" s="90"/>
    </row>
    <row r="92" spans="1:14" ht="28" x14ac:dyDescent="0.15">
      <c r="A92" s="86" t="str">
        <f>IF($C92="","",INDEX(Summary_FR!$A$3:$R$557,MATCH($C92,Summary_FR!$E$3:$E$557,0),MATCH(A$3,Summary_FR!$A$3:$R$3,0)))</f>
        <v>SBI Caps</v>
      </c>
      <c r="B92" s="86" t="str">
        <f>IF($C92="","",INDEX(Summary_FR!$A$3:$R$557,MATCH($C92,Summary_FR!$E$3:$E$557,0),MATCH(B$3,Summary_FR!$A$3:$R$3,0)))</f>
        <v>Domestic Pension Funds / Insurance Companies/MFs</v>
      </c>
      <c r="C92" s="86" t="s">
        <v>66</v>
      </c>
      <c r="D92" s="90" t="s">
        <v>1144</v>
      </c>
      <c r="E92" s="90" t="s">
        <v>1145</v>
      </c>
      <c r="F92" s="90" t="s">
        <v>1146</v>
      </c>
      <c r="G92" s="89" t="s">
        <v>1147</v>
      </c>
      <c r="H92" s="90"/>
      <c r="I92" s="90"/>
      <c r="J92" s="90"/>
      <c r="K92" s="90"/>
      <c r="L92" s="90"/>
      <c r="M92" s="90"/>
      <c r="N92" s="90" t="s">
        <v>1148</v>
      </c>
    </row>
    <row r="93" spans="1:14" ht="28" x14ac:dyDescent="0.15">
      <c r="A93" s="86" t="str">
        <f>IF($C93="","",INDEX(Summary_FR!$A$3:$R$557,MATCH($C93,Summary_FR!$E$3:$E$557,0),MATCH(A$3,Summary_FR!$A$3:$R$3,0)))</f>
        <v>SBI Caps</v>
      </c>
      <c r="B93" s="86" t="str">
        <f>IF($C93="","",INDEX(Summary_FR!$A$3:$R$557,MATCH($C93,Summary_FR!$E$3:$E$557,0),MATCH(B$3,Summary_FR!$A$3:$R$3,0)))</f>
        <v>Domestic Pension Funds / Insurance Companies/MFs</v>
      </c>
      <c r="C93" s="86" t="s">
        <v>64</v>
      </c>
      <c r="D93" s="90"/>
      <c r="E93" s="90"/>
      <c r="F93" s="90"/>
      <c r="G93" s="90"/>
      <c r="H93" s="90"/>
      <c r="I93" s="90"/>
      <c r="J93" s="90"/>
      <c r="K93" s="90"/>
      <c r="L93" s="90"/>
      <c r="M93" s="90"/>
      <c r="N93" s="90"/>
    </row>
    <row r="94" spans="1:14" ht="42" x14ac:dyDescent="0.15">
      <c r="A94" s="86" t="str">
        <f>IF($C94="","",INDEX(Summary_FR!$A$3:$R$557,MATCH($C94,Summary_FR!$E$3:$E$557,0),MATCH(A$3,Summary_FR!$A$3:$R$3,0)))</f>
        <v>Propreitory</v>
      </c>
      <c r="B94" s="86" t="str">
        <f>IF($C94="","",INDEX(Summary_FR!$A$3:$R$557,MATCH($C94,Summary_FR!$E$3:$E$557,0),MATCH(B$3,Summary_FR!$A$3:$R$3,0)))</f>
        <v>PSU Banks / PFIs</v>
      </c>
      <c r="C94" s="86" t="s">
        <v>243</v>
      </c>
      <c r="D94" s="86" t="s">
        <v>1149</v>
      </c>
      <c r="E94" s="86" t="s">
        <v>923</v>
      </c>
      <c r="F94" s="86"/>
      <c r="G94" s="86" t="s">
        <v>1150</v>
      </c>
      <c r="H94" s="86" t="s">
        <v>1151</v>
      </c>
      <c r="I94" s="86"/>
      <c r="J94" s="86"/>
      <c r="K94" s="86"/>
      <c r="L94" s="86"/>
      <c r="M94" s="86"/>
      <c r="N94" s="86" t="s">
        <v>926</v>
      </c>
    </row>
    <row r="95" spans="1:14" ht="42" x14ac:dyDescent="0.15">
      <c r="A95" s="86" t="str">
        <f>IF($C95="","",INDEX(Summary_FR!$A$3:$R$557,MATCH($C95,Summary_FR!$E$3:$E$557,0),MATCH(A$3,Summary_FR!$A$3:$R$3,0)))</f>
        <v>Propreitory</v>
      </c>
      <c r="B95" s="86" t="str">
        <f>IF($C95="","",INDEX(Summary_FR!$A$3:$R$557,MATCH($C95,Summary_FR!$E$3:$E$557,0),MATCH(B$3,Summary_FR!$A$3:$R$3,0)))</f>
        <v>PSU Banks / PFIs</v>
      </c>
      <c r="C95" s="86" t="s">
        <v>243</v>
      </c>
      <c r="D95" s="86" t="s">
        <v>1152</v>
      </c>
      <c r="E95" s="86" t="s">
        <v>923</v>
      </c>
      <c r="F95" s="86"/>
      <c r="G95" s="86"/>
      <c r="H95" s="86" t="s">
        <v>1153</v>
      </c>
      <c r="I95" s="86"/>
      <c r="J95" s="86"/>
      <c r="K95" s="86"/>
      <c r="L95" s="86"/>
      <c r="M95" s="86"/>
      <c r="N95" s="86"/>
    </row>
    <row r="96" spans="1:14" ht="28" x14ac:dyDescent="0.15">
      <c r="A96" s="86" t="str">
        <f>IF($C96="","",INDEX(Summary_FR!$A$3:$R$557,MATCH($C96,Summary_FR!$E$3:$E$557,0),MATCH(A$3,Summary_FR!$A$3:$R$3,0)))</f>
        <v>Propreitory</v>
      </c>
      <c r="B96" s="86" t="str">
        <f>IF($C96="","",INDEX(Summary_FR!$A$3:$R$557,MATCH($C96,Summary_FR!$E$3:$E$557,0),MATCH(B$3,Summary_FR!$A$3:$R$3,0)))</f>
        <v>Others</v>
      </c>
      <c r="C96" s="86" t="s">
        <v>132</v>
      </c>
      <c r="D96" s="86" t="s">
        <v>1154</v>
      </c>
      <c r="E96" s="86" t="s">
        <v>1155</v>
      </c>
      <c r="F96" s="86" t="s">
        <v>1156</v>
      </c>
      <c r="G96" s="86" t="s">
        <v>1157</v>
      </c>
      <c r="H96" s="86"/>
      <c r="I96" s="86"/>
      <c r="J96" s="86"/>
      <c r="K96" s="86"/>
      <c r="L96" s="86"/>
      <c r="M96" s="86"/>
      <c r="N96" s="86" t="s">
        <v>917</v>
      </c>
    </row>
    <row r="97" spans="1:14" ht="28" x14ac:dyDescent="0.15">
      <c r="A97" s="86" t="str">
        <f>IF($C97="","",INDEX(Summary_FR!$A$3:$R$557,MATCH($C97,Summary_FR!$E$3:$E$557,0),MATCH(A$3,Summary_FR!$A$3:$R$3,0)))</f>
        <v>Others</v>
      </c>
      <c r="B97" s="86" t="str">
        <f>IF($C97="","",INDEX(Summary_FR!$A$3:$R$557,MATCH($C97,Summary_FR!$E$3:$E$557,0),MATCH(B$3,Summary_FR!$A$3:$R$3,0)))</f>
        <v>SWFs / MFIs / Pension Funds / FoFs</v>
      </c>
      <c r="C97" s="86" t="s">
        <v>85</v>
      </c>
      <c r="D97" s="86" t="s">
        <v>1158</v>
      </c>
      <c r="E97" s="86"/>
      <c r="F97" s="86"/>
      <c r="G97" s="86"/>
      <c r="H97" s="86"/>
      <c r="I97" s="86"/>
      <c r="J97" s="86"/>
      <c r="K97" s="86"/>
      <c r="L97" s="86"/>
      <c r="M97" s="86"/>
      <c r="N97" s="86" t="s">
        <v>1036</v>
      </c>
    </row>
    <row r="98" spans="1:14" ht="28" x14ac:dyDescent="0.15">
      <c r="A98" s="86" t="str">
        <f>IF($C98="","",INDEX(Summary_FR!$A$3:$R$557,MATCH($C98,Summary_FR!$E$3:$E$557,0),MATCH(A$3,Summary_FR!$A$3:$R$3,0)))</f>
        <v>Propreitory</v>
      </c>
      <c r="B98" s="86" t="str">
        <f>IF($C98="","",INDEX(Summary_FR!$A$3:$R$557,MATCH($C98,Summary_FR!$E$3:$E$557,0),MATCH(B$3,Summary_FR!$A$3:$R$3,0)))</f>
        <v>SWFs / MFIs / Pension Funds / FoFs</v>
      </c>
      <c r="C98" s="86" t="s">
        <v>419</v>
      </c>
      <c r="D98" s="86" t="s">
        <v>1159</v>
      </c>
      <c r="E98" s="86" t="s">
        <v>1160</v>
      </c>
      <c r="F98" s="86" t="s">
        <v>1161</v>
      </c>
      <c r="G98" s="89" t="s">
        <v>1162</v>
      </c>
      <c r="H98" s="86"/>
      <c r="I98" s="86"/>
      <c r="J98" s="86"/>
      <c r="K98" s="86"/>
      <c r="L98" s="86"/>
      <c r="M98" s="86"/>
      <c r="N98" s="86" t="s">
        <v>917</v>
      </c>
    </row>
    <row r="99" spans="1:14" ht="28" x14ac:dyDescent="0.15">
      <c r="A99" s="86" t="str">
        <f>IF($C99="","",INDEX(Summary_FR!$A$3:$R$557,MATCH($C99,Summary_FR!$E$3:$E$557,0),MATCH(A$3,Summary_FR!$A$3:$R$3,0)))</f>
        <v>Propreitory</v>
      </c>
      <c r="B99" s="86" t="str">
        <f>IF($C99="","",INDEX(Summary_FR!$A$3:$R$557,MATCH($C99,Summary_FR!$E$3:$E$557,0),MATCH(B$3,Summary_FR!$A$3:$R$3,0)))</f>
        <v>SWFs / MFIs / Pension Funds / FoFs</v>
      </c>
      <c r="C99" s="86" t="s">
        <v>419</v>
      </c>
      <c r="D99" s="86" t="s">
        <v>1163</v>
      </c>
      <c r="E99" s="86" t="s">
        <v>1164</v>
      </c>
      <c r="F99" s="86" t="s">
        <v>1161</v>
      </c>
      <c r="G99" s="89" t="s">
        <v>1165</v>
      </c>
      <c r="H99" s="86"/>
      <c r="I99" s="86"/>
      <c r="J99" s="86"/>
      <c r="K99" s="86"/>
      <c r="L99" s="86"/>
      <c r="M99" s="86"/>
      <c r="N99" s="86" t="s">
        <v>917</v>
      </c>
    </row>
    <row r="100" spans="1:14" ht="28" x14ac:dyDescent="0.15">
      <c r="A100" s="86" t="str">
        <f>IF($C100="","",INDEX(Summary_FR!$A$3:$R$557,MATCH($C100,Summary_FR!$E$3:$E$557,0),MATCH(A$3,Summary_FR!$A$3:$R$3,0)))</f>
        <v>Propreitory</v>
      </c>
      <c r="B100" s="86" t="str">
        <f>IF($C100="","",INDEX(Summary_FR!$A$3:$R$557,MATCH($C100,Summary_FR!$E$3:$E$557,0),MATCH(B$3,Summary_FR!$A$3:$R$3,0)))</f>
        <v>SWFs / MFIs / Pension Funds / FoFs</v>
      </c>
      <c r="C100" s="86" t="s">
        <v>419</v>
      </c>
      <c r="D100" s="86" t="s">
        <v>1166</v>
      </c>
      <c r="E100" s="86" t="s">
        <v>1167</v>
      </c>
      <c r="F100" s="86" t="s">
        <v>1161</v>
      </c>
      <c r="G100" s="89" t="s">
        <v>1168</v>
      </c>
      <c r="H100" s="86"/>
      <c r="I100" s="86"/>
      <c r="J100" s="86"/>
      <c r="K100" s="86"/>
      <c r="L100" s="86"/>
      <c r="M100" s="86"/>
      <c r="N100" s="86" t="s">
        <v>917</v>
      </c>
    </row>
    <row r="101" spans="1:14" ht="28" x14ac:dyDescent="0.15">
      <c r="A101" s="86" t="str">
        <f>IF($C101="","",INDEX(Summary_FR!$A$3:$R$557,MATCH($C101,Summary_FR!$E$3:$E$557,0),MATCH(A$3,Summary_FR!$A$3:$R$3,0)))</f>
        <v>Propreitory</v>
      </c>
      <c r="B101" s="86" t="str">
        <f>IF($C101="","",INDEX(Summary_FR!$A$3:$R$557,MATCH($C101,Summary_FR!$E$3:$E$557,0),MATCH(B$3,Summary_FR!$A$3:$R$3,0)))</f>
        <v>PSU Banks / PFIs</v>
      </c>
      <c r="C101" s="86" t="s">
        <v>36</v>
      </c>
      <c r="D101" s="86" t="s">
        <v>1169</v>
      </c>
      <c r="E101" s="86" t="s">
        <v>1045</v>
      </c>
      <c r="F101" s="86"/>
      <c r="G101" s="86" t="s">
        <v>1170</v>
      </c>
      <c r="H101" s="86" t="s">
        <v>1171</v>
      </c>
      <c r="I101" s="86"/>
      <c r="J101" s="86"/>
      <c r="K101" s="86"/>
      <c r="L101" s="86"/>
      <c r="M101" s="86"/>
      <c r="N101" s="86" t="s">
        <v>926</v>
      </c>
    </row>
    <row r="102" spans="1:14" ht="28" x14ac:dyDescent="0.15">
      <c r="A102" s="86" t="str">
        <f>IF($C102="","",INDEX(Summary_FR!$A$3:$R$557,MATCH($C102,Summary_FR!$E$3:$E$557,0),MATCH(A$3,Summary_FR!$A$3:$R$3,0)))</f>
        <v>Propreitory</v>
      </c>
      <c r="B102" s="86" t="str">
        <f>IF($C102="","",INDEX(Summary_FR!$A$3:$R$557,MATCH($C102,Summary_FR!$E$3:$E$557,0),MATCH(B$3,Summary_FR!$A$3:$R$3,0)))</f>
        <v>SWFs / MFIs / Pension Funds / FoFs</v>
      </c>
      <c r="C102" s="86" t="s">
        <v>133</v>
      </c>
      <c r="D102" s="86" t="s">
        <v>1172</v>
      </c>
      <c r="E102" s="86" t="s">
        <v>1173</v>
      </c>
      <c r="F102" s="86"/>
      <c r="G102" s="86" t="s">
        <v>1174</v>
      </c>
      <c r="H102" s="86"/>
      <c r="I102" s="86" t="s">
        <v>1175</v>
      </c>
      <c r="J102" s="86"/>
      <c r="K102" s="86"/>
      <c r="L102" s="86"/>
      <c r="M102" s="86"/>
      <c r="N102" s="86"/>
    </row>
    <row r="103" spans="1:14" ht="14" x14ac:dyDescent="0.15">
      <c r="A103" s="86" t="str">
        <f>IF($C103="","",INDEX(Summary_FR!$A$3:$R$557,MATCH($C103,Summary_FR!$E$3:$E$557,0),MATCH(A$3,Summary_FR!$A$3:$R$3,0)))</f>
        <v>Propreitory</v>
      </c>
      <c r="B103" s="86" t="str">
        <f>IF($C103="","",INDEX(Summary_FR!$A$3:$R$557,MATCH($C103,Summary_FR!$E$3:$E$557,0),MATCH(B$3,Summary_FR!$A$3:$R$3,0)))</f>
        <v>Others</v>
      </c>
      <c r="C103" s="86" t="s">
        <v>134</v>
      </c>
      <c r="D103" s="86" t="s">
        <v>1176</v>
      </c>
      <c r="E103" s="86" t="s">
        <v>1177</v>
      </c>
      <c r="F103" s="86" t="s">
        <v>1178</v>
      </c>
      <c r="G103" s="89" t="s">
        <v>1179</v>
      </c>
      <c r="H103" s="86"/>
      <c r="I103" s="86"/>
      <c r="J103" s="86"/>
      <c r="K103" s="86"/>
      <c r="L103" s="86"/>
      <c r="M103" s="86"/>
      <c r="N103" s="86" t="s">
        <v>917</v>
      </c>
    </row>
    <row r="104" spans="1:14" ht="14" x14ac:dyDescent="0.15">
      <c r="A104" s="86" t="str">
        <f>IF($C104="","",INDEX(Summary_FR!$A$3:$R$557,MATCH($C104,Summary_FR!$E$3:$E$557,0),MATCH(A$3,Summary_FR!$A$3:$R$3,0)))</f>
        <v>Propreitory</v>
      </c>
      <c r="B104" s="86" t="str">
        <f>IF($C104="","",INDEX(Summary_FR!$A$3:$R$557,MATCH($C104,Summary_FR!$E$3:$E$557,0),MATCH(B$3,Summary_FR!$A$3:$R$3,0)))</f>
        <v>Others</v>
      </c>
      <c r="C104" s="86" t="s">
        <v>134</v>
      </c>
      <c r="D104" s="86" t="s">
        <v>1180</v>
      </c>
      <c r="E104" s="86" t="s">
        <v>1181</v>
      </c>
      <c r="F104" s="86" t="s">
        <v>1178</v>
      </c>
      <c r="G104" s="89" t="s">
        <v>1182</v>
      </c>
      <c r="H104" s="86"/>
      <c r="I104" s="86"/>
      <c r="J104" s="86"/>
      <c r="K104" s="86"/>
      <c r="L104" s="86"/>
      <c r="M104" s="86"/>
      <c r="N104" s="86" t="s">
        <v>917</v>
      </c>
    </row>
    <row r="105" spans="1:14" ht="28" x14ac:dyDescent="0.15">
      <c r="A105" s="86" t="str">
        <f>IF($C105="","",INDEX(Summary_FR!$A$3:$R$557,MATCH($C105,Summary_FR!$E$3:$E$557,0),MATCH(A$3,Summary_FR!$A$3:$R$3,0)))</f>
        <v>CFM</v>
      </c>
      <c r="B105" s="86" t="str">
        <f>IF($C105="","",INDEX(Summary_FR!$A$3:$R$557,MATCH($C105,Summary_FR!$E$3:$E$557,0),MATCH(B$3,Summary_FR!$A$3:$R$3,0)))</f>
        <v>Private Sector / Foreign  Banks in India / NBFCs</v>
      </c>
      <c r="C105" s="86" t="s">
        <v>43</v>
      </c>
      <c r="D105" s="86"/>
      <c r="E105" s="86"/>
      <c r="F105" s="86"/>
      <c r="G105" s="86"/>
      <c r="H105" s="86"/>
      <c r="I105" s="86"/>
      <c r="J105" s="86"/>
      <c r="K105" s="86"/>
      <c r="L105" s="86"/>
      <c r="M105" s="86"/>
      <c r="N105" s="86"/>
    </row>
    <row r="106" spans="1:14" ht="28" x14ac:dyDescent="0.15">
      <c r="A106" s="86" t="str">
        <f>IF($C106="","",INDEX(Summary_FR!$A$3:$R$557,MATCH($C106,Summary_FR!$E$3:$E$557,0),MATCH(A$3,Summary_FR!$A$3:$R$3,0)))</f>
        <v>CFM</v>
      </c>
      <c r="B106" s="86" t="str">
        <f>IF($C106="","",INDEX(Summary_FR!$A$3:$R$557,MATCH($C106,Summary_FR!$E$3:$E$557,0),MATCH(B$3,Summary_FR!$A$3:$R$3,0)))</f>
        <v>Private Sector / Foreign  Banks in India / NBFCs</v>
      </c>
      <c r="C106" s="86" t="s">
        <v>43</v>
      </c>
      <c r="D106" s="86" t="s">
        <v>1183</v>
      </c>
      <c r="E106" s="86" t="s">
        <v>923</v>
      </c>
      <c r="F106" s="86"/>
      <c r="G106" s="86" t="s">
        <v>1184</v>
      </c>
      <c r="H106" s="86" t="s">
        <v>1185</v>
      </c>
      <c r="I106" s="86"/>
      <c r="J106" s="86"/>
      <c r="K106" s="86"/>
      <c r="L106" s="86"/>
      <c r="M106" s="86"/>
      <c r="N106" s="86" t="s">
        <v>926</v>
      </c>
    </row>
    <row r="107" spans="1:14" ht="28" x14ac:dyDescent="0.15">
      <c r="A107" s="86" t="str">
        <f>IF($C107="","",INDEX(Summary_FR!$A$3:$R$557,MATCH($C107,Summary_FR!$E$3:$E$557,0),MATCH(A$3,Summary_FR!$A$3:$R$3,0)))</f>
        <v>CFM</v>
      </c>
      <c r="B107" s="86" t="str">
        <f>IF($C107="","",INDEX(Summary_FR!$A$3:$R$557,MATCH($C107,Summary_FR!$E$3:$E$557,0),MATCH(B$3,Summary_FR!$A$3:$R$3,0)))</f>
        <v>Private Sector / Foreign  Banks in India / NBFCs</v>
      </c>
      <c r="C107" s="86" t="s">
        <v>43</v>
      </c>
      <c r="D107" s="86" t="s">
        <v>1186</v>
      </c>
      <c r="E107" s="86" t="s">
        <v>923</v>
      </c>
      <c r="F107" s="86"/>
      <c r="G107" s="89" t="s">
        <v>1184</v>
      </c>
      <c r="H107" s="86" t="s">
        <v>1187</v>
      </c>
      <c r="I107" s="86"/>
      <c r="J107" s="86"/>
      <c r="K107" s="86"/>
      <c r="L107" s="86"/>
      <c r="M107" s="86"/>
      <c r="N107" s="86"/>
    </row>
    <row r="108" spans="1:14" ht="28" x14ac:dyDescent="0.15">
      <c r="A108" s="86" t="str">
        <f>IF($C108="","",INDEX(Summary_FR!$A$3:$R$557,MATCH($C108,Summary_FR!$E$3:$E$557,0),MATCH(A$3,Summary_FR!$A$3:$R$3,0)))</f>
        <v>CFM</v>
      </c>
      <c r="B108" s="86" t="str">
        <f>IF($C108="","",INDEX(Summary_FR!$A$3:$R$557,MATCH($C108,Summary_FR!$E$3:$E$557,0),MATCH(B$3,Summary_FR!$A$3:$R$3,0)))</f>
        <v>Private Sector / Foreign  Banks in India / NBFCs</v>
      </c>
      <c r="C108" s="86" t="s">
        <v>135</v>
      </c>
      <c r="D108" s="86" t="s">
        <v>1188</v>
      </c>
      <c r="E108" s="86" t="s">
        <v>923</v>
      </c>
      <c r="F108" s="86"/>
      <c r="G108" s="86" t="s">
        <v>1189</v>
      </c>
      <c r="H108" s="86" t="s">
        <v>1190</v>
      </c>
      <c r="I108" s="86"/>
      <c r="J108" s="86"/>
      <c r="K108" s="86"/>
      <c r="L108" s="86"/>
      <c r="M108" s="86"/>
      <c r="N108" s="86"/>
    </row>
    <row r="109" spans="1:14" ht="28" x14ac:dyDescent="0.15">
      <c r="A109" s="86" t="str">
        <f>IF($C109="","",INDEX(Summary_FR!$A$3:$R$557,MATCH($C109,Summary_FR!$E$3:$E$557,0),MATCH(A$3,Summary_FR!$A$3:$R$3,0)))</f>
        <v>CFM</v>
      </c>
      <c r="B109" s="86" t="str">
        <f>IF($C109="","",INDEX(Summary_FR!$A$3:$R$557,MATCH($C109,Summary_FR!$E$3:$E$557,0),MATCH(B$3,Summary_FR!$A$3:$R$3,0)))</f>
        <v>Private Sector / Foreign  Banks in India / NBFCs</v>
      </c>
      <c r="C109" s="86" t="s">
        <v>135</v>
      </c>
      <c r="D109" s="86" t="s">
        <v>1191</v>
      </c>
      <c r="E109" s="86" t="s">
        <v>923</v>
      </c>
      <c r="F109" s="86"/>
      <c r="G109" s="89" t="s">
        <v>1189</v>
      </c>
      <c r="H109" s="86" t="s">
        <v>1192</v>
      </c>
      <c r="I109" s="86"/>
      <c r="J109" s="86"/>
      <c r="K109" s="86"/>
      <c r="L109" s="86"/>
      <c r="M109" s="86"/>
      <c r="N109" s="86"/>
    </row>
    <row r="110" spans="1:14" ht="28" x14ac:dyDescent="0.15">
      <c r="A110" s="86" t="str">
        <f>IF($C110="","",INDEX(Summary_FR!$A$3:$R$557,MATCH($C110,Summary_FR!$E$3:$E$557,0),MATCH(A$3,Summary_FR!$A$3:$R$3,0)))</f>
        <v>Propreitory</v>
      </c>
      <c r="B110" s="86" t="str">
        <f>IF($C110="","",INDEX(Summary_FR!$A$3:$R$557,MATCH($C110,Summary_FR!$E$3:$E$557,0),MATCH(B$3,Summary_FR!$A$3:$R$3,0)))</f>
        <v>SWFs / MFIs / Pension Funds / FoFs</v>
      </c>
      <c r="C110" s="86" t="s">
        <v>136</v>
      </c>
      <c r="D110" s="86" t="s">
        <v>1193</v>
      </c>
      <c r="E110" s="86" t="s">
        <v>1194</v>
      </c>
      <c r="F110" s="86"/>
      <c r="G110" s="86" t="s">
        <v>1195</v>
      </c>
      <c r="H110" s="86"/>
      <c r="I110" s="86" t="s">
        <v>1196</v>
      </c>
      <c r="J110" s="86"/>
      <c r="K110" s="86"/>
      <c r="L110" s="86"/>
      <c r="M110" s="86"/>
      <c r="N110" s="86"/>
    </row>
    <row r="111" spans="1:14" ht="14" x14ac:dyDescent="0.15">
      <c r="A111" s="86" t="str">
        <f>IF($C111="","",INDEX(Summary_FR!$A$3:$R$557,MATCH($C111,Summary_FR!$E$3:$E$557,0),MATCH(A$3,Summary_FR!$A$3:$R$3,0)))</f>
        <v>Government</v>
      </c>
      <c r="B111" s="86" t="str">
        <f>IF($C111="","",INDEX(Summary_FR!$A$3:$R$557,MATCH($C111,Summary_FR!$E$3:$E$557,0),MATCH(B$3,Summary_FR!$A$3:$R$3,0)))</f>
        <v>Others</v>
      </c>
      <c r="C111" s="86" t="s">
        <v>30</v>
      </c>
      <c r="D111" s="86"/>
      <c r="E111" s="86"/>
      <c r="F111" s="86"/>
      <c r="G111" s="86"/>
      <c r="H111" s="86"/>
      <c r="I111" s="86"/>
      <c r="J111" s="86"/>
      <c r="K111" s="86"/>
      <c r="L111" s="86"/>
      <c r="M111" s="86"/>
      <c r="N111" s="86"/>
    </row>
    <row r="112" spans="1:14" ht="14" x14ac:dyDescent="0.15">
      <c r="A112" s="86" t="str">
        <f>IF($C112="","",INDEX(Summary_FR!$A$3:$R$557,MATCH($C112,Summary_FR!$E$3:$E$557,0),MATCH(A$3,Summary_FR!$A$3:$R$3,0)))</f>
        <v>CFM</v>
      </c>
      <c r="B112" s="86" t="str">
        <f>IF($C112="","",INDEX(Summary_FR!$A$3:$R$557,MATCH($C112,Summary_FR!$E$3:$E$557,0),MATCH(B$3,Summary_FR!$A$3:$R$3,0)))</f>
        <v>PSU Banks / PFIs</v>
      </c>
      <c r="C112" s="86" t="s">
        <v>56</v>
      </c>
      <c r="D112" s="90"/>
      <c r="E112" s="90"/>
      <c r="F112" s="90"/>
      <c r="G112" s="90"/>
      <c r="H112" s="90"/>
      <c r="I112" s="90"/>
      <c r="J112" s="90"/>
      <c r="K112" s="90"/>
      <c r="L112" s="90"/>
      <c r="M112" s="90"/>
      <c r="N112" s="90"/>
    </row>
    <row r="113" spans="1:14" ht="14" x14ac:dyDescent="0.15">
      <c r="A113" s="86" t="str">
        <f>IF($C113="","",INDEX(Summary_FR!$A$3:$R$557,MATCH($C113,Summary_FR!$E$3:$E$557,0),MATCH(A$3,Summary_FR!$A$3:$R$3,0)))</f>
        <v>CFM</v>
      </c>
      <c r="B113" s="86" t="str">
        <f>IF($C113="","",INDEX(Summary_FR!$A$3:$R$557,MATCH($C113,Summary_FR!$E$3:$E$557,0),MATCH(B$3,Summary_FR!$A$3:$R$3,0)))</f>
        <v>PSU Banks / PFIs</v>
      </c>
      <c r="C113" s="86" t="s">
        <v>137</v>
      </c>
      <c r="D113" s="90"/>
      <c r="E113" s="90"/>
      <c r="F113" s="90"/>
      <c r="G113" s="86"/>
      <c r="H113" s="90"/>
      <c r="I113" s="86"/>
      <c r="J113" s="86"/>
      <c r="K113" s="86"/>
      <c r="L113" s="86"/>
      <c r="M113" s="86"/>
      <c r="N113" s="90"/>
    </row>
    <row r="114" spans="1:14" ht="28" x14ac:dyDescent="0.15">
      <c r="A114" s="86" t="str">
        <f>IF($C114="","",INDEX(Summary_FR!$A$3:$R$557,MATCH($C114,Summary_FR!$E$3:$E$557,0),MATCH(A$3,Summary_FR!$A$3:$R$3,0)))</f>
        <v>SKC</v>
      </c>
      <c r="B114" s="86" t="str">
        <f>IF($C114="","",INDEX(Summary_FR!$A$3:$R$557,MATCH($C114,Summary_FR!$E$3:$E$557,0),MATCH(B$3,Summary_FR!$A$3:$R$3,0)))</f>
        <v>Domestic Pension Funds / Insurance Companies/MFs</v>
      </c>
      <c r="C114" s="86" t="s">
        <v>83</v>
      </c>
      <c r="D114" s="86" t="s">
        <v>1197</v>
      </c>
      <c r="E114" s="86" t="s">
        <v>1198</v>
      </c>
      <c r="F114" s="86" t="s">
        <v>1199</v>
      </c>
      <c r="G114" s="89"/>
      <c r="H114" s="86"/>
      <c r="I114" s="88" t="s">
        <v>1200</v>
      </c>
      <c r="J114" s="88"/>
      <c r="K114" s="86" t="s">
        <v>1063</v>
      </c>
      <c r="L114" s="86" t="s">
        <v>1064</v>
      </c>
      <c r="M114" s="86"/>
      <c r="N114" s="86" t="s">
        <v>1201</v>
      </c>
    </row>
    <row r="115" spans="1:14" ht="14" x14ac:dyDescent="0.15">
      <c r="A115" s="86" t="str">
        <f>IF($C115="","",INDEX(Summary_FR!$A$3:$R$557,MATCH($C115,Summary_FR!$E$3:$E$557,0),MATCH(A$3,Summary_FR!$A$3:$R$3,0)))</f>
        <v>SKC</v>
      </c>
      <c r="B115" s="86" t="str">
        <f>IF($C115="","",INDEX(Summary_FR!$A$3:$R$557,MATCH($C115,Summary_FR!$E$3:$E$557,0),MATCH(B$3,Summary_FR!$A$3:$R$3,0)))</f>
        <v>Others</v>
      </c>
      <c r="C115" s="86" t="s">
        <v>67</v>
      </c>
      <c r="D115" s="90"/>
      <c r="E115" s="90"/>
      <c r="F115" s="90"/>
      <c r="G115" s="90"/>
      <c r="H115" s="90"/>
      <c r="I115" s="90"/>
      <c r="J115" s="90"/>
      <c r="K115" s="90"/>
      <c r="L115" s="90"/>
      <c r="M115" s="90"/>
      <c r="N115" s="90"/>
    </row>
    <row r="116" spans="1:14" ht="42" x14ac:dyDescent="0.15">
      <c r="A116" s="86" t="str">
        <f>IF($C116="","",INDEX(Summary_FR!$A$3:$R$557,MATCH($C116,Summary_FR!$E$3:$E$557,0),MATCH(A$3,Summary_FR!$A$3:$R$3,0)))</f>
        <v>Propreitory</v>
      </c>
      <c r="B116" s="86" t="str">
        <f>IF($C116="","",INDEX(Summary_FR!$A$3:$R$557,MATCH($C116,Summary_FR!$E$3:$E$557,0),MATCH(B$3,Summary_FR!$A$3:$R$3,0)))</f>
        <v>HNIs / Family Offices</v>
      </c>
      <c r="C116" s="86" t="s">
        <v>138</v>
      </c>
      <c r="D116" s="86" t="s">
        <v>1202</v>
      </c>
      <c r="E116" s="86" t="s">
        <v>1203</v>
      </c>
      <c r="F116" s="86"/>
      <c r="G116" s="86"/>
      <c r="H116" s="86" t="s">
        <v>1204</v>
      </c>
      <c r="I116" s="88" t="s">
        <v>1205</v>
      </c>
      <c r="J116" s="88"/>
      <c r="K116" s="86"/>
      <c r="L116" s="86"/>
      <c r="M116" s="86"/>
      <c r="N116" s="86"/>
    </row>
    <row r="117" spans="1:14" ht="14" x14ac:dyDescent="0.15">
      <c r="A117" s="86" t="str">
        <f>IF($C117="","",INDEX(Summary_FR!$A$3:$R$557,MATCH($C117,Summary_FR!$E$3:$E$557,0),MATCH(A$3,Summary_FR!$A$3:$R$3,0)))</f>
        <v>Propreitory</v>
      </c>
      <c r="B117" s="86" t="str">
        <f>IF($C117="","",INDEX(Summary_FR!$A$3:$R$557,MATCH($C117,Summary_FR!$E$3:$E$557,0),MATCH(B$3,Summary_FR!$A$3:$R$3,0)))</f>
        <v>HNIs / Family Offices</v>
      </c>
      <c r="C117" s="86" t="s">
        <v>138</v>
      </c>
      <c r="D117" s="86" t="s">
        <v>1206</v>
      </c>
      <c r="E117" s="86" t="s">
        <v>928</v>
      </c>
      <c r="F117" s="86"/>
      <c r="G117" s="86" t="s">
        <v>1207</v>
      </c>
      <c r="H117" s="86"/>
      <c r="I117" s="86"/>
      <c r="J117" s="86"/>
      <c r="K117" s="86"/>
      <c r="L117" s="86"/>
      <c r="M117" s="86"/>
      <c r="N117" s="86"/>
    </row>
    <row r="118" spans="1:14" ht="28" x14ac:dyDescent="0.15">
      <c r="A118" s="86" t="str">
        <f>IF($C118="","",INDEX(Summary_FR!$A$3:$R$557,MATCH($C118,Summary_FR!$E$3:$E$557,0),MATCH(A$3,Summary_FR!$A$3:$R$3,0)))</f>
        <v>Propreitory</v>
      </c>
      <c r="B118" s="86" t="str">
        <f>IF($C118="","",INDEX(Summary_FR!$A$3:$R$557,MATCH($C118,Summary_FR!$E$3:$E$557,0),MATCH(B$3,Summary_FR!$A$3:$R$3,0)))</f>
        <v>Foreign Banks / Insurance Companies</v>
      </c>
      <c r="C118" s="92" t="s">
        <v>224</v>
      </c>
      <c r="D118" s="93" t="s">
        <v>1208</v>
      </c>
      <c r="E118" s="94" t="s">
        <v>1209</v>
      </c>
      <c r="F118" s="81"/>
      <c r="G118" s="93" t="s">
        <v>1210</v>
      </c>
      <c r="H118" s="94" t="s">
        <v>1211</v>
      </c>
      <c r="I118" s="81" t="s">
        <v>1212</v>
      </c>
      <c r="J118" s="81"/>
      <c r="K118" s="81" t="s">
        <v>1213</v>
      </c>
      <c r="L118" s="81" t="s">
        <v>1214</v>
      </c>
      <c r="M118" s="81"/>
      <c r="N118" s="93" t="s">
        <v>1215</v>
      </c>
    </row>
    <row r="119" spans="1:14" ht="28" x14ac:dyDescent="0.15">
      <c r="A119" s="86" t="str">
        <f>IF($C119="","",INDEX(Summary_FR!$A$3:$R$557,MATCH($C119,Summary_FR!$E$3:$E$557,0),MATCH(A$3,Summary_FR!$A$3:$R$3,0)))</f>
        <v>Propreitory</v>
      </c>
      <c r="B119" s="86" t="str">
        <f>IF($C119="","",INDEX(Summary_FR!$A$3:$R$557,MATCH($C119,Summary_FR!$E$3:$E$557,0),MATCH(B$3,Summary_FR!$A$3:$R$3,0)))</f>
        <v>Foreign Banks / Insurance Companies</v>
      </c>
      <c r="C119" s="92" t="s">
        <v>224</v>
      </c>
      <c r="D119" s="95" t="s">
        <v>1216</v>
      </c>
      <c r="E119" s="95" t="s">
        <v>1217</v>
      </c>
      <c r="F119" s="95"/>
      <c r="G119" s="95" t="s">
        <v>1218</v>
      </c>
      <c r="H119" s="95" t="s">
        <v>1211</v>
      </c>
      <c r="I119" s="95" t="s">
        <v>1219</v>
      </c>
      <c r="J119" s="95"/>
      <c r="K119" s="95" t="s">
        <v>1213</v>
      </c>
      <c r="L119" s="95" t="s">
        <v>1214</v>
      </c>
      <c r="M119" s="95"/>
      <c r="N119" s="95" t="s">
        <v>1215</v>
      </c>
    </row>
    <row r="120" spans="1:14" ht="42" x14ac:dyDescent="0.15">
      <c r="A120" s="86" t="str">
        <f>IF($C120="","",INDEX(Summary_FR!$A$3:$R$557,MATCH($C120,Summary_FR!$E$3:$E$557,0),MATCH(A$3,Summary_FR!$A$3:$R$3,0)))</f>
        <v>Propreitory</v>
      </c>
      <c r="B120" s="86" t="str">
        <f>IF($C120="","",INDEX(Summary_FR!$A$3:$R$557,MATCH($C120,Summary_FR!$E$3:$E$557,0),MATCH(B$3,Summary_FR!$A$3:$R$3,0)))</f>
        <v>SWFs / MFIs / Pension Funds / FoFs</v>
      </c>
      <c r="C120" s="95" t="s">
        <v>369</v>
      </c>
      <c r="D120" s="95" t="s">
        <v>1220</v>
      </c>
      <c r="E120" s="95" t="s">
        <v>1221</v>
      </c>
      <c r="F120" s="95"/>
      <c r="G120" s="95" t="s">
        <v>1222</v>
      </c>
      <c r="H120" s="95" t="s">
        <v>1223</v>
      </c>
      <c r="I120" s="95"/>
      <c r="J120" s="95" t="s">
        <v>1224</v>
      </c>
      <c r="K120" s="95" t="s">
        <v>1225</v>
      </c>
      <c r="L120" s="95" t="s">
        <v>1226</v>
      </c>
      <c r="M120" s="95" t="s">
        <v>1227</v>
      </c>
      <c r="N120" s="95" t="s">
        <v>1228</v>
      </c>
    </row>
    <row r="121" spans="1:14" ht="28" x14ac:dyDescent="0.15">
      <c r="A121" s="86" t="str">
        <f>IF($C121="","",INDEX(Summary_FR!$A$3:$R$557,MATCH($C121,Summary_FR!$E$3:$E$557,0),MATCH(A$3,Summary_FR!$A$3:$R$3,0)))</f>
        <v>Propreitory</v>
      </c>
      <c r="B121" s="86" t="str">
        <f>IF($C121="","",INDEX(Summary_FR!$A$3:$R$557,MATCH($C121,Summary_FR!$E$3:$E$557,0),MATCH(B$3,Summary_FR!$A$3:$R$3,0)))</f>
        <v>SWFs / MFIs / Pension Funds / FoFs</v>
      </c>
      <c r="C121" s="95" t="s">
        <v>276</v>
      </c>
      <c r="D121" s="95" t="s">
        <v>1229</v>
      </c>
      <c r="E121" s="95" t="s">
        <v>1230</v>
      </c>
      <c r="F121" s="95" t="s">
        <v>1231</v>
      </c>
      <c r="G121" s="95" t="s">
        <v>1232</v>
      </c>
      <c r="H121" s="95" t="s">
        <v>1233</v>
      </c>
      <c r="I121" s="95" t="s">
        <v>1234</v>
      </c>
      <c r="J121" s="95"/>
      <c r="K121" s="95" t="s">
        <v>1213</v>
      </c>
      <c r="L121" s="95" t="s">
        <v>1235</v>
      </c>
      <c r="M121" s="95" t="s">
        <v>1236</v>
      </c>
      <c r="N121" s="95" t="s">
        <v>1228</v>
      </c>
    </row>
    <row r="122" spans="1:14" ht="28" x14ac:dyDescent="0.15">
      <c r="A122" s="86" t="str">
        <f>IF($C122="","",INDEX(Summary_FR!$A$3:$R$557,MATCH($C122,Summary_FR!$E$3:$E$557,0),MATCH(A$3,Summary_FR!$A$3:$R$3,0)))</f>
        <v>Propreitory</v>
      </c>
      <c r="B122" s="86" t="str">
        <f>IF($C122="","",INDEX(Summary_FR!$A$3:$R$557,MATCH($C122,Summary_FR!$E$3:$E$557,0),MATCH(B$3,Summary_FR!$A$3:$R$3,0)))</f>
        <v>SWFs / MFIs / Pension Funds / FoFs</v>
      </c>
      <c r="C122" s="92" t="s">
        <v>328</v>
      </c>
      <c r="D122" s="93" t="s">
        <v>1237</v>
      </c>
      <c r="E122" s="94" t="s">
        <v>1238</v>
      </c>
      <c r="F122" s="81"/>
      <c r="G122" s="93" t="s">
        <v>1239</v>
      </c>
      <c r="H122" s="94" t="s">
        <v>1240</v>
      </c>
      <c r="I122" s="81" t="s">
        <v>1241</v>
      </c>
      <c r="J122" s="81" t="s">
        <v>1242</v>
      </c>
      <c r="K122" s="81" t="s">
        <v>1213</v>
      </c>
      <c r="L122" s="81" t="s">
        <v>1243</v>
      </c>
      <c r="M122" s="81" t="s">
        <v>1244</v>
      </c>
      <c r="N122" s="93" t="s">
        <v>1245</v>
      </c>
    </row>
    <row r="123" spans="1:14" ht="28" x14ac:dyDescent="0.15">
      <c r="A123" s="86" t="str">
        <f>IF($C123="","",INDEX(Summary_FR!$A$3:$R$557,MATCH($C123,Summary_FR!$E$3:$E$557,0),MATCH(A$3,Summary_FR!$A$3:$R$3,0)))</f>
        <v>Propreitory</v>
      </c>
      <c r="B123" s="86" t="str">
        <f>IF($C123="","",INDEX(Summary_FR!$A$3:$R$557,MATCH($C123,Summary_FR!$E$3:$E$557,0),MATCH(B$3,Summary_FR!$A$3:$R$3,0)))</f>
        <v>SWFs / MFIs / Pension Funds / FoFs</v>
      </c>
      <c r="C123" s="92" t="s">
        <v>328</v>
      </c>
      <c r="D123" s="93" t="s">
        <v>1246</v>
      </c>
      <c r="E123" s="94" t="s">
        <v>1247</v>
      </c>
      <c r="F123" s="81"/>
      <c r="G123" s="93" t="s">
        <v>1248</v>
      </c>
      <c r="H123" s="94" t="s">
        <v>1240</v>
      </c>
      <c r="I123" s="81" t="s">
        <v>1241</v>
      </c>
      <c r="J123" s="81" t="s">
        <v>1249</v>
      </c>
      <c r="K123" s="81" t="s">
        <v>1213</v>
      </c>
      <c r="L123" s="81" t="s">
        <v>1243</v>
      </c>
      <c r="M123" s="81" t="s">
        <v>1244</v>
      </c>
      <c r="N123" s="93" t="s">
        <v>1245</v>
      </c>
    </row>
    <row r="124" spans="1:14" ht="140" x14ac:dyDescent="0.2">
      <c r="A124" s="86" t="str">
        <f>IF($C124="","",INDEX(Summary_FR!$A$3:$R$557,MATCH($C124,Summary_FR!$E$3:$E$557,0),MATCH(A$3,Summary_FR!$A$3:$R$3,0)))</f>
        <v>Propreitory</v>
      </c>
      <c r="B124" s="86" t="str">
        <f>IF($C124="","",INDEX(Summary_FR!$A$3:$R$557,MATCH($C124,Summary_FR!$E$3:$E$557,0),MATCH(B$3,Summary_FR!$A$3:$R$3,0)))</f>
        <v>HNIs / Family Offices</v>
      </c>
      <c r="C124" s="86" t="s">
        <v>283</v>
      </c>
      <c r="D124" s="86" t="s">
        <v>1250</v>
      </c>
      <c r="E124" s="86" t="s">
        <v>1251</v>
      </c>
      <c r="F124" s="86" t="s">
        <v>1252</v>
      </c>
      <c r="G124" s="98" t="s">
        <v>1253</v>
      </c>
      <c r="H124" s="86" t="s">
        <v>1254</v>
      </c>
      <c r="I124" s="88" t="s">
        <v>1255</v>
      </c>
      <c r="J124" s="86"/>
      <c r="K124" s="86" t="s">
        <v>1225</v>
      </c>
      <c r="L124" s="86" t="s">
        <v>1256</v>
      </c>
      <c r="M124" s="86" t="s">
        <v>1065</v>
      </c>
      <c r="N124" s="80" t="s">
        <v>1257</v>
      </c>
    </row>
    <row r="125" spans="1:14" ht="28" x14ac:dyDescent="0.15">
      <c r="A125" s="86" t="str">
        <f>IF($C125="","",INDEX(Summary_FR!$A$3:$R$557,MATCH($C125,Summary_FR!$E$3:$E$557,0),MATCH(A$3,Summary_FR!$A$3:$R$3,0)))</f>
        <v>Propreitory</v>
      </c>
      <c r="B125" s="86" t="str">
        <f>IF($C125="","",INDEX(Summary_FR!$A$3:$R$557,MATCH($C125,Summary_FR!$E$3:$E$557,0),MATCH(B$3,Summary_FR!$A$3:$R$3,0)))</f>
        <v>SWFs / MFIs / Pension Funds / FoFs</v>
      </c>
      <c r="C125" s="86" t="s">
        <v>97</v>
      </c>
      <c r="D125" s="86" t="s">
        <v>1258</v>
      </c>
      <c r="E125" s="86" t="s">
        <v>1134</v>
      </c>
      <c r="F125" s="86"/>
      <c r="G125" s="86" t="s">
        <v>1259</v>
      </c>
      <c r="H125" s="86" t="s">
        <v>1260</v>
      </c>
      <c r="I125" s="86" t="s">
        <v>1261</v>
      </c>
      <c r="J125" s="86"/>
      <c r="K125" s="86"/>
      <c r="L125" s="86"/>
      <c r="M125" s="86"/>
      <c r="N125" s="86"/>
    </row>
    <row r="126" spans="1:14" ht="224" x14ac:dyDescent="0.15">
      <c r="A126" s="86" t="str">
        <f>IF($C126="","",INDEX(Summary_FR!$A$3:$R$557,MATCH($C126,Summary_FR!$E$3:$E$557,0),MATCH(A$3,Summary_FR!$A$3:$R$3,0)))</f>
        <v>Propreitory</v>
      </c>
      <c r="B126" s="86" t="str">
        <f>IF($C126="","",INDEX(Summary_FR!$A$3:$R$557,MATCH($C126,Summary_FR!$E$3:$E$557,0),MATCH(B$3,Summary_FR!$A$3:$R$3,0)))</f>
        <v>SWFs / MFIs / Pension Funds / FoFs</v>
      </c>
      <c r="C126" s="78" t="s">
        <v>346</v>
      </c>
      <c r="D126" s="86" t="s">
        <v>1262</v>
      </c>
      <c r="E126" s="86" t="s">
        <v>914</v>
      </c>
      <c r="F126" s="86"/>
      <c r="G126" s="86"/>
      <c r="H126" s="86" t="s">
        <v>1263</v>
      </c>
      <c r="J126" s="88" t="s">
        <v>1264</v>
      </c>
      <c r="K126" s="86" t="s">
        <v>1225</v>
      </c>
      <c r="L126" s="86" t="s">
        <v>934</v>
      </c>
      <c r="M126" s="86" t="s">
        <v>1065</v>
      </c>
      <c r="N126" s="86" t="s">
        <v>1265</v>
      </c>
    </row>
    <row r="127" spans="1:14" ht="14" x14ac:dyDescent="0.15">
      <c r="A127" s="86" t="str">
        <f>IF($C127="","",INDEX(Summary_FR!$A$3:$R$157,MATCH($C127,Summary_FR!$E$3:$E$157,0),MATCH(A$3,Summary_FR!$A$3:$R$3,0)))</f>
        <v>Government</v>
      </c>
      <c r="B127" s="86" t="str">
        <f>IF($C127="","",INDEX(Summary_FR!$A$3:$R$157,MATCH($C127,Summary_FR!$E$3:$E$157,0),MATCH(B$3,Summary_FR!$A$3:$R$3,0)))</f>
        <v>Others</v>
      </c>
      <c r="C127" s="86" t="s">
        <v>30</v>
      </c>
      <c r="D127" s="86" t="s">
        <v>1266</v>
      </c>
      <c r="E127" s="100" t="s">
        <v>1067</v>
      </c>
      <c r="F127" s="86"/>
      <c r="G127" s="98" t="s">
        <v>1267</v>
      </c>
      <c r="H127" s="86"/>
      <c r="I127" s="86"/>
      <c r="J127" s="86"/>
      <c r="K127" s="86" t="s">
        <v>1063</v>
      </c>
      <c r="L127" s="86" t="s">
        <v>1214</v>
      </c>
      <c r="M127" s="86" t="s">
        <v>1407</v>
      </c>
      <c r="N127" s="86"/>
    </row>
    <row r="128" spans="1:14" ht="28" x14ac:dyDescent="0.15">
      <c r="A128" s="86" t="str">
        <f>IF($C128="","",INDEX(Summary_FR!$A$3:$R$157,MATCH($C128,Summary_FR!$E$3:$E$157,0),MATCH(A$3,Summary_FR!$A$3:$R$3,0)))</f>
        <v>Propreitory</v>
      </c>
      <c r="B128" s="86" t="str">
        <f>IF($C128="","",INDEX(Summary_FR!$A$3:$R$157,MATCH($C128,Summary_FR!$E$3:$E$157,0),MATCH(B$3,Summary_FR!$A$3:$R$3,0)))</f>
        <v>SWFs / MFIs / Pension Funds / FoFs</v>
      </c>
      <c r="C128" s="86" t="s">
        <v>199</v>
      </c>
      <c r="D128" s="86"/>
      <c r="E128" s="86"/>
      <c r="F128" s="86"/>
      <c r="G128" s="86"/>
      <c r="H128" s="86"/>
      <c r="I128" s="86"/>
      <c r="J128" s="86"/>
      <c r="K128" s="86"/>
      <c r="L128" s="86"/>
      <c r="M128" s="86"/>
      <c r="N128" s="86"/>
    </row>
    <row r="129" spans="1:14" ht="14" x14ac:dyDescent="0.15">
      <c r="A129" s="86" t="str">
        <f>IF($C129="","",INDEX(Summary_FR!$A$3:$R$157,MATCH($C129,Summary_FR!$E$3:$E$157,0),MATCH(A$3,Summary_FR!$A$3:$R$3,0)))</f>
        <v>Propreitory</v>
      </c>
      <c r="B129" s="86" t="str">
        <f>IF($C129="","",INDEX(Summary_FR!$A$3:$R$157,MATCH($C129,Summary_FR!$E$3:$E$157,0),MATCH(B$3,Summary_FR!$A$3:$R$3,0)))</f>
        <v>Corporates</v>
      </c>
      <c r="C129" s="86" t="s">
        <v>293</v>
      </c>
      <c r="D129" s="86" t="s">
        <v>3554</v>
      </c>
      <c r="E129" s="86" t="s">
        <v>3555</v>
      </c>
      <c r="F129" s="86"/>
      <c r="G129" s="98" t="s">
        <v>3556</v>
      </c>
      <c r="H129" s="86"/>
      <c r="I129" s="86"/>
      <c r="J129" s="86"/>
      <c r="K129" s="86"/>
      <c r="L129" s="86"/>
      <c r="M129" s="86"/>
      <c r="N129" s="86"/>
    </row>
    <row r="130" spans="1:14" ht="14" x14ac:dyDescent="0.15">
      <c r="A130" s="86" t="str">
        <f>IF($C130="","",INDEX(Summary_FR!$A$3:$R$157,MATCH($C130,Summary_FR!$E$3:$E$157,0),MATCH(A$3,Summary_FR!$A$3:$R$3,0)))</f>
        <v/>
      </c>
      <c r="B130" s="86" t="str">
        <f>IF($C130="","",INDEX(Summary_FR!$A$3:$R$157,MATCH($C130,Summary_FR!$E$3:$E$157,0),MATCH(B$3,Summary_FR!$A$3:$R$3,0)))</f>
        <v/>
      </c>
      <c r="C130" s="86"/>
      <c r="D130" s="86"/>
      <c r="E130" s="86"/>
      <c r="F130" s="86"/>
      <c r="G130" s="86"/>
      <c r="H130" s="86"/>
      <c r="I130" s="86"/>
      <c r="J130" s="86"/>
      <c r="K130" s="86"/>
      <c r="L130" s="86"/>
      <c r="M130" s="86"/>
      <c r="N130" s="86"/>
    </row>
    <row r="131" spans="1:14" ht="14" x14ac:dyDescent="0.15">
      <c r="A131" s="86" t="str">
        <f>IF($C131="","",INDEX(Summary_FR!$A$3:$R$157,MATCH($C131,Summary_FR!$E$3:$E$157,0),MATCH(A$3,Summary_FR!$A$3:$R$3,0)))</f>
        <v/>
      </c>
      <c r="B131" s="86" t="str">
        <f>IF($C131="","",INDEX(Summary_FR!$A$3:$R$157,MATCH($C131,Summary_FR!$E$3:$E$157,0),MATCH(B$3,Summary_FR!$A$3:$R$3,0)))</f>
        <v/>
      </c>
      <c r="C131" s="86"/>
      <c r="D131" s="86"/>
      <c r="E131" s="86"/>
      <c r="F131" s="86"/>
      <c r="G131" s="86"/>
      <c r="H131" s="86"/>
      <c r="I131" s="86"/>
      <c r="J131" s="86"/>
      <c r="K131" s="86"/>
      <c r="L131" s="86"/>
      <c r="M131" s="86"/>
      <c r="N131" s="86"/>
    </row>
    <row r="132" spans="1:14" ht="14" x14ac:dyDescent="0.15">
      <c r="A132" s="86" t="str">
        <f>IF($C132="","",INDEX(Summary_FR!$A$3:$R$157,MATCH($C132,Summary_FR!$E$3:$E$157,0),MATCH(A$3,Summary_FR!$A$3:$R$3,0)))</f>
        <v/>
      </c>
      <c r="B132" s="86" t="str">
        <f>IF($C132="","",INDEX(Summary_FR!$A$3:$R$157,MATCH($C132,Summary_FR!$E$3:$E$157,0),MATCH(B$3,Summary_FR!$A$3:$R$3,0)))</f>
        <v/>
      </c>
      <c r="C132" s="86"/>
      <c r="D132" s="86"/>
      <c r="E132" s="86"/>
      <c r="F132" s="86"/>
      <c r="G132" s="86"/>
      <c r="H132" s="86"/>
      <c r="I132" s="86"/>
      <c r="J132" s="86"/>
      <c r="K132" s="86"/>
      <c r="L132" s="86"/>
      <c r="M132" s="86"/>
      <c r="N132" s="86"/>
    </row>
    <row r="133" spans="1:14" ht="14" x14ac:dyDescent="0.15">
      <c r="A133" s="86" t="str">
        <f>IF($C133="","",INDEX(Summary_FR!$A$3:$R$157,MATCH($C133,Summary_FR!$E$3:$E$157,0),MATCH(A$3,Summary_FR!$A$3:$R$3,0)))</f>
        <v/>
      </c>
      <c r="B133" s="86" t="str">
        <f>IF($C133="","",INDEX(Summary_FR!$A$3:$R$157,MATCH($C133,Summary_FR!$E$3:$E$157,0),MATCH(B$3,Summary_FR!$A$3:$R$3,0)))</f>
        <v/>
      </c>
      <c r="C133" s="86"/>
      <c r="D133" s="86"/>
      <c r="E133" s="86"/>
      <c r="F133" s="86"/>
      <c r="G133" s="86"/>
      <c r="H133" s="86"/>
      <c r="I133" s="86"/>
      <c r="J133" s="86"/>
      <c r="K133" s="86"/>
      <c r="L133" s="86"/>
      <c r="M133" s="86"/>
      <c r="N133" s="86"/>
    </row>
    <row r="134" spans="1:14" ht="14" x14ac:dyDescent="0.15">
      <c r="A134" s="86" t="str">
        <f>IF($C134="","",INDEX(Summary_FR!$A$3:$R$157,MATCH($C134,Summary_FR!$E$3:$E$157,0),MATCH(A$3,Summary_FR!$A$3:$R$3,0)))</f>
        <v/>
      </c>
      <c r="B134" s="86" t="str">
        <f>IF($C134="","",INDEX(Summary_FR!$A$3:$R$157,MATCH($C134,Summary_FR!$E$3:$E$157,0),MATCH(B$3,Summary_FR!$A$3:$R$3,0)))</f>
        <v/>
      </c>
      <c r="C134" s="86"/>
      <c r="D134" s="86"/>
      <c r="E134" s="86"/>
      <c r="F134" s="86"/>
      <c r="G134" s="86"/>
      <c r="H134" s="86"/>
      <c r="I134" s="86"/>
      <c r="J134" s="86"/>
      <c r="K134" s="86"/>
      <c r="L134" s="86"/>
      <c r="M134" s="86"/>
      <c r="N134" s="86"/>
    </row>
    <row r="135" spans="1:14" ht="14" x14ac:dyDescent="0.15">
      <c r="A135" s="86" t="str">
        <f>IF($C135="","",INDEX(Summary_FR!$A$3:$R$157,MATCH($C135,Summary_FR!$E$3:$E$157,0),MATCH(A$3,Summary_FR!$A$3:$R$3,0)))</f>
        <v/>
      </c>
      <c r="B135" s="86" t="str">
        <f>IF($C135="","",INDEX(Summary_FR!$A$3:$R$157,MATCH($C135,Summary_FR!$E$3:$E$157,0),MATCH(B$3,Summary_FR!$A$3:$R$3,0)))</f>
        <v/>
      </c>
      <c r="C135" s="86"/>
      <c r="D135" s="86"/>
      <c r="E135" s="86"/>
      <c r="F135" s="86"/>
      <c r="G135" s="86"/>
      <c r="H135" s="86"/>
      <c r="I135" s="86"/>
      <c r="J135" s="86"/>
      <c r="K135" s="86"/>
      <c r="L135" s="86"/>
      <c r="M135" s="86"/>
      <c r="N135" s="86"/>
    </row>
    <row r="136" spans="1:14" ht="14" x14ac:dyDescent="0.15">
      <c r="A136" s="86" t="str">
        <f>IF($C136="","",INDEX(Summary_FR!$A$3:$R$157,MATCH($C136,Summary_FR!$E$3:$E$157,0),MATCH(A$3,Summary_FR!$A$3:$R$3,0)))</f>
        <v/>
      </c>
      <c r="B136" s="86" t="str">
        <f>IF($C136="","",INDEX(Summary_FR!$A$3:$R$157,MATCH($C136,Summary_FR!$E$3:$E$157,0),MATCH(B$3,Summary_FR!$A$3:$R$3,0)))</f>
        <v/>
      </c>
      <c r="C136" s="86"/>
      <c r="D136" s="86"/>
      <c r="E136" s="86"/>
      <c r="F136" s="86"/>
      <c r="G136" s="86"/>
      <c r="H136" s="86"/>
      <c r="I136" s="86"/>
      <c r="J136" s="86"/>
      <c r="K136" s="86"/>
      <c r="L136" s="86"/>
      <c r="M136" s="86"/>
      <c r="N136" s="86"/>
    </row>
    <row r="137" spans="1:14" ht="14" x14ac:dyDescent="0.15">
      <c r="A137" s="86" t="str">
        <f>IF($C137="","",INDEX(Summary_FR!$A$3:$R$157,MATCH($C137,Summary_FR!$E$3:$E$157,0),MATCH(A$3,Summary_FR!$A$3:$R$3,0)))</f>
        <v/>
      </c>
      <c r="B137" s="86" t="str">
        <f>IF($C137="","",INDEX(Summary_FR!$A$3:$R$157,MATCH($C137,Summary_FR!$E$3:$E$157,0),MATCH(B$3,Summary_FR!$A$3:$R$3,0)))</f>
        <v/>
      </c>
      <c r="C137" s="86"/>
      <c r="D137" s="86"/>
      <c r="E137" s="86"/>
      <c r="F137" s="86"/>
      <c r="G137" s="86"/>
      <c r="H137" s="86"/>
      <c r="I137" s="86"/>
      <c r="J137" s="86"/>
      <c r="K137" s="86"/>
      <c r="L137" s="86"/>
      <c r="M137" s="86"/>
      <c r="N137" s="86"/>
    </row>
    <row r="138" spans="1:14" ht="14" x14ac:dyDescent="0.15">
      <c r="A138" s="86" t="str">
        <f>IF($C138="","",INDEX(Summary_FR!$A$3:$R$157,MATCH($C138,Summary_FR!$E$3:$E$157,0),MATCH(A$3,Summary_FR!$A$3:$R$3,0)))</f>
        <v/>
      </c>
      <c r="B138" s="86" t="str">
        <f>IF($C138="","",INDEX(Summary_FR!$A$3:$R$157,MATCH($C138,Summary_FR!$E$3:$E$157,0),MATCH(B$3,Summary_FR!$A$3:$R$3,0)))</f>
        <v/>
      </c>
      <c r="C138" s="86"/>
      <c r="D138" s="86"/>
      <c r="E138" s="86"/>
      <c r="F138" s="86"/>
      <c r="G138" s="86"/>
      <c r="H138" s="86"/>
      <c r="I138" s="86"/>
      <c r="J138" s="86"/>
      <c r="K138" s="86"/>
      <c r="L138" s="86"/>
      <c r="M138" s="86"/>
      <c r="N138" s="86"/>
    </row>
    <row r="139" spans="1:14" ht="14" x14ac:dyDescent="0.15">
      <c r="A139" s="86" t="str">
        <f>IF($C139="","",INDEX(Summary_FR!$A$3:$R$157,MATCH($C139,Summary_FR!$E$3:$E$157,0),MATCH(A$3,Summary_FR!$A$3:$R$3,0)))</f>
        <v/>
      </c>
      <c r="B139" s="86" t="str">
        <f>IF($C139="","",INDEX(Summary_FR!$A$3:$R$157,MATCH($C139,Summary_FR!$E$3:$E$157,0),MATCH(B$3,Summary_FR!$A$3:$R$3,0)))</f>
        <v/>
      </c>
      <c r="C139" s="86"/>
      <c r="D139" s="86"/>
      <c r="E139" s="86"/>
      <c r="F139" s="86"/>
      <c r="G139" s="86"/>
      <c r="H139" s="86"/>
      <c r="I139" s="86"/>
      <c r="J139" s="86"/>
      <c r="K139" s="86"/>
      <c r="L139" s="86"/>
      <c r="M139" s="86"/>
      <c r="N139" s="86"/>
    </row>
    <row r="140" spans="1:14" ht="14" x14ac:dyDescent="0.15">
      <c r="A140" s="86" t="str">
        <f>IF($C140="","",INDEX(Summary_FR!$A$3:$R$157,MATCH($C140,Summary_FR!$E$3:$E$157,0),MATCH(A$3,Summary_FR!$A$3:$R$3,0)))</f>
        <v/>
      </c>
      <c r="B140" s="86" t="str">
        <f>IF($C140="","",INDEX(Summary_FR!$A$3:$R$157,MATCH($C140,Summary_FR!$E$3:$E$157,0),MATCH(B$3,Summary_FR!$A$3:$R$3,0)))</f>
        <v/>
      </c>
      <c r="C140" s="86"/>
      <c r="D140" s="86"/>
      <c r="E140" s="86"/>
      <c r="F140" s="86"/>
      <c r="G140" s="86"/>
      <c r="H140" s="86"/>
      <c r="I140" s="86"/>
      <c r="J140" s="86"/>
      <c r="K140" s="86"/>
      <c r="L140" s="86"/>
      <c r="M140" s="86"/>
      <c r="N140" s="86"/>
    </row>
    <row r="141" spans="1:14" ht="14" x14ac:dyDescent="0.15">
      <c r="A141" s="86" t="str">
        <f>IF($C141="","",INDEX(Summary_FR!$A$3:$R$157,MATCH($C141,Summary_FR!$E$3:$E$157,0),MATCH(A$3,Summary_FR!$A$3:$R$3,0)))</f>
        <v/>
      </c>
      <c r="B141" s="86" t="str">
        <f>IF($C141="","",INDEX(Summary_FR!$A$3:$R$157,MATCH($C141,Summary_FR!$E$3:$E$157,0),MATCH(B$3,Summary_FR!$A$3:$R$3,0)))</f>
        <v/>
      </c>
      <c r="C141" s="86"/>
      <c r="D141" s="86"/>
      <c r="E141" s="86"/>
      <c r="F141" s="86"/>
      <c r="G141" s="86"/>
      <c r="H141" s="86"/>
      <c r="I141" s="86"/>
      <c r="J141" s="86"/>
      <c r="K141" s="86"/>
      <c r="L141" s="86"/>
      <c r="M141" s="86"/>
      <c r="N141" s="86"/>
    </row>
    <row r="142" spans="1:14" ht="14" x14ac:dyDescent="0.15">
      <c r="A142" s="86" t="str">
        <f>IF($C142="","",INDEX(Summary_FR!$A$3:$R$157,MATCH($C142,Summary_FR!$E$3:$E$157,0),MATCH(A$3,Summary_FR!$A$3:$R$3,0)))</f>
        <v/>
      </c>
      <c r="B142" s="86" t="str">
        <f>IF($C142="","",INDEX(Summary_FR!$A$3:$R$157,MATCH($C142,Summary_FR!$E$3:$E$157,0),MATCH(B$3,Summary_FR!$A$3:$R$3,0)))</f>
        <v/>
      </c>
      <c r="C142" s="86"/>
      <c r="D142" s="86"/>
      <c r="E142" s="86"/>
      <c r="F142" s="86"/>
      <c r="G142" s="86"/>
      <c r="H142" s="86"/>
      <c r="I142" s="86"/>
      <c r="J142" s="86"/>
      <c r="K142" s="86"/>
      <c r="L142" s="86"/>
      <c r="M142" s="86"/>
      <c r="N142" s="86"/>
    </row>
    <row r="143" spans="1:14" ht="14" x14ac:dyDescent="0.15">
      <c r="A143" s="86" t="str">
        <f>IF($C143="","",INDEX(Summary_FR!$A$3:$R$157,MATCH($C143,Summary_FR!$E$3:$E$157,0),MATCH(A$3,Summary_FR!$A$3:$R$3,0)))</f>
        <v/>
      </c>
      <c r="B143" s="86" t="str">
        <f>IF($C143="","",INDEX(Summary_FR!$A$3:$R$157,MATCH($C143,Summary_FR!$E$3:$E$157,0),MATCH(B$3,Summary_FR!$A$3:$R$3,0)))</f>
        <v/>
      </c>
      <c r="C143" s="86"/>
      <c r="D143" s="86"/>
      <c r="E143" s="86"/>
      <c r="F143" s="86"/>
      <c r="G143" s="86"/>
      <c r="H143" s="86"/>
      <c r="I143" s="86"/>
      <c r="J143" s="86"/>
      <c r="K143" s="86"/>
      <c r="L143" s="86"/>
      <c r="M143" s="86"/>
      <c r="N143" s="86"/>
    </row>
    <row r="144" spans="1:14" ht="14" x14ac:dyDescent="0.15">
      <c r="A144" s="86" t="str">
        <f>IF($C144="","",INDEX(Summary_FR!$A$3:$R$157,MATCH($C144,Summary_FR!$E$3:$E$157,0),MATCH(A$3,Summary_FR!$A$3:$R$3,0)))</f>
        <v/>
      </c>
      <c r="B144" s="86" t="str">
        <f>IF($C144="","",INDEX(Summary_FR!$A$3:$R$157,MATCH($C144,Summary_FR!$E$3:$E$157,0),MATCH(B$3,Summary_FR!$A$3:$R$3,0)))</f>
        <v/>
      </c>
      <c r="C144" s="86"/>
      <c r="D144" s="86"/>
      <c r="E144" s="86"/>
      <c r="F144" s="86"/>
      <c r="G144" s="86"/>
      <c r="H144" s="86"/>
      <c r="I144" s="86"/>
      <c r="J144" s="86"/>
      <c r="K144" s="86"/>
      <c r="L144" s="86"/>
      <c r="M144" s="86"/>
      <c r="N144" s="86"/>
    </row>
    <row r="145" spans="1:14" ht="14" x14ac:dyDescent="0.15">
      <c r="A145" s="86" t="str">
        <f>IF($C145="","",INDEX(Summary_FR!$A$3:$R$157,MATCH($C145,Summary_FR!$E$3:$E$157,0),MATCH(A$3,Summary_FR!$A$3:$R$3,0)))</f>
        <v/>
      </c>
      <c r="B145" s="86" t="str">
        <f>IF($C145="","",INDEX(Summary_FR!$A$3:$R$157,MATCH($C145,Summary_FR!$E$3:$E$157,0),MATCH(B$3,Summary_FR!$A$3:$R$3,0)))</f>
        <v/>
      </c>
      <c r="C145" s="86"/>
      <c r="D145" s="86"/>
      <c r="E145" s="86"/>
      <c r="F145" s="86"/>
      <c r="G145" s="86"/>
      <c r="H145" s="86"/>
      <c r="I145" s="86"/>
      <c r="J145" s="86"/>
      <c r="K145" s="86"/>
      <c r="L145" s="86"/>
      <c r="M145" s="86"/>
      <c r="N145" s="86"/>
    </row>
    <row r="146" spans="1:14" ht="14" x14ac:dyDescent="0.15">
      <c r="A146" s="86" t="str">
        <f>IF($C146="","",INDEX(Summary_FR!$A$3:$R$157,MATCH($C146,Summary_FR!$E$3:$E$157,0),MATCH(A$3,Summary_FR!$A$3:$R$3,0)))</f>
        <v/>
      </c>
      <c r="B146" s="86" t="str">
        <f>IF($C146="","",INDEX(Summary_FR!$A$3:$R$157,MATCH($C146,Summary_FR!$E$3:$E$157,0),MATCH(B$3,Summary_FR!$A$3:$R$3,0)))</f>
        <v/>
      </c>
      <c r="C146" s="86"/>
      <c r="D146" s="86"/>
      <c r="E146" s="86"/>
      <c r="F146" s="86"/>
      <c r="G146" s="86"/>
      <c r="H146" s="86"/>
      <c r="I146" s="86"/>
      <c r="J146" s="86"/>
      <c r="K146" s="86"/>
      <c r="L146" s="86"/>
      <c r="M146" s="86"/>
      <c r="N146" s="86"/>
    </row>
    <row r="147" spans="1:14" ht="14" x14ac:dyDescent="0.15">
      <c r="A147" s="86" t="str">
        <f>IF($C147="","",INDEX(Summary_FR!$A$3:$R$157,MATCH($C147,Summary_FR!$E$3:$E$157,0),MATCH(A$3,Summary_FR!$A$3:$R$3,0)))</f>
        <v/>
      </c>
      <c r="B147" s="86" t="str">
        <f>IF($C147="","",INDEX(Summary_FR!$A$3:$R$157,MATCH($C147,Summary_FR!$E$3:$E$157,0),MATCH(B$3,Summary_FR!$A$3:$R$3,0)))</f>
        <v/>
      </c>
      <c r="C147" s="86"/>
      <c r="D147" s="86"/>
      <c r="E147" s="86"/>
      <c r="F147" s="86"/>
      <c r="G147" s="86"/>
      <c r="H147" s="86"/>
      <c r="I147" s="86"/>
      <c r="J147" s="86"/>
      <c r="K147" s="86"/>
      <c r="L147" s="86"/>
      <c r="M147" s="86"/>
      <c r="N147" s="86"/>
    </row>
    <row r="148" spans="1:14" ht="14" x14ac:dyDescent="0.15">
      <c r="A148" s="86" t="str">
        <f>IF($C148="","",INDEX(Summary_FR!$A$3:$R$157,MATCH($C148,Summary_FR!$E$3:$E$157,0),MATCH(A$3,Summary_FR!$A$3:$R$3,0)))</f>
        <v/>
      </c>
      <c r="B148" s="86" t="str">
        <f>IF($C148="","",INDEX(Summary_FR!$A$3:$R$157,MATCH($C148,Summary_FR!$E$3:$E$157,0),MATCH(B$3,Summary_FR!$A$3:$R$3,0)))</f>
        <v/>
      </c>
      <c r="C148" s="86"/>
      <c r="D148" s="86"/>
      <c r="E148" s="86"/>
      <c r="F148" s="86"/>
      <c r="G148" s="86"/>
      <c r="H148" s="86"/>
      <c r="I148" s="86"/>
      <c r="J148" s="86"/>
      <c r="K148" s="86"/>
      <c r="L148" s="86"/>
      <c r="M148" s="86"/>
      <c r="N148" s="86"/>
    </row>
    <row r="149" spans="1:14" ht="14" x14ac:dyDescent="0.15">
      <c r="A149" s="86" t="str">
        <f>IF($C149="","",INDEX(Summary_FR!$A$3:$R$157,MATCH($C149,Summary_FR!$E$3:$E$157,0),MATCH(A$3,Summary_FR!$A$3:$R$3,0)))</f>
        <v/>
      </c>
      <c r="B149" s="86" t="str">
        <f>IF($C149="","",INDEX(Summary_FR!$A$3:$R$157,MATCH($C149,Summary_FR!$E$3:$E$157,0),MATCH(B$3,Summary_FR!$A$3:$R$3,0)))</f>
        <v/>
      </c>
      <c r="C149" s="86"/>
      <c r="D149" s="86"/>
      <c r="E149" s="86"/>
      <c r="F149" s="86"/>
      <c r="G149" s="86"/>
      <c r="H149" s="86"/>
      <c r="I149" s="86"/>
      <c r="J149" s="86"/>
      <c r="K149" s="86"/>
      <c r="L149" s="86"/>
      <c r="M149" s="86"/>
      <c r="N149" s="86"/>
    </row>
    <row r="150" spans="1:14" ht="14" x14ac:dyDescent="0.15">
      <c r="A150" s="86" t="str">
        <f>IF($C150="","",INDEX(Summary_FR!$A$3:$R$157,MATCH($C150,Summary_FR!$E$3:$E$157,0),MATCH(A$3,Summary_FR!$A$3:$R$3,0)))</f>
        <v/>
      </c>
      <c r="B150" s="86" t="str">
        <f>IF($C150="","",INDEX(Summary_FR!$A$3:$R$157,MATCH($C150,Summary_FR!$E$3:$E$157,0),MATCH(B$3,Summary_FR!$A$3:$R$3,0)))</f>
        <v/>
      </c>
      <c r="C150" s="86"/>
      <c r="D150" s="86"/>
      <c r="E150" s="86"/>
      <c r="F150" s="86"/>
      <c r="G150" s="86"/>
      <c r="H150" s="86"/>
      <c r="I150" s="86"/>
      <c r="J150" s="86"/>
      <c r="K150" s="86"/>
      <c r="L150" s="86"/>
      <c r="M150" s="86"/>
      <c r="N150" s="86"/>
    </row>
    <row r="151" spans="1:14" ht="14" x14ac:dyDescent="0.15">
      <c r="A151" s="86" t="str">
        <f>IF($C151="","",INDEX(Summary_FR!$A$3:$R$157,MATCH($C151,Summary_FR!$E$3:$E$157,0),MATCH(A$3,Summary_FR!$A$3:$R$3,0)))</f>
        <v/>
      </c>
      <c r="B151" s="86" t="str">
        <f>IF($C151="","",INDEX(Summary_FR!$A$3:$R$157,MATCH($C151,Summary_FR!$E$3:$E$157,0),MATCH(B$3,Summary_FR!$A$3:$R$3,0)))</f>
        <v/>
      </c>
      <c r="C151" s="86"/>
      <c r="D151" s="86"/>
      <c r="E151" s="86"/>
      <c r="F151" s="86"/>
      <c r="G151" s="86"/>
      <c r="H151" s="86"/>
      <c r="I151" s="86"/>
      <c r="J151" s="86"/>
      <c r="K151" s="86"/>
      <c r="L151" s="86"/>
      <c r="M151" s="86"/>
      <c r="N151" s="86"/>
    </row>
    <row r="152" spans="1:14" ht="14" x14ac:dyDescent="0.15">
      <c r="A152" s="86" t="str">
        <f>IF($C152="","",INDEX(Summary_FR!$A$3:$R$157,MATCH($C152,Summary_FR!$E$3:$E$157,0),MATCH(A$3,Summary_FR!$A$3:$R$3,0)))</f>
        <v/>
      </c>
      <c r="B152" s="86" t="str">
        <f>IF($C152="","",INDEX(Summary_FR!$A$3:$R$157,MATCH($C152,Summary_FR!$E$3:$E$157,0),MATCH(B$3,Summary_FR!$A$3:$R$3,0)))</f>
        <v/>
      </c>
      <c r="C152" s="86"/>
      <c r="D152" s="86"/>
      <c r="E152" s="86"/>
      <c r="F152" s="86"/>
      <c r="G152" s="86"/>
      <c r="H152" s="86"/>
      <c r="I152" s="86"/>
      <c r="J152" s="86"/>
      <c r="K152" s="86"/>
      <c r="L152" s="86"/>
      <c r="M152" s="86"/>
      <c r="N152" s="86"/>
    </row>
    <row r="153" spans="1:14" ht="14" x14ac:dyDescent="0.15">
      <c r="A153" s="86" t="str">
        <f>IF($C153="","",INDEX(Summary_FR!$A$3:$R$157,MATCH($C153,Summary_FR!$E$3:$E$157,0),MATCH(A$3,Summary_FR!$A$3:$R$3,0)))</f>
        <v/>
      </c>
      <c r="B153" s="86" t="str">
        <f>IF($C153="","",INDEX(Summary_FR!$A$3:$R$157,MATCH($C153,Summary_FR!$E$3:$E$157,0),MATCH(B$3,Summary_FR!$A$3:$R$3,0)))</f>
        <v/>
      </c>
      <c r="C153" s="86"/>
      <c r="D153" s="86"/>
      <c r="E153" s="86"/>
      <c r="F153" s="86"/>
      <c r="G153" s="86"/>
      <c r="H153" s="86"/>
      <c r="I153" s="86"/>
      <c r="J153" s="86"/>
      <c r="K153" s="86"/>
      <c r="L153" s="86"/>
      <c r="M153" s="86"/>
      <c r="N153" s="86"/>
    </row>
    <row r="154" spans="1:14" ht="14" x14ac:dyDescent="0.15">
      <c r="A154" s="86" t="str">
        <f>IF($C154="","",INDEX(Summary_FR!$A$3:$R$157,MATCH($C154,Summary_FR!$E$3:$E$157,0),MATCH(A$3,Summary_FR!$A$3:$R$3,0)))</f>
        <v/>
      </c>
      <c r="B154" s="86" t="str">
        <f>IF($C154="","",INDEX(Summary_FR!$A$3:$R$157,MATCH($C154,Summary_FR!$E$3:$E$157,0),MATCH(B$3,Summary_FR!$A$3:$R$3,0)))</f>
        <v/>
      </c>
      <c r="C154" s="86"/>
      <c r="D154" s="86"/>
      <c r="E154" s="86"/>
      <c r="F154" s="86"/>
      <c r="G154" s="86"/>
      <c r="H154" s="86"/>
      <c r="I154" s="86"/>
      <c r="J154" s="86"/>
      <c r="K154" s="86"/>
      <c r="L154" s="86"/>
      <c r="M154" s="86"/>
      <c r="N154" s="86"/>
    </row>
    <row r="155" spans="1:14" ht="14" x14ac:dyDescent="0.15">
      <c r="A155" s="86" t="str">
        <f>IF($C155="","",INDEX(Summary_FR!$A$3:$R$157,MATCH($C155,Summary_FR!$E$3:$E$157,0),MATCH(A$3,Summary_FR!$A$3:$R$3,0)))</f>
        <v/>
      </c>
      <c r="B155" s="86" t="str">
        <f>IF($C155="","",INDEX(Summary_FR!$A$3:$R$157,MATCH($C155,Summary_FR!$E$3:$E$157,0),MATCH(B$3,Summary_FR!$A$3:$R$3,0)))</f>
        <v/>
      </c>
      <c r="C155" s="86"/>
      <c r="D155" s="86"/>
      <c r="E155" s="86"/>
      <c r="F155" s="86"/>
      <c r="G155" s="86"/>
      <c r="H155" s="86"/>
      <c r="I155" s="86"/>
      <c r="J155" s="86"/>
      <c r="K155" s="86"/>
      <c r="L155" s="86"/>
      <c r="M155" s="86"/>
      <c r="N155" s="86"/>
    </row>
    <row r="156" spans="1:14" ht="14" x14ac:dyDescent="0.15">
      <c r="A156" s="86" t="str">
        <f>IF($C156="","",INDEX(Summary_FR!$A$3:$R$157,MATCH($C156,Summary_FR!$E$3:$E$157,0),MATCH(A$3,Summary_FR!$A$3:$R$3,0)))</f>
        <v/>
      </c>
      <c r="B156" s="86" t="str">
        <f>IF($C156="","",INDEX(Summary_FR!$A$3:$R$157,MATCH($C156,Summary_FR!$E$3:$E$157,0),MATCH(B$3,Summary_FR!$A$3:$R$3,0)))</f>
        <v/>
      </c>
      <c r="C156" s="86"/>
      <c r="D156" s="86"/>
      <c r="E156" s="86"/>
      <c r="F156" s="86"/>
      <c r="G156" s="86"/>
      <c r="H156" s="86"/>
      <c r="I156" s="86"/>
      <c r="J156" s="86"/>
      <c r="K156" s="86"/>
      <c r="L156" s="86"/>
      <c r="M156" s="86"/>
      <c r="N156" s="86"/>
    </row>
    <row r="157" spans="1:14" ht="14" x14ac:dyDescent="0.15">
      <c r="A157" s="86" t="str">
        <f>IF($C157="","",INDEX(Summary_FR!$A$3:$R$157,MATCH($C157,Summary_FR!$E$3:$E$157,0),MATCH(A$3,Summary_FR!$A$3:$R$3,0)))</f>
        <v/>
      </c>
      <c r="B157" s="86" t="str">
        <f>IF($C157="","",INDEX(Summary_FR!$A$3:$R$157,MATCH($C157,Summary_FR!$E$3:$E$157,0),MATCH(B$3,Summary_FR!$A$3:$R$3,0)))</f>
        <v/>
      </c>
      <c r="C157" s="86"/>
      <c r="D157" s="86"/>
      <c r="E157" s="86"/>
      <c r="F157" s="86"/>
      <c r="G157" s="86"/>
      <c r="H157" s="86"/>
      <c r="I157" s="86"/>
      <c r="J157" s="86"/>
      <c r="K157" s="86"/>
      <c r="L157" s="86"/>
      <c r="M157" s="86"/>
      <c r="N157" s="86"/>
    </row>
    <row r="158" spans="1:14" ht="14" x14ac:dyDescent="0.15">
      <c r="A158" s="86" t="str">
        <f>IF($C158="","",INDEX(Summary_FR!$A$3:$R$157,MATCH($C158,Summary_FR!$E$3:$E$157,0),MATCH(A$3,Summary_FR!$A$3:$R$3,0)))</f>
        <v/>
      </c>
      <c r="B158" s="86" t="str">
        <f>IF($C158="","",INDEX(Summary_FR!$A$3:$R$157,MATCH($C158,Summary_FR!$E$3:$E$157,0),MATCH(B$3,Summary_FR!$A$3:$R$3,0)))</f>
        <v/>
      </c>
      <c r="C158" s="86"/>
      <c r="D158" s="86"/>
      <c r="E158" s="86"/>
      <c r="F158" s="86"/>
      <c r="G158" s="86"/>
      <c r="H158" s="86"/>
      <c r="I158" s="86"/>
      <c r="J158" s="86"/>
      <c r="K158" s="86"/>
      <c r="L158" s="86"/>
      <c r="M158" s="86"/>
      <c r="N158" s="86"/>
    </row>
    <row r="159" spans="1:14" ht="14" x14ac:dyDescent="0.15">
      <c r="A159" s="86" t="str">
        <f>IF($C159="","",INDEX(Summary_FR!$A$3:$R$157,MATCH($C159,Summary_FR!$E$3:$E$157,0),MATCH(A$3,Summary_FR!$A$3:$R$3,0)))</f>
        <v/>
      </c>
      <c r="B159" s="86" t="str">
        <f>IF($C159="","",INDEX(Summary_FR!$A$3:$R$157,MATCH($C159,Summary_FR!$E$3:$E$157,0),MATCH(B$3,Summary_FR!$A$3:$R$3,0)))</f>
        <v/>
      </c>
      <c r="C159" s="86"/>
      <c r="D159" s="86"/>
      <c r="E159" s="86"/>
      <c r="F159" s="86"/>
      <c r="G159" s="86"/>
      <c r="H159" s="86"/>
      <c r="I159" s="86"/>
      <c r="J159" s="86"/>
      <c r="K159" s="86"/>
      <c r="L159" s="86"/>
      <c r="M159" s="86"/>
      <c r="N159" s="86"/>
    </row>
    <row r="160" spans="1:14" ht="14" x14ac:dyDescent="0.15">
      <c r="A160" s="86" t="str">
        <f>IF($C160="","",INDEX(Summary_FR!$A$3:$R$157,MATCH($C160,Summary_FR!$E$3:$E$157,0),MATCH(A$3,Summary_FR!$A$3:$R$3,0)))</f>
        <v/>
      </c>
      <c r="B160" s="86" t="str">
        <f>IF($C160="","",INDEX(Summary_FR!$A$3:$R$157,MATCH($C160,Summary_FR!$E$3:$E$157,0),MATCH(B$3,Summary_FR!$A$3:$R$3,0)))</f>
        <v/>
      </c>
      <c r="C160" s="86"/>
      <c r="D160" s="86"/>
      <c r="E160" s="86"/>
      <c r="F160" s="86"/>
      <c r="G160" s="86"/>
      <c r="H160" s="86"/>
      <c r="I160" s="86"/>
      <c r="J160" s="86"/>
      <c r="K160" s="86"/>
      <c r="L160" s="86"/>
      <c r="M160" s="86"/>
      <c r="N160" s="86"/>
    </row>
    <row r="161" spans="1:14" ht="14" x14ac:dyDescent="0.15">
      <c r="A161" s="86" t="str">
        <f>IF($C161="","",INDEX(Summary_FR!$A$3:$R$157,MATCH($C161,Summary_FR!$E$3:$E$157,0),MATCH(A$3,Summary_FR!$A$3:$R$3,0)))</f>
        <v/>
      </c>
      <c r="B161" s="86" t="str">
        <f>IF($C161="","",INDEX(Summary_FR!$A$3:$R$157,MATCH($C161,Summary_FR!$E$3:$E$157,0),MATCH(B$3,Summary_FR!$A$3:$R$3,0)))</f>
        <v/>
      </c>
      <c r="C161" s="86"/>
      <c r="D161" s="86"/>
      <c r="E161" s="86"/>
      <c r="F161" s="86"/>
      <c r="G161" s="86"/>
      <c r="H161" s="86"/>
      <c r="I161" s="86"/>
      <c r="J161" s="86"/>
      <c r="K161" s="86"/>
      <c r="L161" s="86"/>
      <c r="M161" s="86"/>
      <c r="N161" s="86"/>
    </row>
    <row r="162" spans="1:14" ht="14" x14ac:dyDescent="0.15">
      <c r="A162" s="86" t="str">
        <f>IF($C162="","",INDEX(Summary_FR!$A$3:$R$157,MATCH($C162,Summary_FR!$E$3:$E$157,0),MATCH(A$3,Summary_FR!$A$3:$R$3,0)))</f>
        <v/>
      </c>
      <c r="B162" s="86" t="str">
        <f>IF($C162="","",INDEX(Summary_FR!$A$3:$R$157,MATCH($C162,Summary_FR!$E$3:$E$157,0),MATCH(B$3,Summary_FR!$A$3:$R$3,0)))</f>
        <v/>
      </c>
      <c r="C162" s="86"/>
      <c r="D162" s="86"/>
      <c r="E162" s="86"/>
      <c r="F162" s="86"/>
      <c r="G162" s="86"/>
      <c r="H162" s="86"/>
      <c r="I162" s="86"/>
      <c r="J162" s="86"/>
      <c r="K162" s="86"/>
      <c r="L162" s="86"/>
      <c r="M162" s="86"/>
      <c r="N162" s="86"/>
    </row>
    <row r="163" spans="1:14" ht="14" x14ac:dyDescent="0.15">
      <c r="A163" s="86" t="str">
        <f>IF($C163="","",INDEX(Summary_FR!$A$3:$R$157,MATCH($C163,Summary_FR!$E$3:$E$157,0),MATCH(A$3,Summary_FR!$A$3:$R$3,0)))</f>
        <v/>
      </c>
      <c r="B163" s="86" t="str">
        <f>IF($C163="","",INDEX(Summary_FR!$A$3:$R$157,MATCH($C163,Summary_FR!$E$3:$E$157,0),MATCH(B$3,Summary_FR!$A$3:$R$3,0)))</f>
        <v/>
      </c>
      <c r="C163" s="86"/>
      <c r="D163" s="86"/>
      <c r="E163" s="86"/>
      <c r="F163" s="86"/>
      <c r="G163" s="86"/>
      <c r="H163" s="86"/>
      <c r="I163" s="86"/>
      <c r="J163" s="86"/>
      <c r="K163" s="86"/>
      <c r="L163" s="86"/>
      <c r="M163" s="86"/>
      <c r="N163" s="86"/>
    </row>
    <row r="164" spans="1:14" ht="14" x14ac:dyDescent="0.15">
      <c r="A164" s="86" t="str">
        <f>IF($C164="","",INDEX(Summary_FR!$A$3:$R$157,MATCH($C164,Summary_FR!$E$3:$E$157,0),MATCH(A$3,Summary_FR!$A$3:$R$3,0)))</f>
        <v/>
      </c>
      <c r="B164" s="86" t="str">
        <f>IF($C164="","",INDEX(Summary_FR!$A$3:$R$157,MATCH($C164,Summary_FR!$E$3:$E$157,0),MATCH(B$3,Summary_FR!$A$3:$R$3,0)))</f>
        <v/>
      </c>
      <c r="C164" s="86"/>
      <c r="D164" s="86"/>
      <c r="E164" s="86"/>
      <c r="F164" s="86"/>
      <c r="G164" s="86"/>
      <c r="H164" s="86"/>
      <c r="I164" s="86"/>
      <c r="J164" s="86"/>
      <c r="K164" s="86"/>
      <c r="L164" s="86"/>
      <c r="M164" s="86"/>
      <c r="N164" s="86"/>
    </row>
    <row r="165" spans="1:14" ht="14" x14ac:dyDescent="0.15">
      <c r="A165" s="86" t="str">
        <f>IF($C165="","",INDEX(Summary_FR!$A$3:$R$157,MATCH($C165,Summary_FR!$E$3:$E$157,0),MATCH(A$3,Summary_FR!$A$3:$R$3,0)))</f>
        <v/>
      </c>
      <c r="B165" s="86" t="str">
        <f>IF($C165="","",INDEX(Summary_FR!$A$3:$R$157,MATCH($C165,Summary_FR!$E$3:$E$157,0),MATCH(B$3,Summary_FR!$A$3:$R$3,0)))</f>
        <v/>
      </c>
      <c r="C165" s="86"/>
      <c r="D165" s="86"/>
      <c r="E165" s="86"/>
      <c r="F165" s="86"/>
      <c r="G165" s="86"/>
      <c r="H165" s="86"/>
      <c r="I165" s="86"/>
      <c r="J165" s="86"/>
      <c r="K165" s="86"/>
      <c r="L165" s="86"/>
      <c r="M165" s="86"/>
      <c r="N165" s="86"/>
    </row>
    <row r="166" spans="1:14" ht="14" x14ac:dyDescent="0.15">
      <c r="A166" s="86" t="str">
        <f>IF($C166="","",INDEX(Summary_FR!$A$3:$R$157,MATCH($C166,Summary_FR!$E$3:$E$157,0),MATCH(A$3,Summary_FR!$A$3:$R$3,0)))</f>
        <v/>
      </c>
      <c r="B166" s="86" t="str">
        <f>IF($C166="","",INDEX(Summary_FR!$A$3:$R$157,MATCH($C166,Summary_FR!$E$3:$E$157,0),MATCH(B$3,Summary_FR!$A$3:$R$3,0)))</f>
        <v/>
      </c>
      <c r="C166" s="86"/>
      <c r="D166" s="86"/>
      <c r="E166" s="86"/>
      <c r="F166" s="86"/>
      <c r="G166" s="86"/>
      <c r="H166" s="86"/>
      <c r="I166" s="86"/>
      <c r="J166" s="86"/>
      <c r="K166" s="86"/>
      <c r="L166" s="86"/>
      <c r="M166" s="86"/>
      <c r="N166" s="86"/>
    </row>
    <row r="167" spans="1:14" ht="14" x14ac:dyDescent="0.15">
      <c r="A167" s="86" t="str">
        <f>IF($C167="","",INDEX(Summary_FR!$A$3:$R$157,MATCH($C167,Summary_FR!$E$3:$E$157,0),MATCH(A$3,Summary_FR!$A$3:$R$3,0)))</f>
        <v/>
      </c>
      <c r="B167" s="86" t="str">
        <f>IF($C167="","",INDEX(Summary_FR!$A$3:$R$157,MATCH($C167,Summary_FR!$E$3:$E$157,0),MATCH(B$3,Summary_FR!$A$3:$R$3,0)))</f>
        <v/>
      </c>
      <c r="C167" s="86"/>
      <c r="D167" s="86"/>
      <c r="E167" s="86"/>
      <c r="F167" s="86"/>
      <c r="G167" s="86"/>
      <c r="H167" s="86"/>
      <c r="I167" s="86"/>
      <c r="J167" s="86"/>
      <c r="K167" s="86"/>
      <c r="L167" s="86"/>
      <c r="M167" s="86"/>
      <c r="N167" s="86"/>
    </row>
    <row r="168" spans="1:14" ht="14" x14ac:dyDescent="0.15">
      <c r="A168" s="86" t="str">
        <f>IF($C168="","",INDEX(Summary_FR!$A$3:$R$157,MATCH($C168,Summary_FR!$E$3:$E$157,0),MATCH(A$3,Summary_FR!$A$3:$R$3,0)))</f>
        <v/>
      </c>
      <c r="B168" s="86" t="str">
        <f>IF($C168="","",INDEX(Summary_FR!$A$3:$R$157,MATCH($C168,Summary_FR!$E$3:$E$157,0),MATCH(B$3,Summary_FR!$A$3:$R$3,0)))</f>
        <v/>
      </c>
      <c r="C168" s="86"/>
      <c r="D168" s="86"/>
      <c r="E168" s="86"/>
      <c r="F168" s="86"/>
      <c r="G168" s="86"/>
      <c r="H168" s="86"/>
      <c r="I168" s="86"/>
      <c r="J168" s="86"/>
      <c r="K168" s="86"/>
      <c r="L168" s="86"/>
      <c r="M168" s="86"/>
      <c r="N168" s="86"/>
    </row>
    <row r="169" spans="1:14" ht="14" x14ac:dyDescent="0.15">
      <c r="A169" s="86" t="str">
        <f>IF($C169="","",INDEX(Summary_FR!$A$3:$R$157,MATCH($C169,Summary_FR!$E$3:$E$157,0),MATCH(A$3,Summary_FR!$A$3:$R$3,0)))</f>
        <v/>
      </c>
      <c r="B169" s="86" t="str">
        <f>IF($C169="","",INDEX(Summary_FR!$A$3:$R$157,MATCH($C169,Summary_FR!$E$3:$E$157,0),MATCH(B$3,Summary_FR!$A$3:$R$3,0)))</f>
        <v/>
      </c>
      <c r="C169" s="86"/>
      <c r="D169" s="86"/>
      <c r="E169" s="86"/>
      <c r="F169" s="86"/>
      <c r="G169" s="86"/>
      <c r="H169" s="86"/>
      <c r="I169" s="86"/>
      <c r="J169" s="86"/>
      <c r="K169" s="86"/>
      <c r="L169" s="86"/>
      <c r="M169" s="86"/>
      <c r="N169" s="86"/>
    </row>
    <row r="170" spans="1:14" ht="14" x14ac:dyDescent="0.15">
      <c r="A170" s="86" t="str">
        <f>IF($C170="","",INDEX(Summary_FR!$A$3:$R$157,MATCH($C170,Summary_FR!$E$3:$E$157,0),MATCH(A$3,Summary_FR!$A$3:$R$3,0)))</f>
        <v/>
      </c>
      <c r="B170" s="86" t="str">
        <f>IF($C170="","",INDEX(Summary_FR!$A$3:$R$157,MATCH($C170,Summary_FR!$E$3:$E$157,0),MATCH(B$3,Summary_FR!$A$3:$R$3,0)))</f>
        <v/>
      </c>
      <c r="C170" s="86"/>
      <c r="D170" s="86"/>
      <c r="E170" s="86"/>
      <c r="F170" s="86"/>
      <c r="G170" s="86"/>
      <c r="H170" s="86"/>
      <c r="I170" s="86"/>
      <c r="J170" s="86"/>
      <c r="K170" s="86"/>
      <c r="L170" s="86"/>
      <c r="M170" s="86"/>
      <c r="N170" s="86"/>
    </row>
    <row r="171" spans="1:14" ht="14" x14ac:dyDescent="0.15">
      <c r="A171" s="86" t="str">
        <f>IF($C171="","",INDEX(Summary_FR!$A$3:$R$157,MATCH($C171,Summary_FR!$E$3:$E$157,0),MATCH(A$3,Summary_FR!$A$3:$R$3,0)))</f>
        <v/>
      </c>
      <c r="B171" s="86" t="str">
        <f>IF($C171="","",INDEX(Summary_FR!$A$3:$R$157,MATCH($C171,Summary_FR!$E$3:$E$157,0),MATCH(B$3,Summary_FR!$A$3:$R$3,0)))</f>
        <v/>
      </c>
      <c r="C171" s="86"/>
      <c r="D171" s="86"/>
      <c r="E171" s="86"/>
      <c r="F171" s="86"/>
      <c r="G171" s="86"/>
      <c r="H171" s="86"/>
      <c r="I171" s="86"/>
      <c r="J171" s="86"/>
      <c r="K171" s="86"/>
      <c r="L171" s="86"/>
      <c r="M171" s="86"/>
      <c r="N171" s="86"/>
    </row>
    <row r="172" spans="1:14" ht="14" x14ac:dyDescent="0.15">
      <c r="A172" s="86" t="str">
        <f>IF($C172="","",INDEX(Summary_FR!$A$3:$R$157,MATCH($C172,Summary_FR!$E$3:$E$157,0),MATCH(A$3,Summary_FR!$A$3:$R$3,0)))</f>
        <v/>
      </c>
      <c r="B172" s="86" t="str">
        <f>IF($C172="","",INDEX(Summary_FR!$A$3:$R$157,MATCH($C172,Summary_FR!$E$3:$E$157,0),MATCH(B$3,Summary_FR!$A$3:$R$3,0)))</f>
        <v/>
      </c>
      <c r="C172" s="86"/>
      <c r="D172" s="86"/>
      <c r="E172" s="86"/>
      <c r="F172" s="86"/>
      <c r="G172" s="86"/>
      <c r="H172" s="86"/>
      <c r="I172" s="86"/>
      <c r="J172" s="86"/>
      <c r="K172" s="86"/>
      <c r="L172" s="86"/>
      <c r="M172" s="86"/>
      <c r="N172" s="86"/>
    </row>
    <row r="173" spans="1:14" ht="14" x14ac:dyDescent="0.15">
      <c r="A173" s="86" t="str">
        <f>IF($C173="","",INDEX(Summary_FR!$A$3:$R$157,MATCH($C173,Summary_FR!$E$3:$E$157,0),MATCH(A$3,Summary_FR!$A$3:$R$3,0)))</f>
        <v/>
      </c>
      <c r="B173" s="86" t="str">
        <f>IF($C173="","",INDEX(Summary_FR!$A$3:$R$157,MATCH($C173,Summary_FR!$E$3:$E$157,0),MATCH(B$3,Summary_FR!$A$3:$R$3,0)))</f>
        <v/>
      </c>
      <c r="C173" s="86"/>
      <c r="D173" s="86"/>
      <c r="E173" s="86"/>
      <c r="F173" s="86"/>
      <c r="G173" s="86"/>
      <c r="H173" s="86"/>
      <c r="I173" s="86"/>
      <c r="J173" s="86"/>
      <c r="K173" s="86"/>
      <c r="L173" s="86"/>
      <c r="M173" s="86"/>
      <c r="N173" s="86"/>
    </row>
    <row r="174" spans="1:14" ht="14" x14ac:dyDescent="0.15">
      <c r="A174" s="86" t="str">
        <f>IF($C174="","",INDEX(Summary_FR!$A$3:$R$157,MATCH($C174,Summary_FR!$E$3:$E$157,0),MATCH(A$3,Summary_FR!$A$3:$R$3,0)))</f>
        <v/>
      </c>
      <c r="B174" s="86" t="str">
        <f>IF($C174="","",INDEX(Summary_FR!$A$3:$R$157,MATCH($C174,Summary_FR!$E$3:$E$157,0),MATCH(B$3,Summary_FR!$A$3:$R$3,0)))</f>
        <v/>
      </c>
      <c r="C174" s="86"/>
      <c r="D174" s="86"/>
      <c r="E174" s="86"/>
      <c r="F174" s="86"/>
      <c r="G174" s="86"/>
      <c r="H174" s="86"/>
      <c r="I174" s="86"/>
      <c r="J174" s="86"/>
      <c r="K174" s="86"/>
      <c r="L174" s="86"/>
      <c r="M174" s="86"/>
      <c r="N174" s="86"/>
    </row>
    <row r="175" spans="1:14" ht="14" x14ac:dyDescent="0.15">
      <c r="A175" s="86" t="str">
        <f>IF($C175="","",INDEX(Summary_FR!$A$3:$R$157,MATCH($C175,Summary_FR!$E$3:$E$157,0),MATCH(A$3,Summary_FR!$A$3:$R$3,0)))</f>
        <v/>
      </c>
      <c r="B175" s="86" t="str">
        <f>IF($C175="","",INDEX(Summary_FR!$A$3:$R$157,MATCH($C175,Summary_FR!$E$3:$E$157,0),MATCH(B$3,Summary_FR!$A$3:$R$3,0)))</f>
        <v/>
      </c>
      <c r="C175" s="86"/>
      <c r="D175" s="86"/>
      <c r="E175" s="86"/>
      <c r="F175" s="86"/>
      <c r="G175" s="86"/>
      <c r="H175" s="86"/>
      <c r="I175" s="86"/>
      <c r="J175" s="86"/>
      <c r="K175" s="86"/>
      <c r="L175" s="86"/>
      <c r="M175" s="86"/>
      <c r="N175" s="86"/>
    </row>
    <row r="176" spans="1:14" ht="14" x14ac:dyDescent="0.15">
      <c r="A176" s="86" t="str">
        <f>IF($C176="","",INDEX(Summary_FR!$A$3:$R$157,MATCH($C176,Summary_FR!$E$3:$E$157,0),MATCH(A$3,Summary_FR!$A$3:$R$3,0)))</f>
        <v/>
      </c>
      <c r="B176" s="86" t="str">
        <f>IF($C176="","",INDEX(Summary_FR!$A$3:$R$157,MATCH($C176,Summary_FR!$E$3:$E$157,0),MATCH(B$3,Summary_FR!$A$3:$R$3,0)))</f>
        <v/>
      </c>
      <c r="C176" s="86"/>
      <c r="D176" s="86"/>
      <c r="E176" s="86"/>
      <c r="F176" s="86"/>
      <c r="G176" s="86"/>
      <c r="H176" s="86"/>
      <c r="I176" s="86"/>
      <c r="J176" s="86"/>
      <c r="K176" s="86"/>
      <c r="L176" s="86"/>
      <c r="M176" s="86"/>
      <c r="N176" s="86"/>
    </row>
    <row r="177" spans="1:14" ht="14" x14ac:dyDescent="0.15">
      <c r="A177" s="86" t="str">
        <f>IF($C177="","",INDEX(Summary_FR!$A$3:$R$157,MATCH($C177,Summary_FR!$E$3:$E$157,0),MATCH(A$3,Summary_FR!$A$3:$R$3,0)))</f>
        <v/>
      </c>
      <c r="B177" s="86" t="str">
        <f>IF($C177="","",INDEX(Summary_FR!$A$3:$R$157,MATCH($C177,Summary_FR!$E$3:$E$157,0),MATCH(B$3,Summary_FR!$A$3:$R$3,0)))</f>
        <v/>
      </c>
      <c r="C177" s="86"/>
      <c r="D177" s="86"/>
      <c r="E177" s="86"/>
      <c r="F177" s="86"/>
      <c r="G177" s="86"/>
      <c r="H177" s="86"/>
      <c r="I177" s="86"/>
      <c r="J177" s="86"/>
      <c r="K177" s="86"/>
      <c r="L177" s="86"/>
      <c r="M177" s="86"/>
      <c r="N177" s="86"/>
    </row>
    <row r="178" spans="1:14" ht="14" x14ac:dyDescent="0.15">
      <c r="A178" s="86" t="str">
        <f>IF($C178="","",INDEX(Summary_FR!$A$3:$R$157,MATCH($C178,Summary_FR!$E$3:$E$157,0),MATCH(A$3,Summary_FR!$A$3:$R$3,0)))</f>
        <v/>
      </c>
      <c r="B178" s="86" t="str">
        <f>IF($C178="","",INDEX(Summary_FR!$A$3:$R$157,MATCH($C178,Summary_FR!$E$3:$E$157,0),MATCH(B$3,Summary_FR!$A$3:$R$3,0)))</f>
        <v/>
      </c>
      <c r="C178" s="86"/>
      <c r="D178" s="86"/>
      <c r="E178" s="86"/>
      <c r="F178" s="86"/>
      <c r="G178" s="86"/>
      <c r="H178" s="86"/>
      <c r="I178" s="86"/>
      <c r="J178" s="86"/>
      <c r="K178" s="86"/>
      <c r="L178" s="86"/>
      <c r="M178" s="86"/>
      <c r="N178" s="86"/>
    </row>
    <row r="179" spans="1:14" ht="14" x14ac:dyDescent="0.15">
      <c r="A179" s="86" t="str">
        <f>IF($C179="","",INDEX(Summary_FR!$A$3:$R$157,MATCH($C179,Summary_FR!$E$3:$E$157,0),MATCH(A$3,Summary_FR!$A$3:$R$3,0)))</f>
        <v/>
      </c>
      <c r="B179" s="86" t="str">
        <f>IF($C179="","",INDEX(Summary_FR!$A$3:$R$157,MATCH($C179,Summary_FR!$E$3:$E$157,0),MATCH(B$3,Summary_FR!$A$3:$R$3,0)))</f>
        <v/>
      </c>
      <c r="C179" s="86"/>
      <c r="D179" s="86"/>
      <c r="E179" s="86"/>
      <c r="F179" s="86"/>
      <c r="G179" s="86"/>
      <c r="H179" s="86"/>
      <c r="I179" s="86"/>
      <c r="J179" s="86"/>
      <c r="K179" s="86"/>
      <c r="L179" s="86"/>
      <c r="M179" s="86"/>
      <c r="N179" s="86"/>
    </row>
    <row r="180" spans="1:14" ht="14" x14ac:dyDescent="0.15">
      <c r="A180" s="86" t="str">
        <f>IF($C180="","",INDEX(Summary_FR!$A$3:$R$157,MATCH($C180,Summary_FR!$E$3:$E$157,0),MATCH(A$3,Summary_FR!$A$3:$R$3,0)))</f>
        <v/>
      </c>
      <c r="B180" s="86" t="str">
        <f>IF($C180="","",INDEX(Summary_FR!$A$3:$R$157,MATCH($C180,Summary_FR!$E$3:$E$157,0),MATCH(B$3,Summary_FR!$A$3:$R$3,0)))</f>
        <v/>
      </c>
      <c r="C180" s="86"/>
      <c r="D180" s="86"/>
      <c r="E180" s="86"/>
      <c r="F180" s="86"/>
      <c r="G180" s="86"/>
      <c r="H180" s="86"/>
      <c r="I180" s="86"/>
      <c r="J180" s="86"/>
      <c r="K180" s="86"/>
      <c r="L180" s="86"/>
      <c r="M180" s="86"/>
      <c r="N180" s="86"/>
    </row>
    <row r="181" spans="1:14" ht="14" x14ac:dyDescent="0.15">
      <c r="A181" s="86" t="str">
        <f>IF($C181="","",INDEX(Summary_FR!$A$3:$R$157,MATCH($C181,Summary_FR!$E$3:$E$157,0),MATCH(A$3,Summary_FR!$A$3:$R$3,0)))</f>
        <v/>
      </c>
      <c r="B181" s="86" t="str">
        <f>IF($C181="","",INDEX(Summary_FR!$A$3:$R$157,MATCH($C181,Summary_FR!$E$3:$E$157,0),MATCH(B$3,Summary_FR!$A$3:$R$3,0)))</f>
        <v/>
      </c>
      <c r="C181" s="86"/>
      <c r="D181" s="86"/>
      <c r="E181" s="86"/>
      <c r="F181" s="86"/>
      <c r="G181" s="86"/>
      <c r="H181" s="86"/>
      <c r="I181" s="86"/>
      <c r="J181" s="86"/>
      <c r="K181" s="86"/>
      <c r="L181" s="86"/>
      <c r="M181" s="86"/>
      <c r="N181" s="86"/>
    </row>
    <row r="182" spans="1:14" ht="14" x14ac:dyDescent="0.15">
      <c r="A182" s="86" t="str">
        <f>IF($C182="","",INDEX(Summary_FR!$A$3:$R$157,MATCH($C182,Summary_FR!$E$3:$E$157,0),MATCH(A$3,Summary_FR!$A$3:$R$3,0)))</f>
        <v/>
      </c>
      <c r="B182" s="86" t="str">
        <f>IF($C182="","",INDEX(Summary_FR!$A$3:$R$157,MATCH($C182,Summary_FR!$E$3:$E$157,0),MATCH(B$3,Summary_FR!$A$3:$R$3,0)))</f>
        <v/>
      </c>
      <c r="C182" s="86"/>
      <c r="D182" s="86"/>
      <c r="E182" s="86"/>
      <c r="F182" s="86"/>
      <c r="G182" s="86"/>
      <c r="H182" s="86"/>
      <c r="I182" s="86"/>
      <c r="J182" s="86"/>
      <c r="K182" s="86"/>
      <c r="L182" s="86"/>
      <c r="M182" s="86"/>
      <c r="N182" s="86"/>
    </row>
    <row r="183" spans="1:14" ht="14" x14ac:dyDescent="0.15">
      <c r="A183" s="86" t="str">
        <f>IF($C183="","",INDEX(Summary_FR!$A$3:$R$157,MATCH($C183,Summary_FR!$E$3:$E$157,0),MATCH(A$3,Summary_FR!$A$3:$R$3,0)))</f>
        <v/>
      </c>
      <c r="B183" s="86" t="str">
        <f>IF($C183="","",INDEX(Summary_FR!$A$3:$R$157,MATCH($C183,Summary_FR!$E$3:$E$157,0),MATCH(B$3,Summary_FR!$A$3:$R$3,0)))</f>
        <v/>
      </c>
      <c r="C183" s="86"/>
      <c r="D183" s="86"/>
      <c r="E183" s="86"/>
      <c r="F183" s="86"/>
      <c r="G183" s="86"/>
      <c r="H183" s="86"/>
      <c r="I183" s="86"/>
      <c r="J183" s="86"/>
      <c r="K183" s="86"/>
      <c r="L183" s="86"/>
      <c r="M183" s="86"/>
      <c r="N183" s="86"/>
    </row>
    <row r="184" spans="1:14" ht="14" x14ac:dyDescent="0.15">
      <c r="A184" s="86" t="str">
        <f>IF($C184="","",INDEX(Summary_FR!$A$3:$R$157,MATCH($C184,Summary_FR!$E$3:$E$157,0),MATCH(A$3,Summary_FR!$A$3:$R$3,0)))</f>
        <v/>
      </c>
      <c r="B184" s="86" t="str">
        <f>IF($C184="","",INDEX(Summary_FR!$A$3:$R$157,MATCH($C184,Summary_FR!$E$3:$E$157,0),MATCH(B$3,Summary_FR!$A$3:$R$3,0)))</f>
        <v/>
      </c>
      <c r="C184" s="86"/>
      <c r="D184" s="86"/>
      <c r="E184" s="86"/>
      <c r="F184" s="86"/>
      <c r="G184" s="86"/>
      <c r="H184" s="86"/>
      <c r="I184" s="86"/>
      <c r="J184" s="86"/>
      <c r="K184" s="86"/>
      <c r="L184" s="86"/>
      <c r="M184" s="86"/>
      <c r="N184" s="86"/>
    </row>
    <row r="185" spans="1:14" ht="14" x14ac:dyDescent="0.15">
      <c r="A185" s="86" t="str">
        <f>IF($C185="","",INDEX(Summary_FR!$A$3:$R$157,MATCH($C185,Summary_FR!$E$3:$E$157,0),MATCH(A$3,Summary_FR!$A$3:$R$3,0)))</f>
        <v/>
      </c>
      <c r="B185" s="86" t="str">
        <f>IF($C185="","",INDEX(Summary_FR!$A$3:$R$157,MATCH($C185,Summary_FR!$E$3:$E$157,0),MATCH(B$3,Summary_FR!$A$3:$R$3,0)))</f>
        <v/>
      </c>
      <c r="C185" s="86"/>
      <c r="D185" s="86"/>
      <c r="E185" s="86"/>
      <c r="F185" s="86"/>
      <c r="G185" s="86"/>
      <c r="H185" s="86"/>
      <c r="I185" s="86"/>
      <c r="J185" s="86"/>
      <c r="K185" s="86"/>
      <c r="L185" s="86"/>
      <c r="M185" s="86"/>
      <c r="N185" s="86"/>
    </row>
    <row r="186" spans="1:14" ht="14" x14ac:dyDescent="0.15">
      <c r="A186" s="86" t="str">
        <f>IF($C186="","",INDEX(Summary_FR!$A$3:$R$157,MATCH($C186,Summary_FR!$E$3:$E$157,0),MATCH(A$3,Summary_FR!$A$3:$R$3,0)))</f>
        <v/>
      </c>
      <c r="B186" s="86" t="str">
        <f>IF($C186="","",INDEX(Summary_FR!$A$3:$R$157,MATCH($C186,Summary_FR!$E$3:$E$157,0),MATCH(B$3,Summary_FR!$A$3:$R$3,0)))</f>
        <v/>
      </c>
      <c r="C186" s="86"/>
      <c r="D186" s="86"/>
      <c r="E186" s="86"/>
      <c r="F186" s="86"/>
      <c r="G186" s="86"/>
      <c r="H186" s="86"/>
      <c r="I186" s="86"/>
      <c r="J186" s="86"/>
      <c r="K186" s="86"/>
      <c r="L186" s="86"/>
      <c r="M186" s="86"/>
      <c r="N186" s="86"/>
    </row>
    <row r="187" spans="1:14" ht="14" x14ac:dyDescent="0.15">
      <c r="A187" s="86" t="str">
        <f>IF($C187="","",INDEX(Summary_FR!$A$3:$R$157,MATCH($C187,Summary_FR!$E$3:$E$157,0),MATCH(A$3,Summary_FR!$A$3:$R$3,0)))</f>
        <v/>
      </c>
      <c r="B187" s="86" t="str">
        <f>IF($C187="","",INDEX(Summary_FR!$A$3:$R$157,MATCH($C187,Summary_FR!$E$3:$E$157,0),MATCH(B$3,Summary_FR!$A$3:$R$3,0)))</f>
        <v/>
      </c>
      <c r="C187" s="86"/>
      <c r="D187" s="86"/>
      <c r="E187" s="86"/>
      <c r="F187" s="86"/>
      <c r="G187" s="86"/>
      <c r="H187" s="86"/>
      <c r="I187" s="86"/>
      <c r="J187" s="86"/>
      <c r="K187" s="86"/>
      <c r="L187" s="86"/>
      <c r="M187" s="86"/>
      <c r="N187" s="86"/>
    </row>
    <row r="188" spans="1:14" ht="14" x14ac:dyDescent="0.15">
      <c r="A188" s="86" t="str">
        <f>IF($C188="","",INDEX(Summary_FR!$A$3:$R$157,MATCH($C188,Summary_FR!$E$3:$E$157,0),MATCH(A$3,Summary_FR!$A$3:$R$3,0)))</f>
        <v/>
      </c>
      <c r="B188" s="86" t="str">
        <f>IF($C188="","",INDEX(Summary_FR!$A$3:$R$157,MATCH($C188,Summary_FR!$E$3:$E$157,0),MATCH(B$3,Summary_FR!$A$3:$R$3,0)))</f>
        <v/>
      </c>
      <c r="C188" s="86"/>
      <c r="D188" s="86"/>
      <c r="E188" s="86"/>
      <c r="F188" s="86"/>
      <c r="G188" s="86"/>
      <c r="H188" s="86"/>
      <c r="I188" s="86"/>
      <c r="J188" s="86"/>
      <c r="K188" s="86"/>
      <c r="L188" s="86"/>
      <c r="M188" s="86"/>
      <c r="N188" s="86"/>
    </row>
    <row r="189" spans="1:14" ht="14" x14ac:dyDescent="0.15">
      <c r="A189" s="86" t="str">
        <f>IF($C189="","",INDEX(Summary_FR!$A$3:$R$157,MATCH($C189,Summary_FR!$E$3:$E$157,0),MATCH(A$3,Summary_FR!$A$3:$R$3,0)))</f>
        <v/>
      </c>
      <c r="B189" s="86" t="str">
        <f>IF($C189="","",INDEX(Summary_FR!$A$3:$R$157,MATCH($C189,Summary_FR!$E$3:$E$157,0),MATCH(B$3,Summary_FR!$A$3:$R$3,0)))</f>
        <v/>
      </c>
      <c r="C189" s="86"/>
      <c r="D189" s="86"/>
      <c r="E189" s="86"/>
      <c r="F189" s="86"/>
      <c r="G189" s="86"/>
      <c r="H189" s="86"/>
      <c r="I189" s="86"/>
      <c r="J189" s="86"/>
      <c r="K189" s="86"/>
      <c r="L189" s="86"/>
      <c r="M189" s="86"/>
      <c r="N189" s="86"/>
    </row>
    <row r="190" spans="1:14" ht="14" x14ac:dyDescent="0.15">
      <c r="A190" s="86" t="str">
        <f>IF($C190="","",INDEX(Summary_FR!$A$3:$R$157,MATCH($C190,Summary_FR!$E$3:$E$157,0),MATCH(A$3,Summary_FR!$A$3:$R$3,0)))</f>
        <v/>
      </c>
      <c r="B190" s="86" t="str">
        <f>IF($C190="","",INDEX(Summary_FR!$A$3:$R$157,MATCH($C190,Summary_FR!$E$3:$E$157,0),MATCH(B$3,Summary_FR!$A$3:$R$3,0)))</f>
        <v/>
      </c>
      <c r="C190" s="86"/>
      <c r="D190" s="86"/>
      <c r="E190" s="86"/>
      <c r="F190" s="86"/>
      <c r="G190" s="86"/>
      <c r="H190" s="86"/>
      <c r="I190" s="86"/>
      <c r="J190" s="86"/>
      <c r="K190" s="86"/>
      <c r="L190" s="86"/>
      <c r="M190" s="86"/>
      <c r="N190" s="86"/>
    </row>
    <row r="191" spans="1:14" ht="14" x14ac:dyDescent="0.15">
      <c r="A191" s="86" t="str">
        <f>IF($C191="","",INDEX(Summary_FR!$A$3:$R$157,MATCH($C191,Summary_FR!$E$3:$E$157,0),MATCH(A$3,Summary_FR!$A$3:$R$3,0)))</f>
        <v/>
      </c>
      <c r="B191" s="86" t="str">
        <f>IF($C191="","",INDEX(Summary_FR!$A$3:$R$157,MATCH($C191,Summary_FR!$E$3:$E$157,0),MATCH(B$3,Summary_FR!$A$3:$R$3,0)))</f>
        <v/>
      </c>
      <c r="C191" s="86"/>
      <c r="D191" s="86"/>
      <c r="E191" s="86"/>
      <c r="F191" s="86"/>
      <c r="G191" s="86"/>
      <c r="H191" s="86"/>
      <c r="I191" s="86"/>
      <c r="J191" s="86"/>
      <c r="K191" s="86"/>
      <c r="L191" s="86"/>
      <c r="M191" s="86"/>
      <c r="N191" s="86"/>
    </row>
    <row r="192" spans="1:14" ht="14" x14ac:dyDescent="0.15">
      <c r="A192" s="86" t="str">
        <f>IF($C192="","",INDEX(Summary_FR!$A$3:$R$157,MATCH($C192,Summary_FR!$E$3:$E$157,0),MATCH(A$3,Summary_FR!$A$3:$R$3,0)))</f>
        <v/>
      </c>
      <c r="B192" s="86" t="str">
        <f>IF($C192="","",INDEX(Summary_FR!$A$3:$R$157,MATCH($C192,Summary_FR!$E$3:$E$157,0),MATCH(B$3,Summary_FR!$A$3:$R$3,0)))</f>
        <v/>
      </c>
      <c r="C192" s="86"/>
      <c r="D192" s="86"/>
      <c r="E192" s="86"/>
      <c r="F192" s="86"/>
      <c r="G192" s="86"/>
      <c r="H192" s="86"/>
      <c r="I192" s="86"/>
      <c r="J192" s="86"/>
      <c r="K192" s="86"/>
      <c r="L192" s="86"/>
      <c r="M192" s="86"/>
      <c r="N192" s="86"/>
    </row>
    <row r="193" spans="1:14" ht="14" x14ac:dyDescent="0.15">
      <c r="A193" s="86" t="str">
        <f>IF($C193="","",INDEX(Summary_FR!$A$3:$R$157,MATCH($C193,Summary_FR!$E$3:$E$157,0),MATCH(A$3,Summary_FR!$A$3:$R$3,0)))</f>
        <v/>
      </c>
      <c r="B193" s="86" t="str">
        <f>IF($C193="","",INDEX(Summary_FR!$A$3:$R$157,MATCH($C193,Summary_FR!$E$3:$E$157,0),MATCH(B$3,Summary_FR!$A$3:$R$3,0)))</f>
        <v/>
      </c>
      <c r="C193" s="86"/>
      <c r="D193" s="86"/>
      <c r="E193" s="86"/>
      <c r="F193" s="86"/>
      <c r="G193" s="86"/>
      <c r="H193" s="86"/>
      <c r="I193" s="86"/>
      <c r="J193" s="86"/>
      <c r="K193" s="86"/>
      <c r="L193" s="86"/>
      <c r="M193" s="86"/>
      <c r="N193" s="86"/>
    </row>
    <row r="194" spans="1:14" ht="14" x14ac:dyDescent="0.15">
      <c r="A194" s="86" t="str">
        <f>IF($C194="","",INDEX(Summary_FR!$A$3:$R$157,MATCH($C194,Summary_FR!$E$3:$E$157,0),MATCH(A$3,Summary_FR!$A$3:$R$3,0)))</f>
        <v/>
      </c>
      <c r="B194" s="86" t="str">
        <f>IF($C194="","",INDEX(Summary_FR!$A$3:$R$157,MATCH($C194,Summary_FR!$E$3:$E$157,0),MATCH(B$3,Summary_FR!$A$3:$R$3,0)))</f>
        <v/>
      </c>
      <c r="C194" s="86"/>
      <c r="D194" s="86"/>
      <c r="E194" s="86"/>
      <c r="F194" s="86"/>
      <c r="G194" s="86"/>
      <c r="H194" s="86"/>
      <c r="I194" s="86"/>
      <c r="J194" s="86"/>
      <c r="K194" s="86"/>
      <c r="L194" s="86"/>
      <c r="M194" s="86"/>
      <c r="N194" s="86"/>
    </row>
    <row r="195" spans="1:14" ht="14" x14ac:dyDescent="0.15">
      <c r="A195" s="86" t="str">
        <f>IF($C195="","",INDEX(Summary_FR!$A$3:$R$157,MATCH($C195,Summary_FR!$E$3:$E$157,0),MATCH(A$3,Summary_FR!$A$3:$R$3,0)))</f>
        <v/>
      </c>
      <c r="B195" s="86" t="str">
        <f>IF($C195="","",INDEX(Summary_FR!$A$3:$R$157,MATCH($C195,Summary_FR!$E$3:$E$157,0),MATCH(B$3,Summary_FR!$A$3:$R$3,0)))</f>
        <v/>
      </c>
      <c r="C195" s="86"/>
      <c r="D195" s="86"/>
      <c r="E195" s="86"/>
      <c r="F195" s="86"/>
      <c r="G195" s="86"/>
      <c r="H195" s="86"/>
      <c r="I195" s="86"/>
      <c r="J195" s="86"/>
      <c r="K195" s="86"/>
      <c r="L195" s="86"/>
      <c r="M195" s="86"/>
      <c r="N195" s="86"/>
    </row>
    <row r="196" spans="1:14" ht="14" x14ac:dyDescent="0.15">
      <c r="A196" s="86" t="str">
        <f>IF($C196="","",INDEX(Summary_FR!$A$3:$R$157,MATCH($C196,Summary_FR!$E$3:$E$157,0),MATCH(A$3,Summary_FR!$A$3:$R$3,0)))</f>
        <v/>
      </c>
      <c r="B196" s="86" t="str">
        <f>IF($C196="","",INDEX(Summary_FR!$A$3:$R$157,MATCH($C196,Summary_FR!$E$3:$E$157,0),MATCH(B$3,Summary_FR!$A$3:$R$3,0)))</f>
        <v/>
      </c>
      <c r="C196" s="86"/>
      <c r="D196" s="86"/>
      <c r="E196" s="86"/>
      <c r="F196" s="86"/>
      <c r="G196" s="86"/>
      <c r="H196" s="86"/>
      <c r="I196" s="86"/>
      <c r="J196" s="86"/>
      <c r="K196" s="86"/>
      <c r="L196" s="86"/>
      <c r="M196" s="86"/>
      <c r="N196" s="86"/>
    </row>
    <row r="197" spans="1:14" ht="14" x14ac:dyDescent="0.15">
      <c r="A197" s="86" t="str">
        <f>IF($C197="","",INDEX(Summary_FR!$A$3:$R$157,MATCH($C197,Summary_FR!$E$3:$E$157,0),MATCH(A$3,Summary_FR!$A$3:$R$3,0)))</f>
        <v/>
      </c>
      <c r="B197" s="86" t="str">
        <f>IF($C197="","",INDEX(Summary_FR!$A$3:$R$157,MATCH($C197,Summary_FR!$E$3:$E$157,0),MATCH(B$3,Summary_FR!$A$3:$R$3,0)))</f>
        <v/>
      </c>
      <c r="C197" s="86"/>
      <c r="D197" s="86"/>
      <c r="E197" s="86"/>
      <c r="F197" s="86"/>
      <c r="G197" s="86"/>
      <c r="H197" s="86"/>
      <c r="I197" s="86"/>
      <c r="J197" s="86"/>
      <c r="K197" s="86"/>
      <c r="L197" s="86"/>
      <c r="M197" s="86"/>
      <c r="N197" s="86"/>
    </row>
    <row r="198" spans="1:14" ht="14" x14ac:dyDescent="0.15">
      <c r="A198" s="86" t="str">
        <f>IF($C198="","",INDEX(Summary_FR!$A$3:$R$157,MATCH($C198,Summary_FR!$E$3:$E$157,0),MATCH(A$3,Summary_FR!$A$3:$R$3,0)))</f>
        <v/>
      </c>
      <c r="B198" s="86" t="str">
        <f>IF($C198="","",INDEX(Summary_FR!$A$3:$R$157,MATCH($C198,Summary_FR!$E$3:$E$157,0),MATCH(B$3,Summary_FR!$A$3:$R$3,0)))</f>
        <v/>
      </c>
      <c r="C198" s="86"/>
      <c r="D198" s="86"/>
      <c r="E198" s="86"/>
      <c r="F198" s="86"/>
      <c r="G198" s="86"/>
      <c r="H198" s="86"/>
      <c r="I198" s="86"/>
      <c r="J198" s="86"/>
      <c r="K198" s="86"/>
      <c r="L198" s="86"/>
      <c r="M198" s="86"/>
      <c r="N198" s="86"/>
    </row>
    <row r="199" spans="1:14" ht="14" x14ac:dyDescent="0.15">
      <c r="A199" s="86" t="str">
        <f>IF($C199="","",INDEX(Summary_FR!$A$3:$R$157,MATCH($C199,Summary_FR!$E$3:$E$157,0),MATCH(A$3,Summary_FR!$A$3:$R$3,0)))</f>
        <v/>
      </c>
      <c r="B199" s="86" t="str">
        <f>IF($C199="","",INDEX(Summary_FR!$A$3:$R$157,MATCH($C199,Summary_FR!$E$3:$E$157,0),MATCH(B$3,Summary_FR!$A$3:$R$3,0)))</f>
        <v/>
      </c>
      <c r="C199" s="86"/>
      <c r="D199" s="86"/>
      <c r="E199" s="86"/>
      <c r="F199" s="86"/>
      <c r="G199" s="86"/>
      <c r="H199" s="86"/>
      <c r="I199" s="86"/>
      <c r="J199" s="86"/>
      <c r="K199" s="86"/>
      <c r="L199" s="86"/>
      <c r="M199" s="86"/>
      <c r="N199" s="86"/>
    </row>
    <row r="200" spans="1:14" ht="14" x14ac:dyDescent="0.15">
      <c r="A200" s="86" t="str">
        <f>IF($C200="","",INDEX(Summary_FR!$A$3:$R$157,MATCH($C200,Summary_FR!$E$3:$E$157,0),MATCH(A$3,Summary_FR!$A$3:$R$3,0)))</f>
        <v/>
      </c>
      <c r="B200" s="86" t="str">
        <f>IF($C200="","",INDEX(Summary_FR!$A$3:$R$157,MATCH($C200,Summary_FR!$E$3:$E$157,0),MATCH(B$3,Summary_FR!$A$3:$R$3,0)))</f>
        <v/>
      </c>
      <c r="C200" s="86"/>
      <c r="D200" s="86"/>
      <c r="E200" s="86"/>
      <c r="F200" s="86"/>
      <c r="G200" s="86"/>
      <c r="H200" s="86"/>
      <c r="I200" s="86"/>
      <c r="J200" s="86"/>
      <c r="K200" s="86"/>
      <c r="L200" s="86"/>
      <c r="M200" s="86"/>
      <c r="N200" s="86"/>
    </row>
    <row r="201" spans="1:14" ht="14" x14ac:dyDescent="0.15">
      <c r="A201" s="86" t="str">
        <f>IF($C201="","",INDEX(Summary_FR!$A$3:$R$157,MATCH($C201,Summary_FR!$E$3:$E$157,0),MATCH(A$3,Summary_FR!$A$3:$R$3,0)))</f>
        <v/>
      </c>
      <c r="B201" s="86" t="str">
        <f>IF($C201="","",INDEX(Summary_FR!$A$3:$R$157,MATCH($C201,Summary_FR!$E$3:$E$157,0),MATCH(B$3,Summary_FR!$A$3:$R$3,0)))</f>
        <v/>
      </c>
      <c r="C201" s="86"/>
      <c r="D201" s="86"/>
      <c r="E201" s="86"/>
      <c r="F201" s="86"/>
      <c r="G201" s="86"/>
      <c r="H201" s="86"/>
      <c r="I201" s="86"/>
      <c r="J201" s="86"/>
      <c r="K201" s="86"/>
      <c r="L201" s="86"/>
      <c r="M201" s="86"/>
      <c r="N201" s="86"/>
    </row>
    <row r="202" spans="1:14" ht="14" x14ac:dyDescent="0.15">
      <c r="A202" s="86" t="str">
        <f>IF($C202="","",INDEX(Summary_FR!$A$3:$R$157,MATCH($C202,Summary_FR!$E$3:$E$157,0),MATCH(A$3,Summary_FR!$A$3:$R$3,0)))</f>
        <v/>
      </c>
      <c r="B202" s="86" t="str">
        <f>IF($C202="","",INDEX(Summary_FR!$A$3:$R$157,MATCH($C202,Summary_FR!$E$3:$E$157,0),MATCH(B$3,Summary_FR!$A$3:$R$3,0)))</f>
        <v/>
      </c>
      <c r="C202" s="86"/>
      <c r="D202" s="86"/>
      <c r="E202" s="86"/>
      <c r="F202" s="86"/>
      <c r="G202" s="86"/>
      <c r="H202" s="86"/>
      <c r="I202" s="86"/>
      <c r="J202" s="86"/>
      <c r="K202" s="86"/>
      <c r="L202" s="86"/>
      <c r="M202" s="86"/>
      <c r="N202" s="86"/>
    </row>
    <row r="203" spans="1:14" ht="14" x14ac:dyDescent="0.15">
      <c r="A203" s="86" t="str">
        <f>IF($C203="","",INDEX(Summary_FR!$A$3:$R$157,MATCH($C203,Summary_FR!$E$3:$E$157,0),MATCH(A$3,Summary_FR!$A$3:$R$3,0)))</f>
        <v/>
      </c>
      <c r="B203" s="86" t="str">
        <f>IF($C203="","",INDEX(Summary_FR!$A$3:$R$157,MATCH($C203,Summary_FR!$E$3:$E$157,0),MATCH(B$3,Summary_FR!$A$3:$R$3,0)))</f>
        <v/>
      </c>
      <c r="C203" s="86"/>
      <c r="D203" s="86"/>
      <c r="E203" s="86"/>
      <c r="F203" s="86"/>
      <c r="G203" s="86"/>
      <c r="H203" s="86"/>
      <c r="I203" s="86"/>
      <c r="J203" s="86"/>
      <c r="K203" s="86"/>
      <c r="L203" s="86"/>
      <c r="M203" s="86"/>
      <c r="N203" s="86"/>
    </row>
    <row r="204" spans="1:14" ht="14" x14ac:dyDescent="0.15">
      <c r="A204" s="86" t="str">
        <f>IF($C204="","",INDEX(Summary_FR!$A$3:$R$157,MATCH($C204,Summary_FR!$E$3:$E$157,0),MATCH(A$3,Summary_FR!$A$3:$R$3,0)))</f>
        <v/>
      </c>
      <c r="B204" s="86" t="str">
        <f>IF($C204="","",INDEX(Summary_FR!$A$3:$R$157,MATCH($C204,Summary_FR!$E$3:$E$157,0),MATCH(B$3,Summary_FR!$A$3:$R$3,0)))</f>
        <v/>
      </c>
      <c r="C204" s="86"/>
      <c r="D204" s="86"/>
      <c r="E204" s="86"/>
      <c r="F204" s="86"/>
      <c r="G204" s="86"/>
      <c r="H204" s="86"/>
      <c r="I204" s="86"/>
      <c r="J204" s="86"/>
      <c r="K204" s="86"/>
      <c r="L204" s="86"/>
      <c r="M204" s="86"/>
      <c r="N204" s="86"/>
    </row>
    <row r="205" spans="1:14" ht="14" x14ac:dyDescent="0.15">
      <c r="A205" s="86" t="str">
        <f>IF($C205="","",INDEX(Summary_FR!$A$3:$R$157,MATCH($C205,Summary_FR!$E$3:$E$157,0),MATCH(A$3,Summary_FR!$A$3:$R$3,0)))</f>
        <v/>
      </c>
      <c r="B205" s="86" t="str">
        <f>IF($C205="","",INDEX(Summary_FR!$A$3:$R$157,MATCH($C205,Summary_FR!$E$3:$E$157,0),MATCH(B$3,Summary_FR!$A$3:$R$3,0)))</f>
        <v/>
      </c>
      <c r="C205" s="86"/>
      <c r="D205" s="86"/>
      <c r="E205" s="86"/>
      <c r="F205" s="86"/>
      <c r="G205" s="86"/>
      <c r="H205" s="86"/>
      <c r="I205" s="86"/>
      <c r="J205" s="86"/>
      <c r="K205" s="86"/>
      <c r="L205" s="86"/>
      <c r="M205" s="86"/>
      <c r="N205" s="86"/>
    </row>
    <row r="206" spans="1:14" ht="14" x14ac:dyDescent="0.15">
      <c r="A206" s="86" t="str">
        <f>IF($C206="","",INDEX(Summary_FR!$A$3:$R$157,MATCH($C206,Summary_FR!$E$3:$E$157,0),MATCH(A$3,Summary_FR!$A$3:$R$3,0)))</f>
        <v/>
      </c>
      <c r="B206" s="86" t="str">
        <f>IF($C206="","",INDEX(Summary_FR!$A$3:$R$157,MATCH($C206,Summary_FR!$E$3:$E$157,0),MATCH(B$3,Summary_FR!$A$3:$R$3,0)))</f>
        <v/>
      </c>
      <c r="C206" s="86"/>
      <c r="D206" s="86"/>
      <c r="E206" s="86"/>
      <c r="F206" s="86"/>
      <c r="G206" s="86"/>
      <c r="H206" s="86"/>
      <c r="I206" s="86"/>
      <c r="J206" s="86"/>
      <c r="K206" s="86"/>
      <c r="L206" s="86"/>
      <c r="M206" s="86"/>
      <c r="N206" s="86"/>
    </row>
    <row r="207" spans="1:14" ht="14" x14ac:dyDescent="0.15">
      <c r="A207" s="86" t="str">
        <f>IF($C207="","",INDEX(Summary_FR!$A$3:$R$157,MATCH($C207,Summary_FR!$E$3:$E$157,0),MATCH(A$3,Summary_FR!$A$3:$R$3,0)))</f>
        <v/>
      </c>
      <c r="B207" s="86" t="str">
        <f>IF($C207="","",INDEX(Summary_FR!$A$3:$R$157,MATCH($C207,Summary_FR!$E$3:$E$157,0),MATCH(B$3,Summary_FR!$A$3:$R$3,0)))</f>
        <v/>
      </c>
      <c r="C207" s="86"/>
      <c r="D207" s="86"/>
      <c r="E207" s="86"/>
      <c r="F207" s="86"/>
      <c r="G207" s="86"/>
      <c r="H207" s="86"/>
      <c r="I207" s="86"/>
      <c r="J207" s="86"/>
      <c r="K207" s="86"/>
      <c r="L207" s="86"/>
      <c r="M207" s="86"/>
      <c r="N207" s="86"/>
    </row>
    <row r="208" spans="1:14" ht="14" x14ac:dyDescent="0.15">
      <c r="A208" s="86" t="str">
        <f>IF($C208="","",INDEX(Summary_FR!$A$3:$R$157,MATCH($C208,Summary_FR!$E$3:$E$157,0),MATCH(A$3,Summary_FR!$A$3:$R$3,0)))</f>
        <v/>
      </c>
      <c r="B208" s="86" t="str">
        <f>IF($C208="","",INDEX(Summary_FR!$A$3:$R$157,MATCH($C208,Summary_FR!$E$3:$E$157,0),MATCH(B$3,Summary_FR!$A$3:$R$3,0)))</f>
        <v/>
      </c>
      <c r="C208" s="86"/>
      <c r="D208" s="86"/>
      <c r="E208" s="86"/>
      <c r="F208" s="86"/>
      <c r="G208" s="86"/>
      <c r="H208" s="86"/>
      <c r="I208" s="86"/>
      <c r="J208" s="86"/>
      <c r="K208" s="86"/>
      <c r="L208" s="86"/>
      <c r="M208" s="86"/>
      <c r="N208" s="86"/>
    </row>
    <row r="209" spans="1:14" ht="14" x14ac:dyDescent="0.15">
      <c r="A209" s="86" t="str">
        <f>IF($C209="","",INDEX(Summary_FR!$A$3:$R$157,MATCH($C209,Summary_FR!$E$3:$E$157,0),MATCH(A$3,Summary_FR!$A$3:$R$3,0)))</f>
        <v/>
      </c>
      <c r="B209" s="86" t="str">
        <f>IF($C209="","",INDEX(Summary_FR!$A$3:$R$157,MATCH($C209,Summary_FR!$E$3:$E$157,0),MATCH(B$3,Summary_FR!$A$3:$R$3,0)))</f>
        <v/>
      </c>
      <c r="C209" s="86"/>
      <c r="D209" s="86"/>
      <c r="E209" s="86"/>
      <c r="F209" s="86"/>
      <c r="G209" s="86"/>
      <c r="H209" s="86"/>
      <c r="I209" s="86"/>
      <c r="J209" s="86"/>
      <c r="K209" s="86"/>
      <c r="L209" s="86"/>
      <c r="M209" s="86"/>
      <c r="N209" s="86"/>
    </row>
    <row r="210" spans="1:14" ht="14" x14ac:dyDescent="0.15">
      <c r="A210" s="86" t="str">
        <f>IF($C210="","",INDEX(Summary_FR!$A$3:$R$157,MATCH($C210,Summary_FR!$E$3:$E$157,0),MATCH(A$3,Summary_FR!$A$3:$R$3,0)))</f>
        <v/>
      </c>
      <c r="B210" s="86" t="str">
        <f>IF($C210="","",INDEX(Summary_FR!$A$3:$R$157,MATCH($C210,Summary_FR!$E$3:$E$157,0),MATCH(B$3,Summary_FR!$A$3:$R$3,0)))</f>
        <v/>
      </c>
      <c r="C210" s="86"/>
      <c r="D210" s="86"/>
      <c r="E210" s="86"/>
      <c r="F210" s="86"/>
      <c r="G210" s="86"/>
      <c r="H210" s="86"/>
      <c r="I210" s="86"/>
      <c r="J210" s="86"/>
      <c r="K210" s="86"/>
      <c r="L210" s="86"/>
      <c r="M210" s="86"/>
      <c r="N210" s="86"/>
    </row>
    <row r="211" spans="1:14" ht="14" x14ac:dyDescent="0.15">
      <c r="A211" s="86" t="str">
        <f>IF($C211="","",INDEX(Summary_FR!$A$3:$R$157,MATCH($C211,Summary_FR!$E$3:$E$157,0),MATCH(A$3,Summary_FR!$A$3:$R$3,0)))</f>
        <v/>
      </c>
      <c r="B211" s="86" t="str">
        <f>IF($C211="","",INDEX(Summary_FR!$A$3:$R$157,MATCH($C211,Summary_FR!$E$3:$E$157,0),MATCH(B$3,Summary_FR!$A$3:$R$3,0)))</f>
        <v/>
      </c>
      <c r="C211" s="86"/>
      <c r="D211" s="86"/>
      <c r="E211" s="86"/>
      <c r="F211" s="86"/>
      <c r="G211" s="86"/>
      <c r="H211" s="86"/>
      <c r="I211" s="86"/>
      <c r="J211" s="86"/>
      <c r="K211" s="86"/>
      <c r="L211" s="86"/>
      <c r="M211" s="86"/>
      <c r="N211" s="86"/>
    </row>
    <row r="212" spans="1:14" ht="14" x14ac:dyDescent="0.15">
      <c r="A212" s="86" t="str">
        <f>IF($C212="","",INDEX(Summary_FR!$A$3:$R$157,MATCH($C212,Summary_FR!$E$3:$E$157,0),MATCH(A$3,Summary_FR!$A$3:$R$3,0)))</f>
        <v/>
      </c>
      <c r="B212" s="86" t="str">
        <f>IF($C212="","",INDEX(Summary_FR!$A$3:$R$157,MATCH($C212,Summary_FR!$E$3:$E$157,0),MATCH(B$3,Summary_FR!$A$3:$R$3,0)))</f>
        <v/>
      </c>
      <c r="C212" s="86"/>
      <c r="D212" s="86"/>
      <c r="E212" s="86"/>
      <c r="F212" s="86"/>
      <c r="G212" s="86"/>
      <c r="H212" s="86"/>
      <c r="I212" s="86"/>
      <c r="J212" s="86"/>
      <c r="K212" s="86"/>
      <c r="L212" s="86"/>
      <c r="M212" s="86"/>
      <c r="N212" s="86"/>
    </row>
    <row r="213" spans="1:14" ht="14" x14ac:dyDescent="0.15">
      <c r="A213" s="86" t="str">
        <f>IF($C213="","",INDEX(Summary_FR!$A$3:$R$157,MATCH($C213,Summary_FR!$E$3:$E$157,0),MATCH(A$3,Summary_FR!$A$3:$R$3,0)))</f>
        <v/>
      </c>
      <c r="B213" s="86" t="str">
        <f>IF($C213="","",INDEX(Summary_FR!$A$3:$R$157,MATCH($C213,Summary_FR!$E$3:$E$157,0),MATCH(B$3,Summary_FR!$A$3:$R$3,0)))</f>
        <v/>
      </c>
      <c r="C213" s="86"/>
      <c r="D213" s="86"/>
      <c r="E213" s="86"/>
      <c r="F213" s="86"/>
      <c r="G213" s="86"/>
      <c r="H213" s="86"/>
      <c r="I213" s="86"/>
      <c r="J213" s="86"/>
      <c r="K213" s="86"/>
      <c r="L213" s="86"/>
      <c r="M213" s="86"/>
      <c r="N213" s="86"/>
    </row>
    <row r="214" spans="1:14" ht="14" x14ac:dyDescent="0.15">
      <c r="A214" s="86" t="str">
        <f>IF($C214="","",INDEX(Summary_FR!$A$3:$R$157,MATCH($C214,Summary_FR!$E$3:$E$157,0),MATCH(A$3,Summary_FR!$A$3:$R$3,0)))</f>
        <v/>
      </c>
      <c r="B214" s="86" t="str">
        <f>IF($C214="","",INDEX(Summary_FR!$A$3:$R$157,MATCH($C214,Summary_FR!$E$3:$E$157,0),MATCH(B$3,Summary_FR!$A$3:$R$3,0)))</f>
        <v/>
      </c>
      <c r="C214" s="86"/>
      <c r="D214" s="86"/>
      <c r="E214" s="86"/>
      <c r="F214" s="86"/>
      <c r="G214" s="86"/>
      <c r="H214" s="86"/>
      <c r="I214" s="86"/>
      <c r="J214" s="86"/>
      <c r="K214" s="86"/>
      <c r="L214" s="86"/>
      <c r="M214" s="86"/>
      <c r="N214" s="86"/>
    </row>
    <row r="215" spans="1:14" ht="14" x14ac:dyDescent="0.15">
      <c r="A215" s="86" t="str">
        <f>IF($C215="","",INDEX(Summary_FR!$A$3:$R$157,MATCH($C215,Summary_FR!$E$3:$E$157,0),MATCH(A$3,Summary_FR!$A$3:$R$3,0)))</f>
        <v/>
      </c>
      <c r="B215" s="86" t="str">
        <f>IF($C215="","",INDEX(Summary_FR!$A$3:$R$157,MATCH($C215,Summary_FR!$E$3:$E$157,0),MATCH(B$3,Summary_FR!$A$3:$R$3,0)))</f>
        <v/>
      </c>
      <c r="C215" s="86"/>
      <c r="D215" s="86"/>
      <c r="E215" s="86"/>
      <c r="F215" s="86"/>
      <c r="G215" s="86"/>
      <c r="H215" s="86"/>
      <c r="I215" s="86"/>
      <c r="J215" s="86"/>
      <c r="K215" s="86"/>
      <c r="L215" s="86"/>
      <c r="M215" s="86"/>
      <c r="N215" s="86"/>
    </row>
    <row r="216" spans="1:14" ht="14" x14ac:dyDescent="0.15">
      <c r="A216" s="86" t="str">
        <f>IF($C216="","",INDEX(Summary_FR!$A$3:$R$157,MATCH($C216,Summary_FR!$E$3:$E$157,0),MATCH(A$3,Summary_FR!$A$3:$R$3,0)))</f>
        <v/>
      </c>
      <c r="B216" s="86" t="str">
        <f>IF($C216="","",INDEX(Summary_FR!$A$3:$R$157,MATCH($C216,Summary_FR!$E$3:$E$157,0),MATCH(B$3,Summary_FR!$A$3:$R$3,0)))</f>
        <v/>
      </c>
      <c r="C216" s="86"/>
      <c r="D216" s="86"/>
      <c r="E216" s="86"/>
      <c r="F216" s="86"/>
      <c r="G216" s="86"/>
      <c r="H216" s="86"/>
      <c r="I216" s="86"/>
      <c r="J216" s="86"/>
      <c r="K216" s="86"/>
      <c r="L216" s="86"/>
      <c r="M216" s="86"/>
      <c r="N216" s="86"/>
    </row>
    <row r="217" spans="1:14" ht="14" x14ac:dyDescent="0.15">
      <c r="A217" s="86" t="str">
        <f>IF($C217="","",INDEX(Summary_FR!$A$3:$R$157,MATCH($C217,Summary_FR!$E$3:$E$157,0),MATCH(A$3,Summary_FR!$A$3:$R$3,0)))</f>
        <v/>
      </c>
      <c r="B217" s="86" t="str">
        <f>IF($C217="","",INDEX(Summary_FR!$A$3:$R$157,MATCH($C217,Summary_FR!$E$3:$E$157,0),MATCH(B$3,Summary_FR!$A$3:$R$3,0)))</f>
        <v/>
      </c>
      <c r="C217" s="86"/>
      <c r="D217" s="86"/>
      <c r="E217" s="86"/>
      <c r="F217" s="86"/>
      <c r="G217" s="86"/>
      <c r="H217" s="86"/>
      <c r="I217" s="86"/>
      <c r="J217" s="86"/>
      <c r="K217" s="86"/>
      <c r="L217" s="86"/>
      <c r="M217" s="86"/>
      <c r="N217" s="86"/>
    </row>
    <row r="218" spans="1:14" ht="14" x14ac:dyDescent="0.15">
      <c r="A218" s="86" t="str">
        <f>IF($C218="","",INDEX(Summary_FR!$A$3:$R$157,MATCH($C218,Summary_FR!$E$3:$E$157,0),MATCH(A$3,Summary_FR!$A$3:$R$3,0)))</f>
        <v/>
      </c>
      <c r="B218" s="86" t="str">
        <f>IF($C218="","",INDEX(Summary_FR!$A$3:$R$157,MATCH($C218,Summary_FR!$E$3:$E$157,0),MATCH(B$3,Summary_FR!$A$3:$R$3,0)))</f>
        <v/>
      </c>
      <c r="C218" s="86"/>
      <c r="D218" s="86"/>
      <c r="E218" s="86"/>
      <c r="F218" s="86"/>
      <c r="G218" s="86"/>
      <c r="H218" s="86"/>
      <c r="I218" s="86"/>
      <c r="J218" s="86"/>
      <c r="K218" s="86"/>
      <c r="L218" s="86"/>
      <c r="M218" s="86"/>
      <c r="N218" s="86"/>
    </row>
    <row r="219" spans="1:14" ht="14" x14ac:dyDescent="0.15">
      <c r="A219" s="86" t="str">
        <f>IF($C219="","",INDEX(Summary_FR!$A$3:$R$157,MATCH($C219,Summary_FR!$E$3:$E$157,0),MATCH(A$3,Summary_FR!$A$3:$R$3,0)))</f>
        <v/>
      </c>
      <c r="B219" s="86" t="str">
        <f>IF($C219="","",INDEX(Summary_FR!$A$3:$R$157,MATCH($C219,Summary_FR!$E$3:$E$157,0),MATCH(B$3,Summary_FR!$A$3:$R$3,0)))</f>
        <v/>
      </c>
      <c r="C219" s="86"/>
      <c r="D219" s="86"/>
      <c r="E219" s="86"/>
      <c r="F219" s="86"/>
      <c r="G219" s="86"/>
      <c r="H219" s="86"/>
      <c r="I219" s="86"/>
      <c r="J219" s="86"/>
      <c r="K219" s="86"/>
      <c r="L219" s="86"/>
      <c r="M219" s="86"/>
      <c r="N219" s="86"/>
    </row>
    <row r="220" spans="1:14" ht="14" x14ac:dyDescent="0.15">
      <c r="A220" s="86" t="str">
        <f>IF($C220="","",INDEX(Summary_FR!$A$3:$R$157,MATCH($C220,Summary_FR!$E$3:$E$157,0),MATCH(A$3,Summary_FR!$A$3:$R$3,0)))</f>
        <v/>
      </c>
      <c r="B220" s="86" t="str">
        <f>IF($C220="","",INDEX(Summary_FR!$A$3:$R$157,MATCH($C220,Summary_FR!$E$3:$E$157,0),MATCH(B$3,Summary_FR!$A$3:$R$3,0)))</f>
        <v/>
      </c>
      <c r="C220" s="86"/>
      <c r="D220" s="86"/>
      <c r="E220" s="86"/>
      <c r="F220" s="86"/>
      <c r="G220" s="86"/>
      <c r="H220" s="86"/>
      <c r="I220" s="86"/>
      <c r="J220" s="86"/>
      <c r="K220" s="86"/>
      <c r="L220" s="86"/>
      <c r="M220" s="86"/>
      <c r="N220" s="86"/>
    </row>
    <row r="221" spans="1:14" ht="14" x14ac:dyDescent="0.15">
      <c r="A221" s="86" t="str">
        <f>IF($C221="","",INDEX(Summary_FR!$A$3:$R$157,MATCH($C221,Summary_FR!$E$3:$E$157,0),MATCH(A$3,Summary_FR!$A$3:$R$3,0)))</f>
        <v/>
      </c>
      <c r="B221" s="86" t="str">
        <f>IF($C221="","",INDEX(Summary_FR!$A$3:$R$157,MATCH($C221,Summary_FR!$E$3:$E$157,0),MATCH(B$3,Summary_FR!$A$3:$R$3,0)))</f>
        <v/>
      </c>
      <c r="C221" s="86"/>
      <c r="D221" s="86"/>
      <c r="E221" s="86"/>
      <c r="F221" s="86"/>
      <c r="G221" s="86"/>
      <c r="H221" s="86"/>
      <c r="I221" s="86"/>
      <c r="J221" s="86"/>
      <c r="K221" s="86"/>
      <c r="L221" s="86"/>
      <c r="M221" s="86"/>
      <c r="N221" s="86"/>
    </row>
    <row r="222" spans="1:14" ht="14" x14ac:dyDescent="0.15">
      <c r="A222" s="86" t="str">
        <f>IF($C222="","",INDEX(Summary_FR!$A$3:$R$157,MATCH($C222,Summary_FR!$E$3:$E$157,0),MATCH(A$3,Summary_FR!$A$3:$R$3,0)))</f>
        <v/>
      </c>
      <c r="B222" s="86" t="str">
        <f>IF($C222="","",INDEX(Summary_FR!$A$3:$R$157,MATCH($C222,Summary_FR!$E$3:$E$157,0),MATCH(B$3,Summary_FR!$A$3:$R$3,0)))</f>
        <v/>
      </c>
      <c r="C222" s="86"/>
      <c r="D222" s="86"/>
      <c r="E222" s="86"/>
      <c r="F222" s="86"/>
      <c r="G222" s="86"/>
      <c r="H222" s="86"/>
      <c r="I222" s="86"/>
      <c r="J222" s="86"/>
      <c r="K222" s="86"/>
      <c r="L222" s="86"/>
      <c r="M222" s="86"/>
      <c r="N222" s="86"/>
    </row>
    <row r="223" spans="1:14" ht="14" x14ac:dyDescent="0.15">
      <c r="A223" s="86" t="str">
        <f>IF($C223="","",INDEX(Summary_FR!$A$3:$R$157,MATCH($C223,Summary_FR!$E$3:$E$157,0),MATCH(A$3,Summary_FR!$A$3:$R$3,0)))</f>
        <v/>
      </c>
      <c r="B223" s="86" t="str">
        <f>IF($C223="","",INDEX(Summary_FR!$A$3:$R$157,MATCH($C223,Summary_FR!$E$3:$E$157,0),MATCH(B$3,Summary_FR!$A$3:$R$3,0)))</f>
        <v/>
      </c>
      <c r="C223" s="86"/>
      <c r="D223" s="86"/>
      <c r="E223" s="86"/>
      <c r="F223" s="86"/>
      <c r="G223" s="86"/>
      <c r="H223" s="86"/>
      <c r="I223" s="86"/>
      <c r="J223" s="86"/>
      <c r="K223" s="86"/>
      <c r="L223" s="86"/>
      <c r="M223" s="86"/>
      <c r="N223" s="86"/>
    </row>
    <row r="224" spans="1:14" ht="14" x14ac:dyDescent="0.15">
      <c r="A224" s="86" t="str">
        <f>IF($C224="","",INDEX(Summary_FR!$A$3:$R$157,MATCH($C224,Summary_FR!$E$3:$E$157,0),MATCH(A$3,Summary_FR!$A$3:$R$3,0)))</f>
        <v/>
      </c>
      <c r="B224" s="86" t="str">
        <f>IF($C224="","",INDEX(Summary_FR!$A$3:$R$157,MATCH($C224,Summary_FR!$E$3:$E$157,0),MATCH(B$3,Summary_FR!$A$3:$R$3,0)))</f>
        <v/>
      </c>
      <c r="C224" s="86"/>
      <c r="D224" s="86"/>
      <c r="E224" s="86"/>
      <c r="F224" s="86"/>
      <c r="G224" s="86"/>
      <c r="H224" s="86"/>
      <c r="I224" s="86"/>
      <c r="J224" s="86"/>
      <c r="K224" s="86"/>
      <c r="L224" s="86"/>
      <c r="M224" s="86"/>
      <c r="N224" s="86"/>
    </row>
    <row r="225" spans="1:15" ht="14" x14ac:dyDescent="0.15">
      <c r="A225" s="86" t="str">
        <f>IF($C225="","",INDEX(Summary_FR!$A$3:$R$157,MATCH($C225,Summary_FR!$E$3:$E$157,0),MATCH(A$3,Summary_FR!$A$3:$R$3,0)))</f>
        <v/>
      </c>
      <c r="B225" s="86" t="str">
        <f>IF($C225="","",INDEX(Summary_FR!$A$3:$R$157,MATCH($C225,Summary_FR!$E$3:$E$157,0),MATCH(B$3,Summary_FR!$A$3:$R$3,0)))</f>
        <v/>
      </c>
      <c r="C225" s="86"/>
      <c r="D225" s="86"/>
      <c r="E225" s="86"/>
      <c r="F225" s="86"/>
      <c r="G225" s="86"/>
      <c r="H225" s="86"/>
      <c r="I225" s="86"/>
      <c r="J225" s="86"/>
      <c r="K225" s="86"/>
      <c r="L225" s="86"/>
      <c r="M225" s="86"/>
      <c r="N225" s="86"/>
    </row>
    <row r="226" spans="1:15" ht="14" x14ac:dyDescent="0.15">
      <c r="A226" s="86" t="str">
        <f>IF($C226="","",INDEX(Summary_FR!$A$3:$R$157,MATCH($C226,Summary_FR!$E$3:$E$157,0),MATCH(A$3,Summary_FR!$A$3:$R$3,0)))</f>
        <v/>
      </c>
      <c r="B226" s="86" t="str">
        <f>IF($C226="","",INDEX(Summary_FR!$A$3:$R$157,MATCH($C226,Summary_FR!$E$3:$E$157,0),MATCH(B$3,Summary_FR!$A$3:$R$3,0)))</f>
        <v/>
      </c>
      <c r="C226" s="86"/>
      <c r="D226" s="86"/>
      <c r="E226" s="86"/>
      <c r="F226" s="86"/>
      <c r="G226" s="86"/>
      <c r="H226" s="86"/>
      <c r="I226" s="86"/>
      <c r="J226" s="86"/>
      <c r="K226" s="86"/>
      <c r="L226" s="86"/>
      <c r="M226" s="86"/>
      <c r="N226" s="86"/>
    </row>
    <row r="227" spans="1:15" ht="14" x14ac:dyDescent="0.15">
      <c r="A227" s="86" t="str">
        <f>IF($C227="","",INDEX(Summary_FR!$A$3:$R$157,MATCH($C227,Summary_FR!$E$3:$E$157,0),MATCH(A$3,Summary_FR!$A$3:$R$3,0)))</f>
        <v/>
      </c>
      <c r="B227" s="86" t="str">
        <f>IF($C227="","",INDEX(Summary_FR!$A$3:$R$157,MATCH($C227,Summary_FR!$E$3:$E$157,0),MATCH(B$3,Summary_FR!$A$3:$R$3,0)))</f>
        <v/>
      </c>
      <c r="C227" s="86"/>
      <c r="D227" s="86"/>
      <c r="E227" s="86"/>
      <c r="F227" s="86"/>
      <c r="G227" s="86"/>
      <c r="H227" s="86"/>
      <c r="I227" s="86"/>
      <c r="J227" s="86"/>
      <c r="K227" s="86"/>
      <c r="L227" s="86"/>
      <c r="M227" s="86"/>
      <c r="N227" s="86"/>
    </row>
    <row r="228" spans="1:15" ht="14" x14ac:dyDescent="0.15">
      <c r="A228" s="86" t="str">
        <f>IF($C228="","",INDEX(Summary_FR!$A$3:$R$157,MATCH($C228,Summary_FR!$E$3:$E$157,0),MATCH(A$3,Summary_FR!$A$3:$R$3,0)))</f>
        <v/>
      </c>
      <c r="B228" s="86" t="str">
        <f>IF($C228="","",INDEX(Summary_FR!$A$3:$R$157,MATCH($C228,Summary_FR!$E$3:$E$157,0),MATCH(B$3,Summary_FR!$A$3:$R$3,0)))</f>
        <v/>
      </c>
      <c r="C228" s="86"/>
      <c r="D228" s="86"/>
      <c r="E228" s="86"/>
      <c r="F228" s="86"/>
      <c r="G228" s="86"/>
      <c r="H228" s="86"/>
      <c r="I228" s="86"/>
      <c r="J228" s="86"/>
      <c r="K228" s="86"/>
      <c r="L228" s="86"/>
      <c r="M228" s="86"/>
      <c r="N228" s="86"/>
    </row>
    <row r="229" spans="1:15" ht="14" x14ac:dyDescent="0.15">
      <c r="A229" s="86" t="str">
        <f>IF($C229="","",INDEX(Summary_FR!$A$3:$R$157,MATCH($C229,Summary_FR!$E$3:$E$157,0),MATCH(A$3,Summary_FR!$A$3:$R$3,0)))</f>
        <v/>
      </c>
      <c r="B229" s="86" t="str">
        <f>IF($C229="","",INDEX(Summary_FR!$A$3:$R$157,MATCH($C229,Summary_FR!$E$3:$E$157,0),MATCH(B$3,Summary_FR!$A$3:$R$3,0)))</f>
        <v/>
      </c>
      <c r="C229" s="86"/>
      <c r="D229" s="86"/>
      <c r="E229" s="86"/>
      <c r="F229" s="86"/>
      <c r="G229" s="86"/>
      <c r="H229" s="86"/>
      <c r="I229" s="86"/>
      <c r="J229" s="86"/>
      <c r="K229" s="86"/>
      <c r="L229" s="86"/>
      <c r="M229" s="86"/>
      <c r="N229" s="86"/>
    </row>
    <row r="230" spans="1:15" ht="14" x14ac:dyDescent="0.15">
      <c r="A230" s="86" t="str">
        <f>IF($C230="","",INDEX(Summary_FR!$A$3:$R$157,MATCH($C230,Summary_FR!$E$3:$E$157,0),MATCH(A$3,Summary_FR!$A$3:$R$3,0)))</f>
        <v/>
      </c>
      <c r="B230" s="86" t="str">
        <f>IF($C230="","",INDEX(Summary_FR!$A$3:$R$157,MATCH($C230,Summary_FR!$E$3:$E$157,0),MATCH(B$3,Summary_FR!$A$3:$R$3,0)))</f>
        <v/>
      </c>
      <c r="C230" s="86"/>
      <c r="D230" s="86"/>
      <c r="E230" s="86"/>
      <c r="F230" s="86"/>
      <c r="G230" s="86"/>
      <c r="H230" s="86"/>
      <c r="I230" s="86"/>
      <c r="J230" s="86"/>
      <c r="K230" s="86"/>
      <c r="L230" s="86"/>
      <c r="M230" s="86"/>
      <c r="N230" s="86"/>
    </row>
    <row r="231" spans="1:15" ht="14" x14ac:dyDescent="0.15">
      <c r="A231" s="86" t="str">
        <f>IF($C231="","",INDEX(Summary_FR!$A$3:$R$157,MATCH($C231,Summary_FR!$E$3:$E$157,0),MATCH(A$3,Summary_FR!$A$3:$R$3,0)))</f>
        <v/>
      </c>
      <c r="B231" s="86" t="str">
        <f>IF($C231="","",INDEX(Summary_FR!$A$3:$R$157,MATCH($C231,Summary_FR!$E$3:$E$157,0),MATCH(B$3,Summary_FR!$A$3:$R$3,0)))</f>
        <v/>
      </c>
      <c r="C231" s="86"/>
      <c r="D231" s="86"/>
      <c r="E231" s="86"/>
      <c r="F231" s="86"/>
      <c r="G231" s="86"/>
      <c r="H231" s="86"/>
      <c r="I231" s="86"/>
      <c r="J231" s="86"/>
      <c r="K231" s="86"/>
      <c r="L231" s="86"/>
      <c r="M231" s="86"/>
      <c r="N231" s="86"/>
    </row>
    <row r="232" spans="1:15" ht="14" x14ac:dyDescent="0.2">
      <c r="A232" s="86" t="str">
        <f>IF($C232="","",INDEX(Summary_FR!$A$3:$R$157,MATCH($C232,Summary_FR!$E$3:$E$157,0),MATCH(A$3,Summary_FR!$A$3:$R$3,0)))</f>
        <v/>
      </c>
      <c r="B232" s="86" t="str">
        <f>IF($C232="","",INDEX(Summary_FR!$A$3:$R$157,MATCH($C232,Summary_FR!$E$3:$E$157,0),MATCH(B$3,Summary_FR!$A$3:$R$3,0)))</f>
        <v/>
      </c>
      <c r="C232" s="86"/>
      <c r="D232" s="86"/>
      <c r="E232" s="86"/>
      <c r="F232" s="86"/>
      <c r="G232" s="96"/>
      <c r="H232" s="86"/>
      <c r="I232" s="86"/>
      <c r="J232" s="86"/>
      <c r="K232" s="86"/>
      <c r="L232" s="96"/>
      <c r="M232" s="96"/>
      <c r="N232" s="96"/>
      <c r="O232" s="97"/>
    </row>
    <row r="233" spans="1:15" ht="14" x14ac:dyDescent="0.15">
      <c r="A233" s="86" t="str">
        <f>IF($C233="","",INDEX(Summary_FR!$A$3:$R$157,MATCH($C233,Summary_FR!$E$3:$E$157,0),MATCH(A$3,Summary_FR!$A$3:$R$3,0)))</f>
        <v/>
      </c>
      <c r="B233" s="86" t="str">
        <f>IF($C233="","",INDEX(Summary_FR!$A$3:$R$157,MATCH($C233,Summary_FR!$E$3:$E$157,0),MATCH(B$3,Summary_FR!$A$3:$R$3,0)))</f>
        <v/>
      </c>
      <c r="C233" s="86"/>
      <c r="D233" s="86"/>
      <c r="E233" s="86"/>
      <c r="F233" s="86"/>
      <c r="G233" s="86"/>
      <c r="H233" s="86"/>
      <c r="I233" s="86"/>
      <c r="J233" s="86"/>
      <c r="K233" s="86"/>
      <c r="L233" s="86"/>
      <c r="M233" s="86"/>
      <c r="N233" s="86"/>
    </row>
    <row r="234" spans="1:15" ht="14" x14ac:dyDescent="0.15">
      <c r="A234" s="86" t="str">
        <f>IF($C234="","",INDEX(Summary_FR!$A$3:$R$157,MATCH($C234,Summary_FR!$E$3:$E$157,0),MATCH(A$3,Summary_FR!$A$3:$R$3,0)))</f>
        <v/>
      </c>
      <c r="B234" s="86" t="str">
        <f>IF($C234="","",INDEX(Summary_FR!$A$3:$R$157,MATCH($C234,Summary_FR!$E$3:$E$157,0),MATCH(B$3,Summary_FR!$A$3:$R$3,0)))</f>
        <v/>
      </c>
      <c r="C234" s="86"/>
      <c r="D234" s="86"/>
      <c r="E234" s="86"/>
      <c r="F234" s="86"/>
      <c r="G234" s="86"/>
      <c r="H234" s="86"/>
      <c r="I234" s="86"/>
      <c r="J234" s="86"/>
      <c r="K234" s="86"/>
      <c r="L234" s="86"/>
      <c r="M234" s="86"/>
      <c r="N234" s="86"/>
    </row>
    <row r="235" spans="1:15" ht="14" x14ac:dyDescent="0.15">
      <c r="A235" s="86" t="str">
        <f>IF($C235="","",INDEX(Summary_FR!$A$3:$R$157,MATCH($C235,Summary_FR!$E$3:$E$157,0),MATCH(A$3,Summary_FR!$A$3:$R$3,0)))</f>
        <v/>
      </c>
      <c r="B235" s="86" t="str">
        <f>IF($C235="","",INDEX(Summary_FR!$A$3:$R$157,MATCH($C235,Summary_FR!$E$3:$E$157,0),MATCH(B$3,Summary_FR!$A$3:$R$3,0)))</f>
        <v/>
      </c>
      <c r="C235" s="86"/>
      <c r="D235" s="86"/>
      <c r="E235" s="86"/>
      <c r="F235" s="86"/>
      <c r="G235" s="86"/>
      <c r="H235" s="86"/>
      <c r="I235" s="86"/>
      <c r="J235" s="86"/>
      <c r="K235" s="86"/>
      <c r="L235" s="86"/>
      <c r="M235" s="86"/>
      <c r="N235" s="86"/>
    </row>
    <row r="236" spans="1:15" ht="14" x14ac:dyDescent="0.15">
      <c r="A236" s="86" t="str">
        <f>IF($C236="","",INDEX(Summary_FR!$A$3:$R$157,MATCH($C236,Summary_FR!$E$3:$E$157,0),MATCH(A$3,Summary_FR!$A$3:$R$3,0)))</f>
        <v/>
      </c>
      <c r="B236" s="86" t="str">
        <f>IF($C236="","",INDEX(Summary_FR!$A$3:$R$157,MATCH($C236,Summary_FR!$E$3:$E$157,0),MATCH(B$3,Summary_FR!$A$3:$R$3,0)))</f>
        <v/>
      </c>
      <c r="C236" s="86"/>
      <c r="D236" s="86"/>
      <c r="E236" s="86"/>
      <c r="F236" s="86"/>
      <c r="G236" s="86"/>
      <c r="H236" s="86"/>
      <c r="I236" s="86"/>
      <c r="J236" s="86"/>
      <c r="K236" s="86"/>
      <c r="L236" s="86"/>
      <c r="M236" s="86"/>
      <c r="N236" s="86"/>
    </row>
    <row r="237" spans="1:15" ht="14" x14ac:dyDescent="0.15">
      <c r="A237" s="86" t="str">
        <f>IF($C237="","",INDEX(Summary_FR!$A$3:$R$157,MATCH($C237,Summary_FR!$E$3:$E$157,0),MATCH(A$3,Summary_FR!$A$3:$R$3,0)))</f>
        <v/>
      </c>
      <c r="B237" s="86" t="str">
        <f>IF($C237="","",INDEX(Summary_FR!$A$3:$R$157,MATCH($C237,Summary_FR!$E$3:$E$157,0),MATCH(B$3,Summary_FR!$A$3:$R$3,0)))</f>
        <v/>
      </c>
      <c r="C237" s="86"/>
      <c r="D237" s="86"/>
      <c r="E237" s="86"/>
      <c r="F237" s="86"/>
      <c r="G237" s="86"/>
      <c r="H237" s="86"/>
      <c r="I237" s="86"/>
      <c r="J237" s="86"/>
      <c r="K237" s="86"/>
      <c r="L237" s="86"/>
      <c r="M237" s="86"/>
      <c r="N237" s="86"/>
    </row>
    <row r="238" spans="1:15" ht="14" x14ac:dyDescent="0.15">
      <c r="A238" s="86" t="str">
        <f>IF($C238="","",INDEX(Summary_FR!$A$3:$R$157,MATCH($C238,Summary_FR!$E$3:$E$157,0),MATCH(A$3,Summary_FR!$A$3:$R$3,0)))</f>
        <v/>
      </c>
      <c r="B238" s="86" t="str">
        <f>IF($C238="","",INDEX(Summary_FR!$A$3:$R$157,MATCH($C238,Summary_FR!$E$3:$E$157,0),MATCH(B$3,Summary_FR!$A$3:$R$3,0)))</f>
        <v/>
      </c>
      <c r="C238" s="86"/>
      <c r="D238" s="86"/>
      <c r="E238" s="86"/>
      <c r="F238" s="86"/>
      <c r="G238" s="86"/>
      <c r="H238" s="86"/>
      <c r="I238" s="86"/>
      <c r="J238" s="86"/>
      <c r="K238" s="86"/>
      <c r="L238" s="86"/>
      <c r="M238" s="86"/>
      <c r="N238" s="86"/>
    </row>
    <row r="239" spans="1:15" ht="14" x14ac:dyDescent="0.15">
      <c r="A239" s="86" t="str">
        <f>IF($C239="","",INDEX(Summary_FR!$A$3:$R$157,MATCH($C239,Summary_FR!$E$3:$E$157,0),MATCH(A$3,Summary_FR!$A$3:$R$3,0)))</f>
        <v/>
      </c>
      <c r="B239" s="86" t="str">
        <f>IF($C239="","",INDEX(Summary_FR!$A$3:$R$157,MATCH($C239,Summary_FR!$E$3:$E$157,0),MATCH(B$3,Summary_FR!$A$3:$R$3,0)))</f>
        <v/>
      </c>
      <c r="C239" s="86"/>
      <c r="D239" s="86"/>
      <c r="E239" s="86"/>
      <c r="F239" s="86"/>
      <c r="G239" s="86"/>
      <c r="H239" s="86"/>
      <c r="I239" s="86"/>
      <c r="J239" s="86"/>
      <c r="K239" s="86"/>
      <c r="L239" s="86"/>
      <c r="M239" s="86"/>
      <c r="N239" s="86"/>
    </row>
    <row r="240" spans="1:15" ht="14" x14ac:dyDescent="0.15">
      <c r="A240" s="86" t="str">
        <f>IF($C240="","",INDEX(Summary_FR!$A$3:$R$157,MATCH($C240,Summary_FR!$E$3:$E$157,0),MATCH(A$3,Summary_FR!$A$3:$R$3,0)))</f>
        <v/>
      </c>
      <c r="B240" s="86" t="str">
        <f>IF($C240="","",INDEX(Summary_FR!$A$3:$R$157,MATCH($C240,Summary_FR!$E$3:$E$157,0),MATCH(B$3,Summary_FR!$A$3:$R$3,0)))</f>
        <v/>
      </c>
      <c r="C240" s="86"/>
      <c r="D240" s="86"/>
      <c r="E240" s="86"/>
      <c r="F240" s="86"/>
      <c r="G240" s="86"/>
      <c r="H240" s="86"/>
      <c r="I240" s="86"/>
      <c r="J240" s="86"/>
      <c r="K240" s="86"/>
      <c r="L240" s="86"/>
      <c r="M240" s="86"/>
      <c r="N240" s="86"/>
    </row>
    <row r="241" spans="1:14" ht="14" x14ac:dyDescent="0.15">
      <c r="A241" s="86" t="str">
        <f>IF($C241="","",INDEX(Summary_FR!$A$3:$R$157,MATCH($C241,Summary_FR!$E$3:$E$157,0),MATCH(A$3,Summary_FR!$A$3:$R$3,0)))</f>
        <v/>
      </c>
      <c r="B241" s="86" t="str">
        <f>IF($C241="","",INDEX(Summary_FR!$A$3:$R$157,MATCH($C241,Summary_FR!$E$3:$E$157,0),MATCH(B$3,Summary_FR!$A$3:$R$3,0)))</f>
        <v/>
      </c>
      <c r="C241" s="86"/>
      <c r="D241" s="86"/>
      <c r="E241" s="86"/>
      <c r="F241" s="86"/>
      <c r="G241" s="86"/>
      <c r="H241" s="86"/>
      <c r="I241" s="86"/>
      <c r="J241" s="86"/>
      <c r="K241" s="86"/>
      <c r="L241" s="86"/>
      <c r="M241" s="86"/>
      <c r="N241" s="86"/>
    </row>
    <row r="242" spans="1:14" ht="14" x14ac:dyDescent="0.15">
      <c r="A242" s="86" t="str">
        <f>IF($C242="","",INDEX(Summary_FR!$A$3:$R$157,MATCH($C242,Summary_FR!$E$3:$E$157,0),MATCH(A$3,Summary_FR!$A$3:$R$3,0)))</f>
        <v/>
      </c>
      <c r="B242" s="86" t="str">
        <f>IF($C242="","",INDEX(Summary_FR!$A$3:$R$157,MATCH($C242,Summary_FR!$E$3:$E$157,0),MATCH(B$3,Summary_FR!$A$3:$R$3,0)))</f>
        <v/>
      </c>
      <c r="C242" s="86"/>
      <c r="D242" s="86"/>
      <c r="E242" s="86"/>
      <c r="F242" s="86"/>
      <c r="G242" s="86"/>
      <c r="H242" s="86"/>
      <c r="I242" s="86"/>
      <c r="J242" s="86"/>
      <c r="K242" s="86"/>
      <c r="L242" s="86"/>
      <c r="M242" s="86"/>
      <c r="N242" s="86"/>
    </row>
    <row r="243" spans="1:14" ht="14" x14ac:dyDescent="0.15">
      <c r="A243" s="86" t="str">
        <f>IF($C243="","",INDEX(Summary_FR!$A$3:$R$157,MATCH($C243,Summary_FR!$E$3:$E$157,0),MATCH(A$3,Summary_FR!$A$3:$R$3,0)))</f>
        <v/>
      </c>
      <c r="B243" s="86" t="str">
        <f>IF($C243="","",INDEX(Summary_FR!$A$3:$R$157,MATCH($C243,Summary_FR!$E$3:$E$157,0),MATCH(B$3,Summary_FR!$A$3:$R$3,0)))</f>
        <v/>
      </c>
      <c r="C243" s="86"/>
      <c r="D243" s="86"/>
      <c r="E243" s="86"/>
      <c r="F243" s="86"/>
      <c r="G243" s="86"/>
      <c r="H243" s="86"/>
      <c r="I243" s="86"/>
      <c r="J243" s="86"/>
      <c r="K243" s="86"/>
      <c r="L243" s="86"/>
      <c r="M243" s="86"/>
      <c r="N243" s="86"/>
    </row>
    <row r="244" spans="1:14" ht="14" x14ac:dyDescent="0.15">
      <c r="A244" s="86" t="str">
        <f>IF($C244="","",INDEX(Summary_FR!$A$3:$R$157,MATCH($C244,Summary_FR!$E$3:$E$157,0),MATCH(A$3,Summary_FR!$A$3:$R$3,0)))</f>
        <v/>
      </c>
      <c r="B244" s="86" t="str">
        <f>IF($C244="","",INDEX(Summary_FR!$A$3:$R$157,MATCH($C244,Summary_FR!$E$3:$E$157,0),MATCH(B$3,Summary_FR!$A$3:$R$3,0)))</f>
        <v/>
      </c>
      <c r="C244" s="86"/>
      <c r="D244" s="86"/>
      <c r="E244" s="86"/>
      <c r="F244" s="86"/>
      <c r="G244" s="86"/>
      <c r="H244" s="86"/>
      <c r="I244" s="86"/>
      <c r="J244" s="86"/>
      <c r="K244" s="86"/>
      <c r="L244" s="86"/>
      <c r="M244" s="86"/>
      <c r="N244" s="86"/>
    </row>
    <row r="245" spans="1:14" ht="14" x14ac:dyDescent="0.15">
      <c r="A245" s="86" t="str">
        <f>IF($C245="","",INDEX(Summary_FR!$A$3:$R$157,MATCH($C245,Summary_FR!$E$3:$E$157,0),MATCH(A$3,Summary_FR!$A$3:$R$3,0)))</f>
        <v/>
      </c>
      <c r="B245" s="86" t="str">
        <f>IF($C245="","",INDEX(Summary_FR!$A$3:$R$157,MATCH($C245,Summary_FR!$E$3:$E$157,0),MATCH(B$3,Summary_FR!$A$3:$R$3,0)))</f>
        <v/>
      </c>
      <c r="C245" s="86"/>
      <c r="D245" s="86"/>
      <c r="E245" s="86"/>
      <c r="F245" s="86"/>
      <c r="G245" s="86"/>
      <c r="H245" s="86"/>
      <c r="I245" s="86"/>
      <c r="J245" s="86"/>
      <c r="K245" s="86"/>
      <c r="L245" s="86"/>
      <c r="M245" s="86"/>
      <c r="N245" s="86"/>
    </row>
    <row r="246" spans="1:14" ht="14" x14ac:dyDescent="0.15">
      <c r="A246" s="86" t="str">
        <f>IF($C246="","",INDEX(Summary_FR!$A$3:$R$157,MATCH($C246,Summary_FR!$E$3:$E$157,0),MATCH(A$3,Summary_FR!$A$3:$R$3,0)))</f>
        <v/>
      </c>
      <c r="B246" s="86" t="str">
        <f>IF($C246="","",INDEX(Summary_FR!$A$3:$R$157,MATCH($C246,Summary_FR!$E$3:$E$157,0),MATCH(B$3,Summary_FR!$A$3:$R$3,0)))</f>
        <v/>
      </c>
      <c r="C246" s="86"/>
      <c r="D246" s="86"/>
      <c r="E246" s="86"/>
      <c r="F246" s="86"/>
      <c r="G246" s="86"/>
      <c r="H246" s="86"/>
      <c r="I246" s="86"/>
      <c r="J246" s="86"/>
      <c r="K246" s="86"/>
      <c r="L246" s="86"/>
      <c r="M246" s="86"/>
      <c r="N246" s="86"/>
    </row>
    <row r="247" spans="1:14" ht="14" x14ac:dyDescent="0.15">
      <c r="A247" s="86" t="str">
        <f>IF($C247="","",INDEX(Summary_FR!$A$3:$R$157,MATCH($C247,Summary_FR!$E$3:$E$157,0),MATCH(A$3,Summary_FR!$A$3:$R$3,0)))</f>
        <v/>
      </c>
      <c r="B247" s="86" t="str">
        <f>IF($C247="","",INDEX(Summary_FR!$A$3:$R$157,MATCH($C247,Summary_FR!$E$3:$E$157,0),MATCH(B$3,Summary_FR!$A$3:$R$3,0)))</f>
        <v/>
      </c>
      <c r="C247" s="86"/>
      <c r="D247" s="86"/>
      <c r="E247" s="86"/>
      <c r="F247" s="86"/>
      <c r="G247" s="86"/>
      <c r="H247" s="86"/>
      <c r="I247" s="86"/>
      <c r="J247" s="86"/>
      <c r="K247" s="86"/>
      <c r="L247" s="86"/>
      <c r="M247" s="86"/>
      <c r="N247" s="86"/>
    </row>
    <row r="248" spans="1:14" ht="14" x14ac:dyDescent="0.15">
      <c r="A248" s="86" t="str">
        <f>IF($C248="","",INDEX(Summary_FR!$A$3:$R$157,MATCH($C248,Summary_FR!$E$3:$E$157,0),MATCH(A$3,Summary_FR!$A$3:$R$3,0)))</f>
        <v/>
      </c>
      <c r="B248" s="86" t="str">
        <f>IF($C248="","",INDEX(Summary_FR!$A$3:$R$157,MATCH($C248,Summary_FR!$E$3:$E$157,0),MATCH(B$3,Summary_FR!$A$3:$R$3,0)))</f>
        <v/>
      </c>
      <c r="C248" s="86"/>
      <c r="D248" s="86"/>
      <c r="E248" s="86"/>
      <c r="F248" s="86"/>
      <c r="G248" s="86"/>
      <c r="H248" s="86"/>
      <c r="I248" s="86"/>
      <c r="J248" s="86"/>
      <c r="K248" s="86"/>
      <c r="L248" s="86"/>
      <c r="M248" s="86"/>
      <c r="N248" s="86"/>
    </row>
    <row r="249" spans="1:14" ht="14" x14ac:dyDescent="0.15">
      <c r="A249" s="86" t="str">
        <f>IF($C249="","",INDEX(Summary_FR!$A$3:$R$157,MATCH($C249,Summary_FR!$E$3:$E$157,0),MATCH(A$3,Summary_FR!$A$3:$R$3,0)))</f>
        <v/>
      </c>
      <c r="B249" s="86" t="str">
        <f>IF($C249="","",INDEX(Summary_FR!$A$3:$R$157,MATCH($C249,Summary_FR!$E$3:$E$157,0),MATCH(B$3,Summary_FR!$A$3:$R$3,0)))</f>
        <v/>
      </c>
      <c r="C249" s="86"/>
      <c r="D249" s="86"/>
      <c r="E249" s="86"/>
      <c r="F249" s="86"/>
      <c r="G249" s="86"/>
      <c r="H249" s="86"/>
      <c r="I249" s="86"/>
      <c r="J249" s="86"/>
      <c r="K249" s="86"/>
      <c r="L249" s="86"/>
      <c r="M249" s="86"/>
      <c r="N249" s="86"/>
    </row>
    <row r="250" spans="1:14" ht="14" x14ac:dyDescent="0.15">
      <c r="A250" s="86" t="str">
        <f>IF($C250="","",INDEX(Summary_FR!$A$3:$R$157,MATCH($C250,Summary_FR!$E$3:$E$157,0),MATCH(A$3,Summary_FR!$A$3:$R$3,0)))</f>
        <v/>
      </c>
      <c r="B250" s="86" t="str">
        <f>IF($C250="","",INDEX(Summary_FR!$A$3:$R$157,MATCH($C250,Summary_FR!$E$3:$E$157,0),MATCH(B$3,Summary_FR!$A$3:$R$3,0)))</f>
        <v/>
      </c>
      <c r="C250" s="86"/>
      <c r="D250" s="86"/>
      <c r="E250" s="86"/>
      <c r="F250" s="86"/>
      <c r="G250" s="86"/>
      <c r="H250" s="86"/>
      <c r="I250" s="86"/>
      <c r="J250" s="86"/>
      <c r="K250" s="86"/>
      <c r="L250" s="86"/>
      <c r="M250" s="86"/>
      <c r="N250" s="86"/>
    </row>
    <row r="251" spans="1:14" ht="14" x14ac:dyDescent="0.15">
      <c r="A251" s="86" t="str">
        <f>IF($C251="","",INDEX(Summary_FR!$A$3:$R$157,MATCH($C251,Summary_FR!$E$3:$E$157,0),MATCH(A$3,Summary_FR!$A$3:$R$3,0)))</f>
        <v/>
      </c>
      <c r="B251" s="86" t="str">
        <f>IF($C251="","",INDEX(Summary_FR!$A$3:$R$157,MATCH($C251,Summary_FR!$E$3:$E$157,0),MATCH(B$3,Summary_FR!$A$3:$R$3,0)))</f>
        <v/>
      </c>
      <c r="C251" s="86"/>
      <c r="D251" s="86"/>
      <c r="E251" s="86"/>
      <c r="F251" s="86"/>
      <c r="G251" s="86"/>
      <c r="H251" s="86"/>
      <c r="I251" s="86"/>
      <c r="J251" s="86"/>
      <c r="K251" s="86"/>
      <c r="L251" s="86"/>
      <c r="M251" s="86"/>
      <c r="N251" s="86"/>
    </row>
    <row r="252" spans="1:14" ht="14" x14ac:dyDescent="0.15">
      <c r="A252" s="86" t="str">
        <f>IF($C252="","",INDEX(Summary_FR!$A$3:$R$157,MATCH($C252,Summary_FR!$E$3:$E$157,0),MATCH(A$3,Summary_FR!$A$3:$R$3,0)))</f>
        <v/>
      </c>
      <c r="B252" s="86" t="str">
        <f>IF($C252="","",INDEX(Summary_FR!$A$3:$R$157,MATCH($C252,Summary_FR!$E$3:$E$157,0),MATCH(B$3,Summary_FR!$A$3:$R$3,0)))</f>
        <v/>
      </c>
      <c r="C252" s="86"/>
      <c r="D252" s="86"/>
      <c r="E252" s="86"/>
      <c r="F252" s="86"/>
      <c r="G252" s="86"/>
      <c r="H252" s="86"/>
      <c r="I252" s="86"/>
      <c r="J252" s="86"/>
      <c r="K252" s="86"/>
      <c r="L252" s="86"/>
      <c r="M252" s="86"/>
      <c r="N252" s="86"/>
    </row>
    <row r="253" spans="1:14" ht="14" x14ac:dyDescent="0.15">
      <c r="A253" s="86" t="str">
        <f>IF($C253="","",INDEX(Summary_FR!$A$3:$R$157,MATCH($C253,Summary_FR!$E$3:$E$157,0),MATCH(A$3,Summary_FR!$A$3:$R$3,0)))</f>
        <v/>
      </c>
      <c r="B253" s="86" t="str">
        <f>IF($C253="","",INDEX(Summary_FR!$A$3:$R$157,MATCH($C253,Summary_FR!$E$3:$E$157,0),MATCH(B$3,Summary_FR!$A$3:$R$3,0)))</f>
        <v/>
      </c>
      <c r="C253" s="86"/>
      <c r="D253" s="86"/>
      <c r="E253" s="86"/>
      <c r="F253" s="86"/>
      <c r="G253" s="86"/>
      <c r="H253" s="86"/>
      <c r="I253" s="86"/>
      <c r="J253" s="86"/>
      <c r="K253" s="86"/>
      <c r="L253" s="86"/>
      <c r="M253" s="86"/>
      <c r="N253" s="86"/>
    </row>
    <row r="254" spans="1:14" ht="14" x14ac:dyDescent="0.15">
      <c r="A254" s="86" t="str">
        <f>IF($C254="","",INDEX(Summary_FR!$A$3:$R$157,MATCH($C254,Summary_FR!$E$3:$E$157,0),MATCH(A$3,Summary_FR!$A$3:$R$3,0)))</f>
        <v/>
      </c>
      <c r="B254" s="86" t="str">
        <f>IF($C254="","",INDEX(Summary_FR!$A$3:$R$157,MATCH($C254,Summary_FR!$E$3:$E$157,0),MATCH(B$3,Summary_FR!$A$3:$R$3,0)))</f>
        <v/>
      </c>
      <c r="C254" s="86"/>
      <c r="D254" s="86"/>
      <c r="E254" s="86"/>
      <c r="F254" s="86"/>
      <c r="G254" s="86"/>
      <c r="H254" s="86"/>
      <c r="I254" s="86"/>
      <c r="J254" s="86"/>
      <c r="K254" s="86"/>
      <c r="L254" s="86"/>
      <c r="M254" s="86"/>
      <c r="N254" s="86"/>
    </row>
    <row r="255" spans="1:14" ht="14" x14ac:dyDescent="0.15">
      <c r="A255" s="86" t="str">
        <f>IF($C255="","",INDEX(Summary_FR!$A$3:$R$157,MATCH($C255,Summary_FR!$E$3:$E$157,0),MATCH(A$3,Summary_FR!$A$3:$R$3,0)))</f>
        <v/>
      </c>
      <c r="B255" s="86" t="str">
        <f>IF($C255="","",INDEX(Summary_FR!$A$3:$R$157,MATCH($C255,Summary_FR!$E$3:$E$157,0),MATCH(B$3,Summary_FR!$A$3:$R$3,0)))</f>
        <v/>
      </c>
      <c r="C255" s="86"/>
      <c r="D255" s="86"/>
      <c r="E255" s="86"/>
      <c r="F255" s="86"/>
      <c r="G255" s="86"/>
      <c r="H255" s="86"/>
      <c r="I255" s="86"/>
      <c r="J255" s="86"/>
      <c r="K255" s="86"/>
      <c r="L255" s="86"/>
      <c r="M255" s="86"/>
      <c r="N255" s="86"/>
    </row>
    <row r="256" spans="1:14" ht="14" x14ac:dyDescent="0.15">
      <c r="A256" s="86" t="str">
        <f>IF($C256="","",INDEX(Summary_FR!$A$3:$R$157,MATCH($C256,Summary_FR!$E$3:$E$157,0),MATCH(A$3,Summary_FR!$A$3:$R$3,0)))</f>
        <v/>
      </c>
      <c r="B256" s="86" t="str">
        <f>IF($C256="","",INDEX(Summary_FR!$A$3:$R$157,MATCH($C256,Summary_FR!$E$3:$E$157,0),MATCH(B$3,Summary_FR!$A$3:$R$3,0)))</f>
        <v/>
      </c>
      <c r="C256" s="86"/>
      <c r="D256" s="86"/>
      <c r="E256" s="86"/>
      <c r="F256" s="86"/>
      <c r="G256" s="86"/>
      <c r="H256" s="86"/>
      <c r="I256" s="86"/>
      <c r="J256" s="86"/>
      <c r="K256" s="86"/>
      <c r="L256" s="86"/>
      <c r="M256" s="86"/>
      <c r="N256" s="86"/>
    </row>
    <row r="257" spans="1:14" ht="14" x14ac:dyDescent="0.15">
      <c r="A257" s="86" t="str">
        <f>IF($C257="","",INDEX(Summary_FR!$A$3:$R$157,MATCH($C257,Summary_FR!$E$3:$E$157,0),MATCH(A$3,Summary_FR!$A$3:$R$3,0)))</f>
        <v/>
      </c>
      <c r="B257" s="86" t="str">
        <f>IF($C257="","",INDEX(Summary_FR!$A$3:$R$157,MATCH($C257,Summary_FR!$E$3:$E$157,0),MATCH(B$3,Summary_FR!$A$3:$R$3,0)))</f>
        <v/>
      </c>
      <c r="C257" s="86"/>
      <c r="D257" s="86"/>
      <c r="E257" s="86"/>
      <c r="F257" s="86"/>
      <c r="G257" s="86"/>
      <c r="H257" s="86"/>
      <c r="I257" s="86"/>
      <c r="J257" s="86"/>
      <c r="K257" s="86"/>
      <c r="L257" s="86"/>
      <c r="M257" s="86"/>
      <c r="N257" s="86"/>
    </row>
    <row r="258" spans="1:14" ht="14" x14ac:dyDescent="0.15">
      <c r="A258" s="86" t="str">
        <f>IF($C258="","",INDEX(Summary_FR!$A$3:$R$157,MATCH($C258,Summary_FR!$E$3:$E$157,0),MATCH(A$3,Summary_FR!$A$3:$R$3,0)))</f>
        <v/>
      </c>
      <c r="B258" s="86" t="str">
        <f>IF($C258="","",INDEX(Summary_FR!$A$3:$R$157,MATCH($C258,Summary_FR!$E$3:$E$157,0),MATCH(B$3,Summary_FR!$A$3:$R$3,0)))</f>
        <v/>
      </c>
      <c r="C258" s="86"/>
      <c r="D258" s="86"/>
      <c r="E258" s="86"/>
      <c r="F258" s="86"/>
      <c r="G258" s="86"/>
      <c r="H258" s="86"/>
      <c r="I258" s="86"/>
      <c r="J258" s="86"/>
      <c r="K258" s="86"/>
      <c r="L258" s="86"/>
      <c r="M258" s="86"/>
      <c r="N258" s="86"/>
    </row>
    <row r="259" spans="1:14" ht="14" x14ac:dyDescent="0.15">
      <c r="A259" s="86" t="str">
        <f>IF($C259="","",INDEX(Summary_FR!$A$3:$R$157,MATCH($C259,Summary_FR!$E$3:$E$157,0),MATCH(A$3,Summary_FR!$A$3:$R$3,0)))</f>
        <v/>
      </c>
      <c r="B259" s="86" t="str">
        <f>IF($C259="","",INDEX(Summary_FR!$A$3:$R$157,MATCH($C259,Summary_FR!$E$3:$E$157,0),MATCH(B$3,Summary_FR!$A$3:$R$3,0)))</f>
        <v/>
      </c>
      <c r="C259" s="86"/>
      <c r="D259" s="86"/>
      <c r="E259" s="86"/>
      <c r="F259" s="86"/>
      <c r="G259" s="86"/>
      <c r="H259" s="86"/>
      <c r="I259" s="86"/>
      <c r="J259" s="86"/>
      <c r="K259" s="86"/>
      <c r="L259" s="86"/>
      <c r="M259" s="86"/>
      <c r="N259" s="86"/>
    </row>
    <row r="260" spans="1:14" ht="14" x14ac:dyDescent="0.15">
      <c r="A260" s="86" t="str">
        <f>IF($C260="","",INDEX(Summary_FR!$A$3:$R$157,MATCH($C260,Summary_FR!$E$3:$E$157,0),MATCH(A$3,Summary_FR!$A$3:$R$3,0)))</f>
        <v/>
      </c>
      <c r="B260" s="86" t="str">
        <f>IF($C260="","",INDEX(Summary_FR!$A$3:$R$157,MATCH($C260,Summary_FR!$E$3:$E$157,0),MATCH(B$3,Summary_FR!$A$3:$R$3,0)))</f>
        <v/>
      </c>
      <c r="C260" s="86"/>
      <c r="D260" s="86"/>
      <c r="E260" s="86"/>
      <c r="F260" s="86"/>
      <c r="G260" s="86"/>
      <c r="H260" s="86"/>
      <c r="I260" s="86"/>
      <c r="J260" s="86"/>
      <c r="K260" s="86"/>
      <c r="L260" s="86"/>
      <c r="M260" s="86"/>
      <c r="N260" s="86"/>
    </row>
    <row r="261" spans="1:14" ht="14" x14ac:dyDescent="0.15">
      <c r="A261" s="86" t="str">
        <f>IF($C261="","",INDEX(Summary_FR!$A$3:$R$157,MATCH($C261,Summary_FR!$E$3:$E$157,0),MATCH(A$3,Summary_FR!$A$3:$R$3,0)))</f>
        <v/>
      </c>
      <c r="B261" s="86" t="str">
        <f>IF($C261="","",INDEX(Summary_FR!$A$3:$R$157,MATCH($C261,Summary_FR!$E$3:$E$157,0),MATCH(B$3,Summary_FR!$A$3:$R$3,0)))</f>
        <v/>
      </c>
      <c r="C261" s="86"/>
      <c r="D261" s="86"/>
      <c r="E261" s="86"/>
      <c r="F261" s="86"/>
      <c r="G261" s="86"/>
      <c r="H261" s="86"/>
      <c r="I261" s="86"/>
      <c r="J261" s="86"/>
      <c r="K261" s="86"/>
      <c r="L261" s="86"/>
      <c r="M261" s="86"/>
      <c r="N261" s="86"/>
    </row>
    <row r="262" spans="1:14" ht="14" x14ac:dyDescent="0.15">
      <c r="A262" s="86" t="str">
        <f>IF($C262="","",INDEX(Summary_FR!$A$3:$R$157,MATCH($C262,Summary_FR!$E$3:$E$157,0),MATCH(A$3,Summary_FR!$A$3:$R$3,0)))</f>
        <v/>
      </c>
      <c r="B262" s="86" t="str">
        <f>IF($C262="","",INDEX(Summary_FR!$A$3:$R$157,MATCH($C262,Summary_FR!$E$3:$E$157,0),MATCH(B$3,Summary_FR!$A$3:$R$3,0)))</f>
        <v/>
      </c>
      <c r="C262" s="86"/>
      <c r="D262" s="86"/>
      <c r="E262" s="86"/>
      <c r="F262" s="86"/>
      <c r="G262" s="86"/>
      <c r="H262" s="86"/>
      <c r="I262" s="86"/>
      <c r="J262" s="86"/>
      <c r="K262" s="86"/>
      <c r="L262" s="86"/>
      <c r="M262" s="86"/>
      <c r="N262" s="86"/>
    </row>
    <row r="263" spans="1:14" ht="14" x14ac:dyDescent="0.15">
      <c r="A263" s="86" t="str">
        <f>IF($C263="","",INDEX(Summary_FR!$A$3:$R$157,MATCH($C263,Summary_FR!$E$3:$E$157,0),MATCH(A$3,Summary_FR!$A$3:$R$3,0)))</f>
        <v/>
      </c>
      <c r="B263" s="86" t="str">
        <f>IF($C263="","",INDEX(Summary_FR!$A$3:$R$157,MATCH($C263,Summary_FR!$E$3:$E$157,0),MATCH(B$3,Summary_FR!$A$3:$R$3,0)))</f>
        <v/>
      </c>
      <c r="C263" s="86"/>
      <c r="D263" s="86"/>
      <c r="E263" s="86"/>
      <c r="F263" s="86"/>
      <c r="G263" s="86"/>
      <c r="H263" s="86"/>
      <c r="I263" s="86"/>
      <c r="J263" s="86"/>
      <c r="K263" s="86"/>
      <c r="L263" s="86"/>
      <c r="M263" s="86"/>
      <c r="N263" s="86"/>
    </row>
    <row r="264" spans="1:14" ht="14" x14ac:dyDescent="0.15">
      <c r="A264" s="86" t="str">
        <f>IF($C264="","",INDEX(Summary_FR!$A$3:$R$157,MATCH($C264,Summary_FR!$E$3:$E$157,0),MATCH(A$3,Summary_FR!$A$3:$R$3,0)))</f>
        <v/>
      </c>
      <c r="B264" s="86" t="str">
        <f>IF($C264="","",INDEX(Summary_FR!$A$3:$R$157,MATCH($C264,Summary_FR!$E$3:$E$157,0),MATCH(B$3,Summary_FR!$A$3:$R$3,0)))</f>
        <v/>
      </c>
      <c r="C264" s="86"/>
      <c r="D264" s="86"/>
      <c r="E264" s="86"/>
      <c r="F264" s="86"/>
      <c r="G264" s="86"/>
      <c r="H264" s="86"/>
      <c r="I264" s="86"/>
      <c r="J264" s="86"/>
      <c r="K264" s="86"/>
      <c r="L264" s="86"/>
      <c r="M264" s="86"/>
      <c r="N264" s="86"/>
    </row>
    <row r="265" spans="1:14" ht="14" x14ac:dyDescent="0.15">
      <c r="A265" s="86" t="str">
        <f>IF($C265="","",INDEX(Summary_FR!$A$3:$R$157,MATCH($C265,Summary_FR!$E$3:$E$157,0),MATCH(A$3,Summary_FR!$A$3:$R$3,0)))</f>
        <v/>
      </c>
      <c r="B265" s="86" t="str">
        <f>IF($C265="","",INDEX(Summary_FR!$A$3:$R$157,MATCH($C265,Summary_FR!$E$3:$E$157,0),MATCH(B$3,Summary_FR!$A$3:$R$3,0)))</f>
        <v/>
      </c>
      <c r="C265" s="86"/>
      <c r="D265" s="86"/>
      <c r="E265" s="86"/>
      <c r="F265" s="86"/>
      <c r="G265" s="86"/>
      <c r="H265" s="86"/>
      <c r="I265" s="86"/>
      <c r="J265" s="86"/>
      <c r="K265" s="86"/>
      <c r="L265" s="86"/>
      <c r="M265" s="86"/>
      <c r="N265" s="86"/>
    </row>
    <row r="266" spans="1:14" ht="14" x14ac:dyDescent="0.15">
      <c r="A266" s="86" t="str">
        <f>IF($C266="","",INDEX(Summary_FR!$A$3:$R$157,MATCH($C266,Summary_FR!$E$3:$E$157,0),MATCH(A$3,Summary_FR!$A$3:$R$3,0)))</f>
        <v/>
      </c>
      <c r="B266" s="86" t="str">
        <f>IF($C266="","",INDEX(Summary_FR!$A$3:$R$157,MATCH($C266,Summary_FR!$E$3:$E$157,0),MATCH(B$3,Summary_FR!$A$3:$R$3,0)))</f>
        <v/>
      </c>
      <c r="C266" s="86"/>
      <c r="D266" s="86"/>
      <c r="E266" s="86"/>
      <c r="F266" s="86"/>
      <c r="G266" s="86"/>
      <c r="H266" s="86"/>
      <c r="I266" s="86"/>
      <c r="J266" s="86"/>
      <c r="K266" s="86"/>
      <c r="L266" s="86"/>
      <c r="M266" s="86"/>
      <c r="N266" s="86"/>
    </row>
    <row r="267" spans="1:14" ht="14" x14ac:dyDescent="0.15">
      <c r="A267" s="86" t="str">
        <f>IF($C267="","",INDEX(Summary_FR!$A$3:$R$157,MATCH($C267,Summary_FR!$E$3:$E$157,0),MATCH(A$3,Summary_FR!$A$3:$R$3,0)))</f>
        <v/>
      </c>
      <c r="B267" s="86" t="str">
        <f>IF($C267="","",INDEX(Summary_FR!$A$3:$R$157,MATCH($C267,Summary_FR!$E$3:$E$157,0),MATCH(B$3,Summary_FR!$A$3:$R$3,0)))</f>
        <v/>
      </c>
      <c r="C267" s="86"/>
      <c r="D267" s="86"/>
      <c r="E267" s="86"/>
      <c r="F267" s="86"/>
      <c r="G267" s="86"/>
      <c r="H267" s="86"/>
      <c r="I267" s="86"/>
      <c r="J267" s="86"/>
      <c r="K267" s="86"/>
      <c r="L267" s="86"/>
      <c r="M267" s="86"/>
      <c r="N267" s="86"/>
    </row>
    <row r="268" spans="1:14" ht="14" x14ac:dyDescent="0.15">
      <c r="A268" s="86" t="str">
        <f>IF($C268="","",INDEX(Summary_FR!$A$3:$R$157,MATCH($C268,Summary_FR!$E$3:$E$157,0),MATCH(A$3,Summary_FR!$A$3:$R$3,0)))</f>
        <v/>
      </c>
      <c r="B268" s="86" t="str">
        <f>IF($C268="","",INDEX(Summary_FR!$A$3:$R$157,MATCH($C268,Summary_FR!$E$3:$E$157,0),MATCH(B$3,Summary_FR!$A$3:$R$3,0)))</f>
        <v/>
      </c>
      <c r="C268" s="86"/>
      <c r="D268" s="86"/>
      <c r="E268" s="86"/>
      <c r="F268" s="86"/>
      <c r="G268" s="86"/>
      <c r="H268" s="86"/>
      <c r="I268" s="86"/>
      <c r="J268" s="86"/>
      <c r="K268" s="86"/>
      <c r="L268" s="86"/>
      <c r="M268" s="86"/>
      <c r="N268" s="86"/>
    </row>
    <row r="269" spans="1:14" ht="14" x14ac:dyDescent="0.15">
      <c r="A269" s="86" t="str">
        <f>IF($C269="","",INDEX(Summary_FR!$A$3:$R$157,MATCH($C269,Summary_FR!$E$3:$E$157,0),MATCH(A$3,Summary_FR!$A$3:$R$3,0)))</f>
        <v/>
      </c>
      <c r="B269" s="86" t="str">
        <f>IF($C269="","",INDEX(Summary_FR!$A$3:$R$157,MATCH($C269,Summary_FR!$E$3:$E$157,0),MATCH(B$3,Summary_FR!$A$3:$R$3,0)))</f>
        <v/>
      </c>
      <c r="C269" s="86"/>
      <c r="D269" s="86"/>
      <c r="E269" s="86"/>
      <c r="F269" s="86"/>
      <c r="G269" s="86"/>
      <c r="H269" s="86"/>
      <c r="I269" s="86"/>
      <c r="J269" s="86"/>
      <c r="K269" s="86"/>
      <c r="L269" s="86"/>
      <c r="M269" s="86"/>
      <c r="N269" s="86"/>
    </row>
    <row r="270" spans="1:14" ht="14" x14ac:dyDescent="0.15">
      <c r="A270" s="86" t="str">
        <f>IF($C270="","",INDEX(Summary_FR!$A$3:$R$157,MATCH($C270,Summary_FR!$E$3:$E$157,0),MATCH(A$3,Summary_FR!$A$3:$R$3,0)))</f>
        <v/>
      </c>
      <c r="B270" s="86" t="str">
        <f>IF($C270="","",INDEX(Summary_FR!$A$3:$R$157,MATCH($C270,Summary_FR!$E$3:$E$157,0),MATCH(B$3,Summary_FR!$A$3:$R$3,0)))</f>
        <v/>
      </c>
      <c r="C270" s="86"/>
      <c r="D270" s="86"/>
      <c r="E270" s="86"/>
      <c r="F270" s="86"/>
      <c r="G270" s="86"/>
      <c r="H270" s="86"/>
      <c r="I270" s="86"/>
      <c r="J270" s="86"/>
      <c r="K270" s="86"/>
      <c r="L270" s="86"/>
      <c r="M270" s="86"/>
      <c r="N270" s="86"/>
    </row>
    <row r="271" spans="1:14" ht="14" x14ac:dyDescent="0.15">
      <c r="A271" s="86" t="str">
        <f>IF($C271="","",INDEX(Summary_FR!$A$3:$R$157,MATCH($C271,Summary_FR!$E$3:$E$157,0),MATCH(A$3,Summary_FR!$A$3:$R$3,0)))</f>
        <v/>
      </c>
      <c r="B271" s="86" t="str">
        <f>IF($C271="","",INDEX(Summary_FR!$A$3:$R$157,MATCH($C271,Summary_FR!$E$3:$E$157,0),MATCH(B$3,Summary_FR!$A$3:$R$3,0)))</f>
        <v/>
      </c>
      <c r="C271" s="86"/>
      <c r="D271" s="86"/>
      <c r="E271" s="86"/>
      <c r="F271" s="86"/>
      <c r="G271" s="86"/>
      <c r="H271" s="86"/>
      <c r="I271" s="86"/>
      <c r="J271" s="86"/>
      <c r="K271" s="86"/>
      <c r="L271" s="86"/>
      <c r="M271" s="86"/>
      <c r="N271" s="86"/>
    </row>
    <row r="272" spans="1:14" ht="14" x14ac:dyDescent="0.15">
      <c r="A272" s="86" t="str">
        <f>IF($C272="","",INDEX(Summary_FR!$A$3:$R$157,MATCH($C272,Summary_FR!$E$3:$E$157,0),MATCH(A$3,Summary_FR!$A$3:$R$3,0)))</f>
        <v/>
      </c>
      <c r="B272" s="86" t="str">
        <f>IF($C272="","",INDEX(Summary_FR!$A$3:$R$157,MATCH($C272,Summary_FR!$E$3:$E$157,0),MATCH(B$3,Summary_FR!$A$3:$R$3,0)))</f>
        <v/>
      </c>
      <c r="C272" s="86"/>
      <c r="D272" s="86"/>
      <c r="E272" s="86"/>
      <c r="F272" s="86"/>
      <c r="G272" s="86"/>
      <c r="H272" s="86"/>
      <c r="I272" s="86"/>
      <c r="J272" s="86"/>
      <c r="K272" s="86"/>
      <c r="L272" s="86"/>
      <c r="M272" s="86"/>
      <c r="N272" s="86"/>
    </row>
    <row r="273" spans="1:14" ht="14" x14ac:dyDescent="0.15">
      <c r="A273" s="86" t="str">
        <f>IF($C273="","",INDEX(Summary_FR!$A$3:$R$157,MATCH($C273,Summary_FR!$E$3:$E$157,0),MATCH(A$3,Summary_FR!$A$3:$R$3,0)))</f>
        <v/>
      </c>
      <c r="B273" s="86" t="str">
        <f>IF($C273="","",INDEX(Summary_FR!$A$3:$R$157,MATCH($C273,Summary_FR!$E$3:$E$157,0),MATCH(B$3,Summary_FR!$A$3:$R$3,0)))</f>
        <v/>
      </c>
      <c r="C273" s="86"/>
      <c r="D273" s="86"/>
      <c r="E273" s="86"/>
      <c r="F273" s="86"/>
      <c r="G273" s="86"/>
      <c r="H273" s="86"/>
      <c r="I273" s="86"/>
      <c r="J273" s="86"/>
      <c r="K273" s="86"/>
      <c r="L273" s="86"/>
      <c r="M273" s="86"/>
      <c r="N273" s="86"/>
    </row>
    <row r="274" spans="1:14" ht="14" x14ac:dyDescent="0.15">
      <c r="A274" s="86" t="str">
        <f>IF($C274="","",INDEX(Summary_FR!$A$3:$R$157,MATCH($C274,Summary_FR!$E$3:$E$157,0),MATCH(A$3,Summary_FR!$A$3:$R$3,0)))</f>
        <v/>
      </c>
      <c r="B274" s="86" t="str">
        <f>IF($C274="","",INDEX(Summary_FR!$A$3:$R$157,MATCH($C274,Summary_FR!$E$3:$E$157,0),MATCH(B$3,Summary_FR!$A$3:$R$3,0)))</f>
        <v/>
      </c>
      <c r="C274" s="86"/>
      <c r="D274" s="86"/>
      <c r="E274" s="86"/>
      <c r="F274" s="86"/>
      <c r="G274" s="86"/>
      <c r="H274" s="86"/>
      <c r="I274" s="86"/>
      <c r="J274" s="86"/>
      <c r="K274" s="86"/>
      <c r="L274" s="86"/>
      <c r="M274" s="86"/>
      <c r="N274" s="86"/>
    </row>
    <row r="275" spans="1:14" ht="14" x14ac:dyDescent="0.15">
      <c r="A275" s="86" t="str">
        <f>IF($C275="","",INDEX(Summary_FR!$A$3:$R$157,MATCH($C275,Summary_FR!$E$3:$E$157,0),MATCH(A$3,Summary_FR!$A$3:$R$3,0)))</f>
        <v/>
      </c>
      <c r="B275" s="86" t="str">
        <f>IF($C275="","",INDEX(Summary_FR!$A$3:$R$157,MATCH($C275,Summary_FR!$E$3:$E$157,0),MATCH(B$3,Summary_FR!$A$3:$R$3,0)))</f>
        <v/>
      </c>
      <c r="C275" s="86"/>
      <c r="D275" s="86"/>
      <c r="E275" s="86"/>
      <c r="F275" s="86"/>
      <c r="G275" s="86"/>
      <c r="H275" s="86"/>
      <c r="I275" s="86"/>
      <c r="J275" s="86"/>
      <c r="K275" s="86"/>
      <c r="L275" s="86"/>
      <c r="M275" s="86"/>
      <c r="N275" s="86"/>
    </row>
    <row r="276" spans="1:14" ht="14" x14ac:dyDescent="0.15">
      <c r="A276" s="86" t="str">
        <f>IF($C276="","",INDEX(Summary_FR!$A$3:$R$157,MATCH($C276,Summary_FR!$E$3:$E$157,0),MATCH(A$3,Summary_FR!$A$3:$R$3,0)))</f>
        <v/>
      </c>
      <c r="B276" s="86" t="str">
        <f>IF($C276="","",INDEX(Summary_FR!$A$3:$R$157,MATCH($C276,Summary_FR!$E$3:$E$157,0),MATCH(B$3,Summary_FR!$A$3:$R$3,0)))</f>
        <v/>
      </c>
      <c r="C276" s="86"/>
      <c r="D276" s="86"/>
      <c r="E276" s="86"/>
      <c r="F276" s="86"/>
      <c r="G276" s="86"/>
      <c r="H276" s="86"/>
      <c r="I276" s="86"/>
      <c r="J276" s="86"/>
      <c r="K276" s="86"/>
      <c r="L276" s="86"/>
      <c r="M276" s="86"/>
      <c r="N276" s="86"/>
    </row>
    <row r="277" spans="1:14" ht="14" x14ac:dyDescent="0.15">
      <c r="A277" s="86" t="str">
        <f>IF($C277="","",INDEX(Summary_FR!$A$3:$R$157,MATCH($C277,Summary_FR!$E$3:$E$157,0),MATCH(A$3,Summary_FR!$A$3:$R$3,0)))</f>
        <v/>
      </c>
      <c r="B277" s="86" t="str">
        <f>IF($C277="","",INDEX(Summary_FR!$A$3:$R$157,MATCH($C277,Summary_FR!$E$3:$E$157,0),MATCH(B$3,Summary_FR!$A$3:$R$3,0)))</f>
        <v/>
      </c>
      <c r="C277" s="86"/>
      <c r="D277" s="86"/>
      <c r="E277" s="86"/>
      <c r="F277" s="86"/>
      <c r="G277" s="86"/>
      <c r="H277" s="86"/>
      <c r="I277" s="86"/>
      <c r="J277" s="86"/>
      <c r="K277" s="86"/>
      <c r="L277" s="86"/>
      <c r="M277" s="86"/>
      <c r="N277" s="86"/>
    </row>
    <row r="278" spans="1:14" ht="14" x14ac:dyDescent="0.15">
      <c r="A278" s="86" t="str">
        <f>IF($C278="","",INDEX(Summary_FR!$A$3:$R$157,MATCH($C278,Summary_FR!$E$3:$E$157,0),MATCH(A$3,Summary_FR!$A$3:$R$3,0)))</f>
        <v/>
      </c>
      <c r="B278" s="86" t="str">
        <f>IF($C278="","",INDEX(Summary_FR!$A$3:$R$157,MATCH($C278,Summary_FR!$E$3:$E$157,0),MATCH(B$3,Summary_FR!$A$3:$R$3,0)))</f>
        <v/>
      </c>
      <c r="C278" s="86"/>
      <c r="D278" s="86"/>
      <c r="E278" s="86"/>
      <c r="F278" s="86"/>
      <c r="G278" s="86"/>
      <c r="H278" s="86"/>
      <c r="I278" s="86"/>
      <c r="J278" s="86"/>
      <c r="K278" s="86"/>
      <c r="L278" s="86"/>
      <c r="M278" s="86"/>
      <c r="N278" s="86"/>
    </row>
    <row r="279" spans="1:14" ht="14" x14ac:dyDescent="0.15">
      <c r="A279" s="86" t="str">
        <f>IF($C279="","",INDEX(Summary_FR!$A$3:$R$157,MATCH($C279,Summary_FR!$E$3:$E$157,0),MATCH(A$3,Summary_FR!$A$3:$R$3,0)))</f>
        <v/>
      </c>
      <c r="B279" s="86" t="str">
        <f>IF($C279="","",INDEX(Summary_FR!$A$3:$R$157,MATCH($C279,Summary_FR!$E$3:$E$157,0),MATCH(B$3,Summary_FR!$A$3:$R$3,0)))</f>
        <v/>
      </c>
      <c r="C279" s="86"/>
      <c r="D279" s="86"/>
      <c r="E279" s="86"/>
      <c r="F279" s="86"/>
      <c r="G279" s="86"/>
      <c r="H279" s="86"/>
      <c r="I279" s="86"/>
      <c r="J279" s="86"/>
      <c r="K279" s="86"/>
      <c r="L279" s="86"/>
      <c r="M279" s="86"/>
      <c r="N279" s="86"/>
    </row>
    <row r="280" spans="1:14" ht="14" x14ac:dyDescent="0.15">
      <c r="A280" s="86" t="str">
        <f>IF($C280="","",INDEX(Summary_FR!$A$3:$R$157,MATCH($C280,Summary_FR!$E$3:$E$157,0),MATCH(A$3,Summary_FR!$A$3:$R$3,0)))</f>
        <v/>
      </c>
      <c r="B280" s="86" t="str">
        <f>IF($C280="","",INDEX(Summary_FR!$A$3:$R$157,MATCH($C280,Summary_FR!$E$3:$E$157,0),MATCH(B$3,Summary_FR!$A$3:$R$3,0)))</f>
        <v/>
      </c>
      <c r="C280" s="86"/>
      <c r="D280" s="86"/>
      <c r="E280" s="86"/>
      <c r="F280" s="86"/>
      <c r="G280" s="86"/>
      <c r="H280" s="86"/>
      <c r="I280" s="86"/>
      <c r="J280" s="86"/>
      <c r="K280" s="86"/>
      <c r="L280" s="86"/>
      <c r="M280" s="86"/>
      <c r="N280" s="86"/>
    </row>
    <row r="281" spans="1:14" ht="14" x14ac:dyDescent="0.15">
      <c r="A281" s="86" t="str">
        <f>IF($C281="","",INDEX(Summary_FR!$A$3:$R$157,MATCH($C281,Summary_FR!$E$3:$E$157,0),MATCH(A$3,Summary_FR!$A$3:$R$3,0)))</f>
        <v/>
      </c>
      <c r="B281" s="86" t="str">
        <f>IF($C281="","",INDEX(Summary_FR!$A$3:$R$157,MATCH($C281,Summary_FR!$E$3:$E$157,0),MATCH(B$3,Summary_FR!$A$3:$R$3,0)))</f>
        <v/>
      </c>
      <c r="C281" s="86"/>
      <c r="D281" s="86"/>
      <c r="E281" s="86"/>
      <c r="F281" s="86"/>
      <c r="G281" s="86"/>
      <c r="H281" s="86"/>
      <c r="I281" s="86"/>
      <c r="J281" s="86"/>
      <c r="K281" s="86"/>
      <c r="L281" s="86"/>
      <c r="M281" s="86"/>
      <c r="N281" s="86"/>
    </row>
    <row r="282" spans="1:14" ht="14" x14ac:dyDescent="0.15">
      <c r="A282" s="86" t="str">
        <f>IF($C282="","",INDEX(Summary_FR!$A$3:$R$157,MATCH($C282,Summary_FR!$E$3:$E$157,0),MATCH(A$3,Summary_FR!$A$3:$R$3,0)))</f>
        <v/>
      </c>
      <c r="B282" s="86" t="str">
        <f>IF($C282="","",INDEX(Summary_FR!$A$3:$R$157,MATCH($C282,Summary_FR!$E$3:$E$157,0),MATCH(B$3,Summary_FR!$A$3:$R$3,0)))</f>
        <v/>
      </c>
      <c r="C282" s="86"/>
      <c r="D282" s="86"/>
      <c r="E282" s="86"/>
      <c r="F282" s="86"/>
      <c r="G282" s="86"/>
      <c r="H282" s="86"/>
      <c r="I282" s="86"/>
      <c r="J282" s="86"/>
      <c r="K282" s="86"/>
      <c r="L282" s="86"/>
      <c r="M282" s="86"/>
      <c r="N282" s="86"/>
    </row>
    <row r="283" spans="1:14" ht="14" x14ac:dyDescent="0.15">
      <c r="A283" s="86" t="str">
        <f>IF($C283="","",INDEX(Summary_FR!$A$3:$R$157,MATCH($C283,Summary_FR!$E$3:$E$157,0),MATCH(A$3,Summary_FR!$A$3:$R$3,0)))</f>
        <v/>
      </c>
      <c r="B283" s="86" t="str">
        <f>IF($C283="","",INDEX(Summary_FR!$A$3:$R$157,MATCH($C283,Summary_FR!$E$3:$E$157,0),MATCH(B$3,Summary_FR!$A$3:$R$3,0)))</f>
        <v/>
      </c>
      <c r="C283" s="86"/>
      <c r="D283" s="86"/>
      <c r="E283" s="86"/>
      <c r="F283" s="86"/>
      <c r="G283" s="86"/>
      <c r="H283" s="86"/>
      <c r="I283" s="86"/>
      <c r="J283" s="86"/>
      <c r="K283" s="86"/>
      <c r="L283" s="86"/>
      <c r="M283" s="86"/>
      <c r="N283" s="86"/>
    </row>
    <row r="284" spans="1:14" ht="14" x14ac:dyDescent="0.15">
      <c r="A284" s="86" t="str">
        <f>IF($C284="","",INDEX(Summary_FR!$A$3:$R$157,MATCH($C284,Summary_FR!$E$3:$E$157,0),MATCH(A$3,Summary_FR!$A$3:$R$3,0)))</f>
        <v/>
      </c>
      <c r="B284" s="86" t="str">
        <f>IF($C284="","",INDEX(Summary_FR!$A$3:$R$157,MATCH($C284,Summary_FR!$E$3:$E$157,0),MATCH(B$3,Summary_FR!$A$3:$R$3,0)))</f>
        <v/>
      </c>
      <c r="C284" s="86"/>
      <c r="D284" s="86"/>
      <c r="E284" s="86"/>
      <c r="F284" s="86"/>
      <c r="G284" s="86"/>
      <c r="H284" s="86"/>
      <c r="I284" s="86"/>
      <c r="J284" s="86"/>
      <c r="K284" s="86"/>
      <c r="L284" s="86"/>
      <c r="M284" s="86"/>
      <c r="N284" s="86"/>
    </row>
    <row r="285" spans="1:14" ht="14" x14ac:dyDescent="0.15">
      <c r="A285" s="86" t="str">
        <f>IF($C285="","",INDEX(Summary_FR!$A$3:$R$157,MATCH($C285,Summary_FR!$E$3:$E$157,0),MATCH(A$3,Summary_FR!$A$3:$R$3,0)))</f>
        <v/>
      </c>
      <c r="B285" s="86" t="str">
        <f>IF($C285="","",INDEX(Summary_FR!$A$3:$R$157,MATCH($C285,Summary_FR!$E$3:$E$157,0),MATCH(B$3,Summary_FR!$A$3:$R$3,0)))</f>
        <v/>
      </c>
      <c r="C285" s="86"/>
      <c r="D285" s="86"/>
      <c r="E285" s="86"/>
      <c r="F285" s="86"/>
      <c r="G285" s="86"/>
      <c r="H285" s="86"/>
      <c r="I285" s="86"/>
      <c r="J285" s="86"/>
      <c r="K285" s="86"/>
      <c r="L285" s="86"/>
      <c r="M285" s="86"/>
      <c r="N285" s="86"/>
    </row>
    <row r="286" spans="1:14" ht="14" x14ac:dyDescent="0.15">
      <c r="A286" s="86" t="str">
        <f>IF($C286="","",INDEX(Summary_FR!$A$3:$R$157,MATCH($C286,Summary_FR!$E$3:$E$157,0),MATCH(A$3,Summary_FR!$A$3:$R$3,0)))</f>
        <v/>
      </c>
      <c r="B286" s="86" t="str">
        <f>IF($C286="","",INDEX(Summary_FR!$A$3:$R$157,MATCH($C286,Summary_FR!$E$3:$E$157,0),MATCH(B$3,Summary_FR!$A$3:$R$3,0)))</f>
        <v/>
      </c>
      <c r="C286" s="86"/>
      <c r="D286" s="86"/>
      <c r="E286" s="86"/>
      <c r="F286" s="86"/>
      <c r="G286" s="86"/>
      <c r="H286" s="86"/>
      <c r="I286" s="86"/>
      <c r="J286" s="86"/>
      <c r="K286" s="86"/>
      <c r="L286" s="86"/>
      <c r="M286" s="86"/>
      <c r="N286" s="86"/>
    </row>
    <row r="287" spans="1:14" ht="14" x14ac:dyDescent="0.15">
      <c r="A287" s="86" t="str">
        <f>IF($C287="","",INDEX(Summary_FR!$A$3:$R$157,MATCH($C287,Summary_FR!$E$3:$E$157,0),MATCH(A$3,Summary_FR!$A$3:$R$3,0)))</f>
        <v/>
      </c>
      <c r="B287" s="86" t="str">
        <f>IF($C287="","",INDEX(Summary_FR!$A$3:$R$157,MATCH($C287,Summary_FR!$E$3:$E$157,0),MATCH(B$3,Summary_FR!$A$3:$R$3,0)))</f>
        <v/>
      </c>
      <c r="C287" s="86"/>
      <c r="D287" s="86"/>
      <c r="E287" s="86"/>
      <c r="F287" s="86"/>
      <c r="G287" s="86"/>
      <c r="H287" s="86"/>
      <c r="I287" s="86"/>
      <c r="J287" s="86"/>
      <c r="K287" s="86"/>
      <c r="L287" s="86"/>
      <c r="M287" s="86"/>
      <c r="N287" s="86"/>
    </row>
    <row r="288" spans="1:14" ht="14" x14ac:dyDescent="0.15">
      <c r="A288" s="86" t="str">
        <f>IF($C288="","",INDEX(Summary_FR!$A$3:$R$157,MATCH($C288,Summary_FR!$E$3:$E$157,0),MATCH(A$3,Summary_FR!$A$3:$R$3,0)))</f>
        <v/>
      </c>
      <c r="B288" s="86" t="str">
        <f>IF($C288="","",INDEX(Summary_FR!$A$3:$R$157,MATCH($C288,Summary_FR!$E$3:$E$157,0),MATCH(B$3,Summary_FR!$A$3:$R$3,0)))</f>
        <v/>
      </c>
      <c r="C288" s="86"/>
      <c r="D288" s="86"/>
      <c r="E288" s="86"/>
      <c r="F288" s="86"/>
      <c r="G288" s="86"/>
      <c r="H288" s="86"/>
      <c r="I288" s="86"/>
      <c r="J288" s="86"/>
      <c r="K288" s="86"/>
      <c r="L288" s="86"/>
      <c r="M288" s="86"/>
      <c r="N288" s="86"/>
    </row>
    <row r="289" spans="1:14" ht="14" x14ac:dyDescent="0.15">
      <c r="A289" s="86" t="str">
        <f>IF($C289="","",INDEX(Summary_FR!$A$3:$R$157,MATCH($C289,Summary_FR!$E$3:$E$157,0),MATCH(A$3,Summary_FR!$A$3:$R$3,0)))</f>
        <v/>
      </c>
      <c r="B289" s="86" t="str">
        <f>IF($C289="","",INDEX(Summary_FR!$A$3:$R$157,MATCH($C289,Summary_FR!$E$3:$E$157,0),MATCH(B$3,Summary_FR!$A$3:$R$3,0)))</f>
        <v/>
      </c>
      <c r="C289" s="86"/>
      <c r="D289" s="86"/>
      <c r="E289" s="86"/>
      <c r="F289" s="86"/>
      <c r="G289" s="86"/>
      <c r="H289" s="86"/>
      <c r="I289" s="86"/>
      <c r="J289" s="86"/>
      <c r="K289" s="86"/>
      <c r="L289" s="86"/>
      <c r="M289" s="86"/>
      <c r="N289" s="86"/>
    </row>
    <row r="290" spans="1:14" ht="14" x14ac:dyDescent="0.15">
      <c r="A290" s="86" t="str">
        <f>IF($C290="","",INDEX(Summary_FR!$A$3:$R$157,MATCH($C290,Summary_FR!$E$3:$E$157,0),MATCH(A$3,Summary_FR!$A$3:$R$3,0)))</f>
        <v/>
      </c>
      <c r="B290" s="86" t="str">
        <f>IF($C290="","",INDEX(Summary_FR!$A$3:$R$157,MATCH($C290,Summary_FR!$E$3:$E$157,0),MATCH(B$3,Summary_FR!$A$3:$R$3,0)))</f>
        <v/>
      </c>
      <c r="C290" s="86"/>
      <c r="D290" s="86"/>
      <c r="E290" s="86"/>
      <c r="F290" s="86"/>
      <c r="G290" s="86"/>
      <c r="H290" s="86"/>
      <c r="I290" s="86"/>
      <c r="J290" s="86"/>
      <c r="K290" s="86"/>
      <c r="L290" s="86"/>
      <c r="M290" s="86"/>
      <c r="N290" s="86"/>
    </row>
    <row r="291" spans="1:14" ht="14" x14ac:dyDescent="0.15">
      <c r="A291" s="86" t="str">
        <f>IF($C291="","",INDEX(Summary_FR!$A$3:$R$157,MATCH($C291,Summary_FR!$E$3:$E$157,0),MATCH(A$3,Summary_FR!$A$3:$R$3,0)))</f>
        <v/>
      </c>
      <c r="B291" s="86" t="str">
        <f>IF($C291="","",INDEX(Summary_FR!$A$3:$R$157,MATCH($C291,Summary_FR!$E$3:$E$157,0),MATCH(B$3,Summary_FR!$A$3:$R$3,0)))</f>
        <v/>
      </c>
      <c r="C291" s="86"/>
      <c r="D291" s="86"/>
      <c r="E291" s="86"/>
      <c r="F291" s="86"/>
      <c r="G291" s="86"/>
      <c r="H291" s="86"/>
      <c r="I291" s="86"/>
      <c r="J291" s="86"/>
      <c r="K291" s="86"/>
      <c r="L291" s="86"/>
      <c r="M291" s="86"/>
      <c r="N291" s="86"/>
    </row>
    <row r="292" spans="1:14" ht="14" x14ac:dyDescent="0.15">
      <c r="A292" s="86" t="str">
        <f>IF($C292="","",INDEX(Summary_FR!$A$3:$R$157,MATCH($C292,Summary_FR!$E$3:$E$157,0),MATCH(A$3,Summary_FR!$A$3:$R$3,0)))</f>
        <v/>
      </c>
      <c r="B292" s="86" t="str">
        <f>IF($C292="","",INDEX(Summary_FR!$A$3:$R$157,MATCH($C292,Summary_FR!$E$3:$E$157,0),MATCH(B$3,Summary_FR!$A$3:$R$3,0)))</f>
        <v/>
      </c>
      <c r="C292" s="86"/>
      <c r="D292" s="86"/>
      <c r="E292" s="86"/>
      <c r="F292" s="86"/>
      <c r="G292" s="86"/>
      <c r="H292" s="86"/>
      <c r="I292" s="86"/>
      <c r="J292" s="86"/>
      <c r="K292" s="86"/>
      <c r="L292" s="86"/>
      <c r="M292" s="86"/>
      <c r="N292" s="86"/>
    </row>
    <row r="293" spans="1:14" ht="14" x14ac:dyDescent="0.15">
      <c r="A293" s="86" t="str">
        <f>IF($C293="","",INDEX(Summary_FR!$A$3:$R$157,MATCH($C293,Summary_FR!$E$3:$E$157,0),MATCH(A$3,Summary_FR!$A$3:$R$3,0)))</f>
        <v/>
      </c>
      <c r="B293" s="86" t="str">
        <f>IF($C293="","",INDEX(Summary_FR!$A$3:$R$157,MATCH($C293,Summary_FR!$E$3:$E$157,0),MATCH(B$3,Summary_FR!$A$3:$R$3,0)))</f>
        <v/>
      </c>
      <c r="C293" s="86"/>
      <c r="D293" s="86"/>
      <c r="E293" s="86"/>
      <c r="F293" s="86"/>
      <c r="G293" s="86"/>
      <c r="H293" s="86"/>
      <c r="I293" s="86"/>
      <c r="J293" s="86"/>
      <c r="K293" s="86"/>
      <c r="L293" s="86"/>
      <c r="M293" s="86"/>
      <c r="N293" s="86"/>
    </row>
    <row r="294" spans="1:14" ht="14" x14ac:dyDescent="0.15">
      <c r="A294" s="86" t="str">
        <f>IF($C294="","",INDEX(Summary_FR!$A$3:$R$157,MATCH($C294,Summary_FR!$E$3:$E$157,0),MATCH(A$3,Summary_FR!$A$3:$R$3,0)))</f>
        <v/>
      </c>
      <c r="B294" s="86" t="str">
        <f>IF($C294="","",INDEX(Summary_FR!$A$3:$R$157,MATCH($C294,Summary_FR!$E$3:$E$157,0),MATCH(B$3,Summary_FR!$A$3:$R$3,0)))</f>
        <v/>
      </c>
      <c r="C294" s="86"/>
      <c r="D294" s="86"/>
      <c r="E294" s="86"/>
      <c r="F294" s="86"/>
      <c r="G294" s="86"/>
      <c r="H294" s="86"/>
      <c r="I294" s="86"/>
      <c r="J294" s="86"/>
      <c r="K294" s="86"/>
      <c r="L294" s="86"/>
      <c r="M294" s="86"/>
      <c r="N294" s="86"/>
    </row>
    <row r="295" spans="1:14" ht="14" x14ac:dyDescent="0.15">
      <c r="A295" s="86" t="str">
        <f>IF($C295="","",INDEX(Summary_FR!$A$3:$R$157,MATCH($C295,Summary_FR!$E$3:$E$157,0),MATCH(A$3,Summary_FR!$A$3:$R$3,0)))</f>
        <v/>
      </c>
      <c r="B295" s="86" t="str">
        <f>IF($C295="","",INDEX(Summary_FR!$A$3:$R$157,MATCH($C295,Summary_FR!$E$3:$E$157,0),MATCH(B$3,Summary_FR!$A$3:$R$3,0)))</f>
        <v/>
      </c>
      <c r="C295" s="86"/>
      <c r="D295" s="86"/>
      <c r="E295" s="86"/>
      <c r="F295" s="86"/>
      <c r="G295" s="86"/>
      <c r="H295" s="86"/>
      <c r="I295" s="86"/>
      <c r="J295" s="86"/>
      <c r="K295" s="86"/>
      <c r="L295" s="86"/>
      <c r="M295" s="86"/>
      <c r="N295" s="86"/>
    </row>
    <row r="296" spans="1:14" ht="14" x14ac:dyDescent="0.15">
      <c r="A296" s="86" t="str">
        <f>IF($C296="","",INDEX(Summary_FR!$A$3:$R$157,MATCH($C296,Summary_FR!$E$3:$E$157,0),MATCH(A$3,Summary_FR!$A$3:$R$3,0)))</f>
        <v/>
      </c>
      <c r="B296" s="86" t="str">
        <f>IF($C296="","",INDEX(Summary_FR!$A$3:$R$157,MATCH($C296,Summary_FR!$E$3:$E$157,0),MATCH(B$3,Summary_FR!$A$3:$R$3,0)))</f>
        <v/>
      </c>
      <c r="C296" s="86"/>
      <c r="D296" s="86"/>
      <c r="E296" s="86"/>
      <c r="F296" s="86"/>
      <c r="G296" s="86"/>
      <c r="H296" s="86"/>
      <c r="I296" s="86"/>
      <c r="J296" s="86"/>
      <c r="K296" s="86"/>
      <c r="L296" s="86"/>
      <c r="M296" s="86"/>
      <c r="N296" s="86"/>
    </row>
    <row r="297" spans="1:14" ht="14" x14ac:dyDescent="0.15">
      <c r="A297" s="86" t="str">
        <f>IF($C297="","",INDEX(Summary_FR!$A$3:$R$157,MATCH($C297,Summary_FR!$E$3:$E$157,0),MATCH(A$3,Summary_FR!$A$3:$R$3,0)))</f>
        <v/>
      </c>
      <c r="B297" s="86" t="str">
        <f>IF($C297="","",INDEX(Summary_FR!$A$3:$R$157,MATCH($C297,Summary_FR!$E$3:$E$157,0),MATCH(B$3,Summary_FR!$A$3:$R$3,0)))</f>
        <v/>
      </c>
      <c r="C297" s="86"/>
      <c r="D297" s="86"/>
      <c r="E297" s="86"/>
      <c r="F297" s="86"/>
      <c r="G297" s="86"/>
      <c r="H297" s="86"/>
      <c r="I297" s="86"/>
      <c r="J297" s="86"/>
      <c r="K297" s="86"/>
      <c r="L297" s="86"/>
      <c r="M297" s="86"/>
      <c r="N297" s="86"/>
    </row>
    <row r="298" spans="1:14" ht="14" x14ac:dyDescent="0.15">
      <c r="A298" s="86" t="str">
        <f>IF($C298="","",INDEX(Summary_FR!$A$3:$R$157,MATCH($C298,Summary_FR!$E$3:$E$157,0),MATCH(A$3,Summary_FR!$A$3:$R$3,0)))</f>
        <v/>
      </c>
      <c r="B298" s="86" t="str">
        <f>IF($C298="","",INDEX(Summary_FR!$A$3:$R$157,MATCH($C298,Summary_FR!$E$3:$E$157,0),MATCH(B$3,Summary_FR!$A$3:$R$3,0)))</f>
        <v/>
      </c>
      <c r="C298" s="86"/>
      <c r="D298" s="86"/>
      <c r="E298" s="86"/>
      <c r="F298" s="86"/>
      <c r="G298" s="86"/>
      <c r="H298" s="86"/>
      <c r="I298" s="86"/>
      <c r="J298" s="86"/>
      <c r="K298" s="86"/>
      <c r="L298" s="86"/>
      <c r="M298" s="86"/>
      <c r="N298" s="86"/>
    </row>
    <row r="299" spans="1:14" ht="14" x14ac:dyDescent="0.15">
      <c r="A299" s="86" t="str">
        <f>IF($C299="","",INDEX(Summary_FR!$A$3:$R$157,MATCH($C299,Summary_FR!$E$3:$E$157,0),MATCH(A$3,Summary_FR!$A$3:$R$3,0)))</f>
        <v/>
      </c>
      <c r="B299" s="86" t="str">
        <f>IF($C299="","",INDEX(Summary_FR!$A$3:$R$157,MATCH($C299,Summary_FR!$E$3:$E$157,0),MATCH(B$3,Summary_FR!$A$3:$R$3,0)))</f>
        <v/>
      </c>
      <c r="C299" s="86"/>
      <c r="D299" s="86"/>
      <c r="E299" s="86"/>
      <c r="F299" s="86"/>
      <c r="G299" s="86"/>
      <c r="H299" s="86"/>
      <c r="I299" s="86"/>
      <c r="J299" s="86"/>
      <c r="K299" s="86"/>
      <c r="L299" s="86"/>
      <c r="M299" s="86"/>
      <c r="N299" s="86"/>
    </row>
    <row r="300" spans="1:14" ht="14" x14ac:dyDescent="0.15">
      <c r="A300" s="86" t="str">
        <f>IF($C300="","",INDEX(Summary_FR!$A$3:$R$157,MATCH($C300,Summary_FR!$E$3:$E$157,0),MATCH(A$3,Summary_FR!$A$3:$R$3,0)))</f>
        <v/>
      </c>
      <c r="B300" s="86" t="str">
        <f>IF($C300="","",INDEX(Summary_FR!$A$3:$R$157,MATCH($C300,Summary_FR!$E$3:$E$157,0),MATCH(B$3,Summary_FR!$A$3:$R$3,0)))</f>
        <v/>
      </c>
      <c r="C300" s="86"/>
      <c r="D300" s="86"/>
      <c r="E300" s="86"/>
      <c r="F300" s="86"/>
      <c r="G300" s="86"/>
      <c r="H300" s="86"/>
      <c r="I300" s="86"/>
      <c r="J300" s="86"/>
      <c r="K300" s="86"/>
      <c r="L300" s="86"/>
      <c r="M300" s="86"/>
      <c r="N300" s="86"/>
    </row>
    <row r="301" spans="1:14" ht="14" x14ac:dyDescent="0.15">
      <c r="A301" s="86" t="str">
        <f>IF($C301="","",INDEX(Summary_FR!$A$3:$R$157,MATCH($C301,Summary_FR!$E$3:$E$157,0),MATCH(A$3,Summary_FR!$A$3:$R$3,0)))</f>
        <v/>
      </c>
      <c r="B301" s="86" t="str">
        <f>IF($C301="","",INDEX(Summary_FR!$A$3:$R$157,MATCH($C301,Summary_FR!$E$3:$E$157,0),MATCH(B$3,Summary_FR!$A$3:$R$3,0)))</f>
        <v/>
      </c>
      <c r="C301" s="86"/>
      <c r="D301" s="86"/>
      <c r="E301" s="86"/>
      <c r="F301" s="86"/>
      <c r="G301" s="86"/>
      <c r="H301" s="86"/>
      <c r="I301" s="86"/>
      <c r="J301" s="86"/>
      <c r="K301" s="86"/>
      <c r="L301" s="86"/>
      <c r="M301" s="86"/>
      <c r="N301" s="86"/>
    </row>
    <row r="302" spans="1:14" ht="14" x14ac:dyDescent="0.15">
      <c r="A302" s="86" t="str">
        <f>IF($C302="","",INDEX(Summary_FR!$A$3:$R$157,MATCH($C302,Summary_FR!$E$3:$E$157,0),MATCH(A$3,Summary_FR!$A$3:$R$3,0)))</f>
        <v/>
      </c>
      <c r="B302" s="86" t="str">
        <f>IF($C302="","",INDEX(Summary_FR!$A$3:$R$157,MATCH($C302,Summary_FR!$E$3:$E$157,0),MATCH(B$3,Summary_FR!$A$3:$R$3,0)))</f>
        <v/>
      </c>
      <c r="C302" s="86"/>
      <c r="D302" s="86"/>
      <c r="E302" s="86"/>
      <c r="F302" s="86"/>
      <c r="G302" s="86"/>
      <c r="H302" s="86"/>
      <c r="I302" s="86"/>
      <c r="J302" s="86"/>
      <c r="K302" s="86"/>
      <c r="L302" s="86"/>
      <c r="M302" s="86"/>
      <c r="N302" s="86"/>
    </row>
    <row r="303" spans="1:14" ht="14" x14ac:dyDescent="0.15">
      <c r="A303" s="86" t="str">
        <f>IF($C303="","",INDEX(Summary_FR!$A$3:$R$157,MATCH($C303,Summary_FR!$E$3:$E$157,0),MATCH(A$3,Summary_FR!$A$3:$R$3,0)))</f>
        <v/>
      </c>
      <c r="B303" s="86" t="str">
        <f>IF($C303="","",INDEX(Summary_FR!$A$3:$R$157,MATCH($C303,Summary_FR!$E$3:$E$157,0),MATCH(B$3,Summary_FR!$A$3:$R$3,0)))</f>
        <v/>
      </c>
      <c r="C303" s="86"/>
      <c r="D303" s="86"/>
      <c r="E303" s="86"/>
      <c r="F303" s="86"/>
      <c r="G303" s="86"/>
      <c r="H303" s="86"/>
      <c r="I303" s="86"/>
      <c r="J303" s="86"/>
      <c r="K303" s="86"/>
      <c r="L303" s="86"/>
      <c r="M303" s="86"/>
      <c r="N303" s="86"/>
    </row>
    <row r="304" spans="1:14" ht="14" x14ac:dyDescent="0.15">
      <c r="A304" s="86" t="str">
        <f>IF($C304="","",INDEX(Summary_FR!$A$3:$R$157,MATCH($C304,Summary_FR!$E$3:$E$157,0),MATCH(A$3,Summary_FR!$A$3:$R$3,0)))</f>
        <v/>
      </c>
      <c r="B304" s="86" t="str">
        <f>IF($C304="","",INDEX(Summary_FR!$A$3:$R$157,MATCH($C304,Summary_FR!$E$3:$E$157,0),MATCH(B$3,Summary_FR!$A$3:$R$3,0)))</f>
        <v/>
      </c>
      <c r="C304" s="86"/>
      <c r="D304" s="86"/>
      <c r="E304" s="86"/>
      <c r="F304" s="86"/>
      <c r="G304" s="86"/>
      <c r="H304" s="86"/>
      <c r="I304" s="86"/>
      <c r="J304" s="86"/>
      <c r="K304" s="86"/>
      <c r="L304" s="86"/>
      <c r="M304" s="86"/>
      <c r="N304" s="86"/>
    </row>
    <row r="305" spans="1:14" ht="14" x14ac:dyDescent="0.15">
      <c r="A305" s="86" t="str">
        <f>IF($C305="","",INDEX(Summary_FR!$A$3:$R$157,MATCH($C305,Summary_FR!$E$3:$E$157,0),MATCH(A$3,Summary_FR!$A$3:$R$3,0)))</f>
        <v/>
      </c>
      <c r="B305" s="86" t="str">
        <f>IF($C305="","",INDEX(Summary_FR!$A$3:$R$157,MATCH($C305,Summary_FR!$E$3:$E$157,0),MATCH(B$3,Summary_FR!$A$3:$R$3,0)))</f>
        <v/>
      </c>
      <c r="C305" s="86"/>
      <c r="D305" s="86"/>
      <c r="E305" s="86"/>
      <c r="F305" s="86"/>
      <c r="G305" s="86"/>
      <c r="H305" s="86"/>
      <c r="I305" s="86"/>
      <c r="J305" s="86"/>
      <c r="K305" s="86"/>
      <c r="L305" s="86"/>
      <c r="M305" s="86"/>
      <c r="N305" s="86"/>
    </row>
    <row r="306" spans="1:14" ht="14" x14ac:dyDescent="0.15">
      <c r="A306" s="86" t="str">
        <f>IF($C306="","",INDEX(Summary_FR!$A$3:$R$157,MATCH($C306,Summary_FR!$E$3:$E$157,0),MATCH(A$3,Summary_FR!$A$3:$R$3,0)))</f>
        <v/>
      </c>
      <c r="B306" s="86" t="str">
        <f>IF($C306="","",INDEX(Summary_FR!$A$3:$R$157,MATCH($C306,Summary_FR!$E$3:$E$157,0),MATCH(B$3,Summary_FR!$A$3:$R$3,0)))</f>
        <v/>
      </c>
      <c r="C306" s="86"/>
      <c r="D306" s="86"/>
      <c r="E306" s="86"/>
      <c r="F306" s="86"/>
      <c r="G306" s="86"/>
      <c r="H306" s="86"/>
      <c r="I306" s="86"/>
      <c r="J306" s="86"/>
      <c r="K306" s="86"/>
      <c r="L306" s="86"/>
      <c r="M306" s="86"/>
      <c r="N306" s="86"/>
    </row>
    <row r="307" spans="1:14" ht="14" x14ac:dyDescent="0.15">
      <c r="A307" s="86" t="str">
        <f>IF($C307="","",INDEX(Summary_FR!$A$3:$R$157,MATCH($C307,Summary_FR!$E$3:$E$157,0),MATCH(A$3,Summary_FR!$A$3:$R$3,0)))</f>
        <v/>
      </c>
      <c r="B307" s="86" t="str">
        <f>IF($C307="","",INDEX(Summary_FR!$A$3:$R$157,MATCH($C307,Summary_FR!$E$3:$E$157,0),MATCH(B$3,Summary_FR!$A$3:$R$3,0)))</f>
        <v/>
      </c>
      <c r="C307" s="86"/>
      <c r="D307" s="86"/>
      <c r="E307" s="86"/>
      <c r="F307" s="86"/>
      <c r="G307" s="86"/>
      <c r="H307" s="86"/>
      <c r="I307" s="86"/>
      <c r="J307" s="86"/>
      <c r="K307" s="86"/>
      <c r="L307" s="86"/>
      <c r="M307" s="86"/>
      <c r="N307" s="86"/>
    </row>
    <row r="308" spans="1:14" ht="14" x14ac:dyDescent="0.15">
      <c r="A308" s="86" t="str">
        <f>IF($C308="","",INDEX(Summary_FR!$A$3:$R$157,MATCH($C308,Summary_FR!$E$3:$E$157,0),MATCH(A$3,Summary_FR!$A$3:$R$3,0)))</f>
        <v/>
      </c>
      <c r="B308" s="86" t="str">
        <f>IF($C308="","",INDEX(Summary_FR!$A$3:$R$157,MATCH($C308,Summary_FR!$E$3:$E$157,0),MATCH(B$3,Summary_FR!$A$3:$R$3,0)))</f>
        <v/>
      </c>
      <c r="C308" s="86"/>
      <c r="D308" s="86"/>
      <c r="E308" s="86"/>
      <c r="F308" s="86"/>
      <c r="G308" s="86"/>
      <c r="H308" s="86"/>
      <c r="I308" s="86"/>
      <c r="J308" s="86"/>
      <c r="K308" s="86"/>
      <c r="L308" s="86"/>
      <c r="M308" s="86"/>
      <c r="N308" s="86"/>
    </row>
    <row r="309" spans="1:14" ht="14" x14ac:dyDescent="0.15">
      <c r="A309" s="86" t="str">
        <f>IF($C309="","",INDEX(Summary_FR!$A$3:$R$157,MATCH($C309,Summary_FR!$E$3:$E$157,0),MATCH(A$3,Summary_FR!$A$3:$R$3,0)))</f>
        <v/>
      </c>
      <c r="B309" s="86" t="str">
        <f>IF($C309="","",INDEX(Summary_FR!$A$3:$R$157,MATCH($C309,Summary_FR!$E$3:$E$157,0),MATCH(B$3,Summary_FR!$A$3:$R$3,0)))</f>
        <v/>
      </c>
      <c r="C309" s="86"/>
      <c r="D309" s="86"/>
      <c r="E309" s="86"/>
      <c r="F309" s="86"/>
      <c r="G309" s="86"/>
      <c r="H309" s="86"/>
      <c r="I309" s="86"/>
      <c r="J309" s="86"/>
      <c r="K309" s="86"/>
      <c r="L309" s="86"/>
      <c r="M309" s="86"/>
      <c r="N309" s="86"/>
    </row>
    <row r="310" spans="1:14" ht="14" x14ac:dyDescent="0.15">
      <c r="A310" s="86" t="str">
        <f>IF($C310="","",INDEX(Summary_FR!$A$3:$R$157,MATCH($C310,Summary_FR!$E$3:$E$157,0),MATCH(A$3,Summary_FR!$A$3:$R$3,0)))</f>
        <v/>
      </c>
      <c r="B310" s="86" t="str">
        <f>IF($C310="","",INDEX(Summary_FR!$A$3:$R$157,MATCH($C310,Summary_FR!$E$3:$E$157,0),MATCH(B$3,Summary_FR!$A$3:$R$3,0)))</f>
        <v/>
      </c>
      <c r="C310" s="86"/>
      <c r="D310" s="86"/>
      <c r="E310" s="86"/>
      <c r="F310" s="86"/>
      <c r="G310" s="86"/>
      <c r="H310" s="86"/>
      <c r="I310" s="86"/>
      <c r="J310" s="86"/>
      <c r="K310" s="86"/>
      <c r="L310" s="86"/>
      <c r="M310" s="86"/>
      <c r="N310" s="86"/>
    </row>
    <row r="311" spans="1:14" ht="14" x14ac:dyDescent="0.15">
      <c r="A311" s="86" t="str">
        <f>IF($C311="","",INDEX(Summary_FR!$A$3:$R$157,MATCH($C311,Summary_FR!$E$3:$E$157,0),MATCH(A$3,Summary_FR!$A$3:$R$3,0)))</f>
        <v/>
      </c>
      <c r="B311" s="86" t="str">
        <f>IF($C311="","",INDEX(Summary_FR!$A$3:$R$157,MATCH($C311,Summary_FR!$E$3:$E$157,0),MATCH(B$3,Summary_FR!$A$3:$R$3,0)))</f>
        <v/>
      </c>
      <c r="C311" s="86"/>
      <c r="D311" s="86"/>
      <c r="E311" s="86"/>
      <c r="F311" s="86"/>
      <c r="G311" s="86"/>
      <c r="H311" s="86"/>
      <c r="I311" s="86"/>
      <c r="J311" s="86"/>
      <c r="K311" s="86"/>
      <c r="L311" s="86"/>
      <c r="M311" s="86"/>
      <c r="N311" s="86"/>
    </row>
    <row r="312" spans="1:14" ht="14" x14ac:dyDescent="0.15">
      <c r="A312" s="86" t="str">
        <f>IF($C312="","",INDEX(Summary_FR!$A$3:$R$157,MATCH($C312,Summary_FR!$E$3:$E$157,0),MATCH(A$3,Summary_FR!$A$3:$R$3,0)))</f>
        <v/>
      </c>
      <c r="B312" s="86" t="str">
        <f>IF($C312="","",INDEX(Summary_FR!$A$3:$R$157,MATCH($C312,Summary_FR!$E$3:$E$157,0),MATCH(B$3,Summary_FR!$A$3:$R$3,0)))</f>
        <v/>
      </c>
      <c r="C312" s="86"/>
      <c r="D312" s="86"/>
      <c r="E312" s="86"/>
      <c r="F312" s="86"/>
      <c r="G312" s="86"/>
      <c r="H312" s="86"/>
      <c r="I312" s="86"/>
      <c r="J312" s="86"/>
      <c r="K312" s="86"/>
      <c r="L312" s="86"/>
      <c r="M312" s="86"/>
      <c r="N312" s="86"/>
    </row>
    <row r="313" spans="1:14" ht="14" x14ac:dyDescent="0.15">
      <c r="A313" s="86" t="str">
        <f>IF($C313="","",INDEX(Summary_FR!$A$3:$R$157,MATCH($C313,Summary_FR!$E$3:$E$157,0),MATCH(A$3,Summary_FR!$A$3:$R$3,0)))</f>
        <v/>
      </c>
      <c r="B313" s="86" t="str">
        <f>IF($C313="","",INDEX(Summary_FR!$A$3:$R$157,MATCH($C313,Summary_FR!$E$3:$E$157,0),MATCH(B$3,Summary_FR!$A$3:$R$3,0)))</f>
        <v/>
      </c>
      <c r="C313" s="86"/>
      <c r="D313" s="86"/>
      <c r="E313" s="86"/>
      <c r="F313" s="86"/>
      <c r="G313" s="86"/>
      <c r="H313" s="86"/>
      <c r="I313" s="86"/>
      <c r="J313" s="86"/>
      <c r="K313" s="86"/>
      <c r="L313" s="86"/>
      <c r="M313" s="86"/>
      <c r="N313" s="86"/>
    </row>
    <row r="314" spans="1:14" ht="14" x14ac:dyDescent="0.15">
      <c r="A314" s="86" t="str">
        <f>IF($C314="","",INDEX(Summary_FR!$A$3:$R$157,MATCH($C314,Summary_FR!$E$3:$E$157,0),MATCH(A$3,Summary_FR!$A$3:$R$3,0)))</f>
        <v/>
      </c>
      <c r="B314" s="86" t="str">
        <f>IF($C314="","",INDEX(Summary_FR!$A$3:$R$157,MATCH($C314,Summary_FR!$E$3:$E$157,0),MATCH(B$3,Summary_FR!$A$3:$R$3,0)))</f>
        <v/>
      </c>
      <c r="C314" s="86"/>
      <c r="D314" s="86"/>
      <c r="E314" s="86"/>
      <c r="F314" s="86"/>
      <c r="G314" s="86"/>
      <c r="H314" s="86"/>
      <c r="I314" s="86"/>
      <c r="J314" s="86"/>
      <c r="K314" s="86"/>
      <c r="L314" s="86"/>
      <c r="M314" s="86"/>
      <c r="N314" s="86"/>
    </row>
    <row r="315" spans="1:14" ht="14" x14ac:dyDescent="0.15">
      <c r="A315" s="86" t="str">
        <f>IF($C315="","",INDEX(Summary_FR!$A$3:$R$157,MATCH($C315,Summary_FR!$E$3:$E$157,0),MATCH(A$3,Summary_FR!$A$3:$R$3,0)))</f>
        <v/>
      </c>
      <c r="B315" s="86" t="str">
        <f>IF($C315="","",INDEX(Summary_FR!$A$3:$R$157,MATCH($C315,Summary_FR!$E$3:$E$157,0),MATCH(B$3,Summary_FR!$A$3:$R$3,0)))</f>
        <v/>
      </c>
      <c r="C315" s="86"/>
      <c r="D315" s="86"/>
      <c r="E315" s="86"/>
      <c r="F315" s="86"/>
      <c r="G315" s="86"/>
      <c r="H315" s="86"/>
      <c r="I315" s="86"/>
      <c r="J315" s="86"/>
      <c r="K315" s="86"/>
      <c r="L315" s="86"/>
      <c r="M315" s="86"/>
      <c r="N315" s="86"/>
    </row>
    <row r="316" spans="1:14" ht="14" x14ac:dyDescent="0.15">
      <c r="A316" s="86" t="str">
        <f>IF($C316="","",INDEX(Summary_FR!$A$3:$R$157,MATCH($C316,Summary_FR!$E$3:$E$157,0),MATCH(A$3,Summary_FR!$A$3:$R$3,0)))</f>
        <v/>
      </c>
      <c r="B316" s="86" t="str">
        <f>IF($C316="","",INDEX(Summary_FR!$A$3:$R$157,MATCH($C316,Summary_FR!$E$3:$E$157,0),MATCH(B$3,Summary_FR!$A$3:$R$3,0)))</f>
        <v/>
      </c>
      <c r="C316" s="86"/>
      <c r="D316" s="86"/>
      <c r="E316" s="86"/>
      <c r="F316" s="86"/>
      <c r="G316" s="86"/>
      <c r="H316" s="86"/>
      <c r="I316" s="86"/>
      <c r="J316" s="86"/>
      <c r="K316" s="86"/>
      <c r="L316" s="86"/>
      <c r="M316" s="86"/>
      <c r="N316" s="86"/>
    </row>
    <row r="317" spans="1:14" ht="14" x14ac:dyDescent="0.15">
      <c r="A317" s="86" t="str">
        <f>IF($C317="","",INDEX(Summary_FR!$A$3:$R$157,MATCH($C317,Summary_FR!$E$3:$E$157,0),MATCH(A$3,Summary_FR!$A$3:$R$3,0)))</f>
        <v/>
      </c>
      <c r="B317" s="86" t="str">
        <f>IF($C317="","",INDEX(Summary_FR!$A$3:$R$157,MATCH($C317,Summary_FR!$E$3:$E$157,0),MATCH(B$3,Summary_FR!$A$3:$R$3,0)))</f>
        <v/>
      </c>
      <c r="C317" s="86"/>
      <c r="D317" s="86"/>
      <c r="E317" s="86"/>
      <c r="F317" s="86"/>
      <c r="G317" s="86"/>
      <c r="H317" s="86"/>
      <c r="I317" s="86"/>
      <c r="J317" s="86"/>
      <c r="K317" s="86"/>
      <c r="L317" s="86"/>
      <c r="M317" s="86"/>
      <c r="N317" s="86"/>
    </row>
    <row r="318" spans="1:14" ht="14" x14ac:dyDescent="0.15">
      <c r="A318" s="86" t="str">
        <f>IF($C318="","",INDEX(Summary_FR!$A$3:$R$157,MATCH($C318,Summary_FR!$E$3:$E$157,0),MATCH(A$3,Summary_FR!$A$3:$R$3,0)))</f>
        <v/>
      </c>
      <c r="B318" s="86" t="str">
        <f>IF($C318="","",INDEX(Summary_FR!$A$3:$R$157,MATCH($C318,Summary_FR!$E$3:$E$157,0),MATCH(B$3,Summary_FR!$A$3:$R$3,0)))</f>
        <v/>
      </c>
      <c r="C318" s="86"/>
      <c r="D318" s="86"/>
      <c r="E318" s="86"/>
      <c r="F318" s="86"/>
      <c r="G318" s="86"/>
      <c r="H318" s="86"/>
      <c r="I318" s="86"/>
      <c r="J318" s="86"/>
      <c r="K318" s="86"/>
      <c r="L318" s="86"/>
      <c r="M318" s="86"/>
      <c r="N318" s="86"/>
    </row>
    <row r="319" spans="1:14" ht="14" x14ac:dyDescent="0.15">
      <c r="A319" s="86" t="str">
        <f>IF($C319="","",INDEX(Summary_FR!$A$3:$R$157,MATCH($C319,Summary_FR!$E$3:$E$157,0),MATCH(A$3,Summary_FR!$A$3:$R$3,0)))</f>
        <v/>
      </c>
      <c r="B319" s="86" t="str">
        <f>IF($C319="","",INDEX(Summary_FR!$A$3:$R$157,MATCH($C319,Summary_FR!$E$3:$E$157,0),MATCH(B$3,Summary_FR!$A$3:$R$3,0)))</f>
        <v/>
      </c>
      <c r="C319" s="86"/>
      <c r="D319" s="86"/>
      <c r="E319" s="86"/>
      <c r="F319" s="86"/>
      <c r="G319" s="86"/>
      <c r="H319" s="86"/>
      <c r="I319" s="86"/>
      <c r="J319" s="86"/>
      <c r="K319" s="86"/>
      <c r="L319" s="86"/>
      <c r="M319" s="86"/>
      <c r="N319" s="86"/>
    </row>
    <row r="320" spans="1:14" ht="14" x14ac:dyDescent="0.15">
      <c r="A320" s="86" t="str">
        <f>IF($C320="","",INDEX(Summary_FR!$A$3:$R$157,MATCH($C320,Summary_FR!$E$3:$E$157,0),MATCH(A$3,Summary_FR!$A$3:$R$3,0)))</f>
        <v/>
      </c>
      <c r="B320" s="86" t="str">
        <f>IF($C320="","",INDEX(Summary_FR!$A$3:$R$157,MATCH($C320,Summary_FR!$E$3:$E$157,0),MATCH(B$3,Summary_FR!$A$3:$R$3,0)))</f>
        <v/>
      </c>
      <c r="C320" s="86"/>
      <c r="D320" s="86"/>
      <c r="E320" s="86"/>
      <c r="F320" s="86"/>
      <c r="G320" s="86"/>
      <c r="H320" s="86"/>
      <c r="I320" s="86"/>
      <c r="J320" s="86"/>
      <c r="K320" s="86"/>
      <c r="L320" s="86"/>
      <c r="M320" s="86"/>
      <c r="N320" s="86"/>
    </row>
    <row r="321" spans="1:14" ht="14" x14ac:dyDescent="0.15">
      <c r="A321" s="86" t="str">
        <f>IF($C321="","",INDEX(Summary_FR!$A$3:$R$157,MATCH($C321,Summary_FR!$E$3:$E$157,0),MATCH(A$3,Summary_FR!$A$3:$R$3,0)))</f>
        <v/>
      </c>
      <c r="B321" s="86" t="str">
        <f>IF($C321="","",INDEX(Summary_FR!$A$3:$R$157,MATCH($C321,Summary_FR!$E$3:$E$157,0),MATCH(B$3,Summary_FR!$A$3:$R$3,0)))</f>
        <v/>
      </c>
      <c r="C321" s="86"/>
      <c r="D321" s="86"/>
      <c r="E321" s="86"/>
      <c r="F321" s="86"/>
      <c r="G321" s="86"/>
      <c r="H321" s="86"/>
      <c r="I321" s="86"/>
      <c r="J321" s="86"/>
      <c r="K321" s="86"/>
      <c r="L321" s="86"/>
      <c r="M321" s="86"/>
      <c r="N321" s="86"/>
    </row>
    <row r="322" spans="1:14" ht="14" x14ac:dyDescent="0.15">
      <c r="A322" s="86" t="str">
        <f>IF($C322="","",INDEX(Summary_FR!$A$3:$R$157,MATCH($C322,Summary_FR!$E$3:$E$157,0),MATCH(A$3,Summary_FR!$A$3:$R$3,0)))</f>
        <v/>
      </c>
      <c r="B322" s="86" t="str">
        <f>IF($C322="","",INDEX(Summary_FR!$A$3:$R$157,MATCH($C322,Summary_FR!$E$3:$E$157,0),MATCH(B$3,Summary_FR!$A$3:$R$3,0)))</f>
        <v/>
      </c>
      <c r="C322" s="86"/>
      <c r="D322" s="86"/>
      <c r="E322" s="86"/>
      <c r="F322" s="86"/>
      <c r="G322" s="86"/>
      <c r="H322" s="86"/>
      <c r="I322" s="86"/>
      <c r="J322" s="86"/>
      <c r="K322" s="86"/>
      <c r="L322" s="86"/>
      <c r="M322" s="86"/>
      <c r="N322" s="86"/>
    </row>
    <row r="323" spans="1:14" ht="14" x14ac:dyDescent="0.15">
      <c r="A323" s="86" t="str">
        <f>IF($C323="","",INDEX(Summary_FR!$A$3:$R$157,MATCH($C323,Summary_FR!$E$3:$E$157,0),MATCH(A$3,Summary_FR!$A$3:$R$3,0)))</f>
        <v/>
      </c>
      <c r="B323" s="86" t="str">
        <f>IF($C323="","",INDEX(Summary_FR!$A$3:$R$157,MATCH($C323,Summary_FR!$E$3:$E$157,0),MATCH(B$3,Summary_FR!$A$3:$R$3,0)))</f>
        <v/>
      </c>
      <c r="C323" s="86"/>
      <c r="D323" s="86"/>
      <c r="E323" s="86"/>
      <c r="F323" s="86"/>
      <c r="G323" s="86"/>
      <c r="H323" s="86"/>
      <c r="I323" s="86"/>
      <c r="J323" s="86"/>
      <c r="K323" s="86"/>
      <c r="L323" s="86"/>
      <c r="M323" s="86"/>
      <c r="N323" s="86"/>
    </row>
    <row r="324" spans="1:14" ht="14" x14ac:dyDescent="0.15">
      <c r="A324" s="86" t="str">
        <f>IF($C324="","",INDEX(Summary_FR!$A$3:$R$157,MATCH($C324,Summary_FR!$E$3:$E$157,0),MATCH(A$3,Summary_FR!$A$3:$R$3,0)))</f>
        <v/>
      </c>
      <c r="B324" s="86" t="str">
        <f>IF($C324="","",INDEX(Summary_FR!$A$3:$R$157,MATCH($C324,Summary_FR!$E$3:$E$157,0),MATCH(B$3,Summary_FR!$A$3:$R$3,0)))</f>
        <v/>
      </c>
      <c r="C324" s="86"/>
      <c r="D324" s="86"/>
      <c r="E324" s="86"/>
      <c r="F324" s="86"/>
      <c r="G324" s="86"/>
      <c r="H324" s="86"/>
      <c r="I324" s="86"/>
      <c r="J324" s="86"/>
      <c r="K324" s="86"/>
      <c r="L324" s="86"/>
      <c r="M324" s="86"/>
      <c r="N324" s="86"/>
    </row>
    <row r="325" spans="1:14" ht="14" x14ac:dyDescent="0.15">
      <c r="A325" s="86" t="str">
        <f>IF($C325="","",INDEX(Summary_FR!$A$3:$R$157,MATCH($C325,Summary_FR!$E$3:$E$157,0),MATCH(A$3,Summary_FR!$A$3:$R$3,0)))</f>
        <v/>
      </c>
      <c r="B325" s="86" t="str">
        <f>IF($C325="","",INDEX(Summary_FR!$A$3:$R$157,MATCH($C325,Summary_FR!$E$3:$E$157,0),MATCH(B$3,Summary_FR!$A$3:$R$3,0)))</f>
        <v/>
      </c>
      <c r="C325" s="86"/>
      <c r="D325" s="86"/>
      <c r="E325" s="86"/>
      <c r="F325" s="86"/>
      <c r="G325" s="86"/>
      <c r="H325" s="86"/>
      <c r="I325" s="86"/>
      <c r="J325" s="86"/>
      <c r="K325" s="86"/>
      <c r="L325" s="86"/>
      <c r="M325" s="86"/>
      <c r="N325" s="86"/>
    </row>
    <row r="326" spans="1:14" ht="14" x14ac:dyDescent="0.15">
      <c r="A326" s="86" t="str">
        <f>IF($C326="","",INDEX(Summary_FR!$A$3:$R$157,MATCH($C326,Summary_FR!$E$3:$E$157,0),MATCH(A$3,Summary_FR!$A$3:$R$3,0)))</f>
        <v/>
      </c>
      <c r="B326" s="86" t="str">
        <f>IF($C326="","",INDEX(Summary_FR!$A$3:$R$157,MATCH($C326,Summary_FR!$E$3:$E$157,0),MATCH(B$3,Summary_FR!$A$3:$R$3,0)))</f>
        <v/>
      </c>
      <c r="C326" s="86"/>
      <c r="D326" s="86"/>
      <c r="E326" s="86"/>
      <c r="F326" s="86"/>
      <c r="G326" s="86"/>
      <c r="H326" s="86"/>
      <c r="I326" s="86"/>
      <c r="J326" s="86"/>
      <c r="K326" s="86"/>
      <c r="L326" s="86"/>
      <c r="M326" s="86"/>
      <c r="N326" s="86"/>
    </row>
    <row r="327" spans="1:14" ht="14" x14ac:dyDescent="0.15">
      <c r="A327" s="86" t="str">
        <f>IF($C327="","",INDEX(Summary_FR!$A$3:$R$157,MATCH($C327,Summary_FR!$E$3:$E$157,0),MATCH(A$3,Summary_FR!$A$3:$R$3,0)))</f>
        <v/>
      </c>
      <c r="B327" s="86" t="str">
        <f>IF($C327="","",INDEX(Summary_FR!$A$3:$R$157,MATCH($C327,Summary_FR!$E$3:$E$157,0),MATCH(B$3,Summary_FR!$A$3:$R$3,0)))</f>
        <v/>
      </c>
      <c r="C327" s="86"/>
      <c r="D327" s="86"/>
      <c r="E327" s="86"/>
      <c r="F327" s="86"/>
      <c r="G327" s="86"/>
      <c r="H327" s="86"/>
      <c r="I327" s="86"/>
      <c r="J327" s="86"/>
      <c r="K327" s="86"/>
      <c r="L327" s="86"/>
      <c r="M327" s="86"/>
      <c r="N327" s="86"/>
    </row>
    <row r="328" spans="1:14" ht="14" x14ac:dyDescent="0.15">
      <c r="A328" s="86" t="str">
        <f>IF($C328="","",INDEX(Summary_FR!$A$3:$R$157,MATCH($C328,Summary_FR!$E$3:$E$157,0),MATCH(A$3,Summary_FR!$A$3:$R$3,0)))</f>
        <v/>
      </c>
      <c r="B328" s="86" t="str">
        <f>IF($C328="","",INDEX(Summary_FR!$A$3:$R$157,MATCH($C328,Summary_FR!$E$3:$E$157,0),MATCH(B$3,Summary_FR!$A$3:$R$3,0)))</f>
        <v/>
      </c>
      <c r="C328" s="86"/>
      <c r="D328" s="86"/>
      <c r="E328" s="86"/>
      <c r="F328" s="86"/>
      <c r="G328" s="86"/>
      <c r="H328" s="86"/>
      <c r="I328" s="86"/>
      <c r="J328" s="86"/>
      <c r="K328" s="86"/>
      <c r="L328" s="86"/>
      <c r="M328" s="86"/>
      <c r="N328" s="86"/>
    </row>
    <row r="329" spans="1:14" ht="14" x14ac:dyDescent="0.15">
      <c r="A329" s="86" t="str">
        <f>IF($C329="","",INDEX(Summary_FR!$A$3:$R$157,MATCH($C329,Summary_FR!$E$3:$E$157,0),MATCH(A$3,Summary_FR!$A$3:$R$3,0)))</f>
        <v/>
      </c>
      <c r="B329" s="86" t="str">
        <f>IF($C329="","",INDEX(Summary_FR!$A$3:$R$157,MATCH($C329,Summary_FR!$E$3:$E$157,0),MATCH(B$3,Summary_FR!$A$3:$R$3,0)))</f>
        <v/>
      </c>
      <c r="C329" s="86"/>
      <c r="D329" s="86"/>
      <c r="E329" s="86"/>
      <c r="F329" s="86"/>
      <c r="G329" s="86"/>
      <c r="H329" s="86"/>
      <c r="I329" s="86"/>
      <c r="J329" s="86"/>
      <c r="K329" s="86"/>
      <c r="L329" s="86"/>
      <c r="M329" s="86"/>
      <c r="N329" s="86"/>
    </row>
    <row r="330" spans="1:14" ht="14" x14ac:dyDescent="0.15">
      <c r="A330" s="86" t="str">
        <f>IF($C330="","",INDEX(Summary_FR!$A$3:$R$157,MATCH($C330,Summary_FR!$E$3:$E$157,0),MATCH(A$3,Summary_FR!$A$3:$R$3,0)))</f>
        <v/>
      </c>
      <c r="B330" s="86" t="str">
        <f>IF($C330="","",INDEX(Summary_FR!$A$3:$R$157,MATCH($C330,Summary_FR!$E$3:$E$157,0),MATCH(B$3,Summary_FR!$A$3:$R$3,0)))</f>
        <v/>
      </c>
      <c r="C330" s="86"/>
      <c r="D330" s="86"/>
      <c r="E330" s="86"/>
      <c r="F330" s="86"/>
      <c r="G330" s="86"/>
      <c r="H330" s="86"/>
      <c r="I330" s="86"/>
      <c r="J330" s="86"/>
      <c r="K330" s="86"/>
      <c r="L330" s="86"/>
      <c r="M330" s="86"/>
      <c r="N330" s="86"/>
    </row>
    <row r="331" spans="1:14" ht="14" x14ac:dyDescent="0.15">
      <c r="A331" s="86" t="str">
        <f>IF($C331="","",INDEX(Summary_FR!$A$3:$R$157,MATCH($C331,Summary_FR!$E$3:$E$157,0),MATCH(A$3,Summary_FR!$A$3:$R$3,0)))</f>
        <v/>
      </c>
      <c r="B331" s="86" t="str">
        <f>IF($C331="","",INDEX(Summary_FR!$A$3:$R$157,MATCH($C331,Summary_FR!$E$3:$E$157,0),MATCH(B$3,Summary_FR!$A$3:$R$3,0)))</f>
        <v/>
      </c>
      <c r="C331" s="86"/>
      <c r="D331" s="86"/>
      <c r="E331" s="86"/>
      <c r="F331" s="86"/>
      <c r="G331" s="86"/>
      <c r="H331" s="86"/>
      <c r="I331" s="86"/>
      <c r="J331" s="86"/>
      <c r="K331" s="86"/>
      <c r="L331" s="86"/>
      <c r="M331" s="86"/>
      <c r="N331" s="86"/>
    </row>
    <row r="332" spans="1:14" ht="14" x14ac:dyDescent="0.15">
      <c r="A332" s="86" t="str">
        <f>IF($C332="","",INDEX(Summary_FR!$A$3:$R$157,MATCH($C332,Summary_FR!$E$3:$E$157,0),MATCH(A$3,Summary_FR!$A$3:$R$3,0)))</f>
        <v/>
      </c>
      <c r="B332" s="86" t="str">
        <f>IF($C332="","",INDEX(Summary_FR!$A$3:$R$157,MATCH($C332,Summary_FR!$E$3:$E$157,0),MATCH(B$3,Summary_FR!$A$3:$R$3,0)))</f>
        <v/>
      </c>
      <c r="C332" s="86"/>
      <c r="D332" s="86"/>
      <c r="E332" s="86"/>
      <c r="F332" s="86"/>
      <c r="G332" s="86"/>
      <c r="H332" s="86"/>
      <c r="I332" s="86"/>
      <c r="J332" s="86"/>
      <c r="K332" s="86"/>
      <c r="L332" s="86"/>
      <c r="M332" s="86"/>
      <c r="N332" s="86"/>
    </row>
    <row r="333" spans="1:14" ht="14" x14ac:dyDescent="0.15">
      <c r="A333" s="86" t="str">
        <f>IF($C333="","",INDEX(Summary_FR!$A$3:$R$157,MATCH($C333,Summary_FR!$E$3:$E$157,0),MATCH(A$3,Summary_FR!$A$3:$R$3,0)))</f>
        <v/>
      </c>
      <c r="B333" s="86" t="str">
        <f>IF($C333="","",INDEX(Summary_FR!$A$3:$R$157,MATCH($C333,Summary_FR!$E$3:$E$157,0),MATCH(B$3,Summary_FR!$A$3:$R$3,0)))</f>
        <v/>
      </c>
      <c r="C333" s="86"/>
      <c r="D333" s="86"/>
      <c r="E333" s="86"/>
      <c r="F333" s="86"/>
      <c r="G333" s="86"/>
      <c r="H333" s="86"/>
      <c r="I333" s="86"/>
      <c r="J333" s="86"/>
      <c r="K333" s="86"/>
      <c r="L333" s="86"/>
      <c r="M333" s="86"/>
      <c r="N333" s="86"/>
    </row>
    <row r="334" spans="1:14" ht="14" x14ac:dyDescent="0.15">
      <c r="A334" s="86" t="str">
        <f>IF($C334="","",INDEX(Summary_FR!$A$3:$R$157,MATCH($C334,Summary_FR!$E$3:$E$157,0),MATCH(A$3,Summary_FR!$A$3:$R$3,0)))</f>
        <v/>
      </c>
      <c r="B334" s="86" t="str">
        <f>IF($C334="","",INDEX(Summary_FR!$A$3:$R$157,MATCH($C334,Summary_FR!$E$3:$E$157,0),MATCH(B$3,Summary_FR!$A$3:$R$3,0)))</f>
        <v/>
      </c>
      <c r="C334" s="86"/>
      <c r="D334" s="86"/>
      <c r="E334" s="86"/>
      <c r="F334" s="86"/>
      <c r="G334" s="86"/>
      <c r="H334" s="86"/>
      <c r="I334" s="86"/>
      <c r="J334" s="86"/>
      <c r="K334" s="86"/>
      <c r="L334" s="86"/>
      <c r="M334" s="86"/>
      <c r="N334" s="86"/>
    </row>
    <row r="335" spans="1:14" ht="14" x14ac:dyDescent="0.15">
      <c r="A335" s="86" t="str">
        <f>IF($C335="","",INDEX(Summary_FR!$A$3:$R$157,MATCH($C335,Summary_FR!$E$3:$E$157,0),MATCH(A$3,Summary_FR!$A$3:$R$3,0)))</f>
        <v/>
      </c>
      <c r="B335" s="86" t="str">
        <f>IF($C335="","",INDEX(Summary_FR!$A$3:$R$157,MATCH($C335,Summary_FR!$E$3:$E$157,0),MATCH(B$3,Summary_FR!$A$3:$R$3,0)))</f>
        <v/>
      </c>
      <c r="C335" s="86"/>
      <c r="D335" s="86"/>
      <c r="E335" s="86"/>
      <c r="F335" s="86"/>
      <c r="G335" s="86"/>
      <c r="H335" s="86"/>
      <c r="I335" s="86"/>
      <c r="J335" s="86"/>
      <c r="K335" s="86"/>
      <c r="L335" s="86"/>
      <c r="M335" s="86"/>
      <c r="N335" s="86"/>
    </row>
    <row r="336" spans="1:14" ht="14" x14ac:dyDescent="0.15">
      <c r="A336" s="86" t="str">
        <f>IF($C336="","",INDEX(Summary_FR!$A$3:$R$157,MATCH($C336,Summary_FR!$E$3:$E$157,0),MATCH(A$3,Summary_FR!$A$3:$R$3,0)))</f>
        <v/>
      </c>
      <c r="B336" s="86" t="str">
        <f>IF($C336="","",INDEX(Summary_FR!$A$3:$R$157,MATCH($C336,Summary_FR!$E$3:$E$157,0),MATCH(B$3,Summary_FR!$A$3:$R$3,0)))</f>
        <v/>
      </c>
      <c r="C336" s="86"/>
      <c r="D336" s="86"/>
      <c r="E336" s="86"/>
      <c r="F336" s="86"/>
      <c r="G336" s="86"/>
      <c r="H336" s="86"/>
      <c r="I336" s="86"/>
      <c r="J336" s="86"/>
      <c r="K336" s="86"/>
      <c r="L336" s="86"/>
      <c r="M336" s="86"/>
      <c r="N336" s="86"/>
    </row>
    <row r="337" spans="1:14" ht="14" x14ac:dyDescent="0.15">
      <c r="A337" s="86" t="str">
        <f>IF($C337="","",INDEX(Summary_FR!$A$3:$R$157,MATCH($C337,Summary_FR!$E$3:$E$157,0),MATCH(A$3,Summary_FR!$A$3:$R$3,0)))</f>
        <v/>
      </c>
      <c r="B337" s="86" t="str">
        <f>IF($C337="","",INDEX(Summary_FR!$A$3:$R$157,MATCH($C337,Summary_FR!$E$3:$E$157,0),MATCH(B$3,Summary_FR!$A$3:$R$3,0)))</f>
        <v/>
      </c>
      <c r="C337" s="86"/>
      <c r="D337" s="86"/>
      <c r="E337" s="86"/>
      <c r="F337" s="86"/>
      <c r="G337" s="86"/>
      <c r="H337" s="86"/>
      <c r="I337" s="86"/>
      <c r="J337" s="86"/>
      <c r="K337" s="86"/>
      <c r="L337" s="86"/>
      <c r="M337" s="86"/>
      <c r="N337" s="86"/>
    </row>
    <row r="338" spans="1:14" ht="14" x14ac:dyDescent="0.15">
      <c r="A338" s="86" t="str">
        <f>IF($C338="","",INDEX(Summary_FR!$A$3:$R$157,MATCH($C338,Summary_FR!$E$3:$E$157,0),MATCH(A$3,Summary_FR!$A$3:$R$3,0)))</f>
        <v/>
      </c>
      <c r="B338" s="86" t="str">
        <f>IF($C338="","",INDEX(Summary_FR!$A$3:$R$157,MATCH($C338,Summary_FR!$E$3:$E$157,0),MATCH(B$3,Summary_FR!$A$3:$R$3,0)))</f>
        <v/>
      </c>
      <c r="C338" s="86"/>
      <c r="D338" s="86"/>
      <c r="E338" s="86"/>
      <c r="F338" s="86"/>
      <c r="G338" s="86"/>
      <c r="H338" s="86"/>
      <c r="I338" s="86"/>
      <c r="J338" s="86"/>
      <c r="K338" s="86"/>
      <c r="L338" s="86"/>
      <c r="M338" s="86"/>
      <c r="N338" s="86"/>
    </row>
    <row r="339" spans="1:14" ht="14" x14ac:dyDescent="0.15">
      <c r="A339" s="86" t="str">
        <f>IF($C339="","",INDEX(Summary_FR!$A$3:$R$157,MATCH($C339,Summary_FR!$E$3:$E$157,0),MATCH(A$3,Summary_FR!$A$3:$R$3,0)))</f>
        <v/>
      </c>
      <c r="B339" s="86" t="str">
        <f>IF($C339="","",INDEX(Summary_FR!$A$3:$R$157,MATCH($C339,Summary_FR!$E$3:$E$157,0),MATCH(B$3,Summary_FR!$A$3:$R$3,0)))</f>
        <v/>
      </c>
      <c r="C339" s="86"/>
      <c r="D339" s="86"/>
      <c r="E339" s="86"/>
      <c r="F339" s="86"/>
      <c r="G339" s="86"/>
      <c r="H339" s="86"/>
      <c r="I339" s="86"/>
      <c r="J339" s="86"/>
      <c r="K339" s="86"/>
      <c r="L339" s="86"/>
      <c r="M339" s="86"/>
      <c r="N339" s="86"/>
    </row>
    <row r="340" spans="1:14" ht="14" x14ac:dyDescent="0.15">
      <c r="A340" s="86" t="str">
        <f>IF($C340="","",INDEX(Summary_FR!$A$3:$R$157,MATCH($C340,Summary_FR!$E$3:$E$157,0),MATCH(A$3,Summary_FR!$A$3:$R$3,0)))</f>
        <v/>
      </c>
      <c r="B340" s="86" t="str">
        <f>IF($C340="","",INDEX(Summary_FR!$A$3:$R$157,MATCH($C340,Summary_FR!$E$3:$E$157,0),MATCH(B$3,Summary_FR!$A$3:$R$3,0)))</f>
        <v/>
      </c>
      <c r="C340" s="86"/>
      <c r="D340" s="86"/>
      <c r="E340" s="86"/>
      <c r="F340" s="86"/>
      <c r="G340" s="86"/>
      <c r="H340" s="86"/>
      <c r="I340" s="86"/>
      <c r="J340" s="86"/>
      <c r="K340" s="86"/>
      <c r="L340" s="86"/>
      <c r="M340" s="86"/>
      <c r="N340" s="86"/>
    </row>
    <row r="341" spans="1:14" ht="14" x14ac:dyDescent="0.15">
      <c r="A341" s="86" t="str">
        <f>IF($C341="","",INDEX(Summary_FR!$A$3:$R$157,MATCH($C341,Summary_FR!$E$3:$E$157,0),MATCH(A$3,Summary_FR!$A$3:$R$3,0)))</f>
        <v/>
      </c>
      <c r="B341" s="86" t="str">
        <f>IF($C341="","",INDEX(Summary_FR!$A$3:$R$157,MATCH($C341,Summary_FR!$E$3:$E$157,0),MATCH(B$3,Summary_FR!$A$3:$R$3,0)))</f>
        <v/>
      </c>
      <c r="C341" s="86"/>
      <c r="D341" s="86"/>
      <c r="E341" s="86"/>
      <c r="F341" s="86"/>
      <c r="G341" s="86"/>
      <c r="H341" s="86"/>
      <c r="I341" s="86"/>
      <c r="J341" s="86"/>
      <c r="K341" s="86"/>
      <c r="L341" s="86"/>
      <c r="M341" s="86"/>
      <c r="N341" s="86"/>
    </row>
    <row r="342" spans="1:14" ht="14" x14ac:dyDescent="0.15">
      <c r="A342" s="86" t="str">
        <f>IF($C342="","",INDEX(Summary_FR!$A$3:$R$157,MATCH($C342,Summary_FR!$E$3:$E$157,0),MATCH(A$3,Summary_FR!$A$3:$R$3,0)))</f>
        <v/>
      </c>
      <c r="B342" s="86" t="str">
        <f>IF($C342="","",INDEX(Summary_FR!$A$3:$R$157,MATCH($C342,Summary_FR!$E$3:$E$157,0),MATCH(B$3,Summary_FR!$A$3:$R$3,0)))</f>
        <v/>
      </c>
      <c r="C342" s="86"/>
      <c r="D342" s="86"/>
      <c r="E342" s="86"/>
      <c r="F342" s="86"/>
      <c r="G342" s="86"/>
      <c r="H342" s="86"/>
      <c r="I342" s="86"/>
      <c r="J342" s="86"/>
      <c r="K342" s="86"/>
      <c r="L342" s="86"/>
      <c r="M342" s="86"/>
      <c r="N342" s="86"/>
    </row>
    <row r="343" spans="1:14" ht="14" x14ac:dyDescent="0.15">
      <c r="A343" s="86" t="str">
        <f>IF($C343="","",INDEX(Summary_FR!$A$3:$R$157,MATCH($C343,Summary_FR!$E$3:$E$157,0),MATCH(A$3,Summary_FR!$A$3:$R$3,0)))</f>
        <v/>
      </c>
      <c r="B343" s="86" t="str">
        <f>IF($C343="","",INDEX(Summary_FR!$A$3:$R$157,MATCH($C343,Summary_FR!$E$3:$E$157,0),MATCH(B$3,Summary_FR!$A$3:$R$3,0)))</f>
        <v/>
      </c>
      <c r="C343" s="86"/>
      <c r="D343" s="86"/>
      <c r="E343" s="86"/>
      <c r="F343" s="86"/>
      <c r="G343" s="86"/>
      <c r="H343" s="86"/>
      <c r="I343" s="86"/>
      <c r="J343" s="86"/>
      <c r="K343" s="86"/>
      <c r="L343" s="86"/>
      <c r="M343" s="86"/>
      <c r="N343" s="86"/>
    </row>
    <row r="344" spans="1:14" ht="14" x14ac:dyDescent="0.15">
      <c r="A344" s="86" t="str">
        <f>IF($C344="","",INDEX(Summary_FR!$A$3:$R$157,MATCH($C344,Summary_FR!$E$3:$E$157,0),MATCH(A$3,Summary_FR!$A$3:$R$3,0)))</f>
        <v/>
      </c>
      <c r="B344" s="86" t="str">
        <f>IF($C344="","",INDEX(Summary_FR!$A$3:$R$157,MATCH($C344,Summary_FR!$E$3:$E$157,0),MATCH(B$3,Summary_FR!$A$3:$R$3,0)))</f>
        <v/>
      </c>
      <c r="C344" s="86"/>
      <c r="D344" s="86"/>
      <c r="E344" s="86"/>
      <c r="F344" s="86"/>
      <c r="G344" s="86"/>
      <c r="H344" s="86"/>
      <c r="I344" s="86"/>
      <c r="J344" s="86"/>
      <c r="K344" s="86"/>
      <c r="L344" s="86"/>
      <c r="M344" s="86"/>
      <c r="N344" s="86"/>
    </row>
    <row r="345" spans="1:14" ht="14" x14ac:dyDescent="0.15">
      <c r="A345" s="86" t="str">
        <f>IF($C345="","",INDEX(Summary_FR!$A$3:$R$157,MATCH($C345,Summary_FR!$E$3:$E$157,0),MATCH(A$3,Summary_FR!$A$3:$R$3,0)))</f>
        <v/>
      </c>
      <c r="B345" s="86" t="str">
        <f>IF($C345="","",INDEX(Summary_FR!$A$3:$R$157,MATCH($C345,Summary_FR!$E$3:$E$157,0),MATCH(B$3,Summary_FR!$A$3:$R$3,0)))</f>
        <v/>
      </c>
      <c r="C345" s="86"/>
      <c r="D345" s="86"/>
      <c r="E345" s="86"/>
      <c r="F345" s="86"/>
      <c r="G345" s="86"/>
      <c r="H345" s="86"/>
      <c r="I345" s="86"/>
      <c r="J345" s="86"/>
      <c r="K345" s="86"/>
      <c r="L345" s="86"/>
      <c r="M345" s="86"/>
      <c r="N345" s="86"/>
    </row>
    <row r="346" spans="1:14" ht="14" x14ac:dyDescent="0.15">
      <c r="A346" s="86" t="str">
        <f>IF($C346="","",INDEX(Summary_FR!$A$3:$R$157,MATCH($C346,Summary_FR!$E$3:$E$157,0),MATCH(A$3,Summary_FR!$A$3:$R$3,0)))</f>
        <v/>
      </c>
      <c r="B346" s="86" t="str">
        <f>IF($C346="","",INDEX(Summary_FR!$A$3:$R$157,MATCH($C346,Summary_FR!$E$3:$E$157,0),MATCH(B$3,Summary_FR!$A$3:$R$3,0)))</f>
        <v/>
      </c>
      <c r="C346" s="86"/>
      <c r="D346" s="86"/>
      <c r="E346" s="86"/>
      <c r="F346" s="86"/>
      <c r="G346" s="86"/>
      <c r="H346" s="86"/>
      <c r="I346" s="86"/>
      <c r="J346" s="86"/>
      <c r="K346" s="86"/>
      <c r="L346" s="86"/>
      <c r="M346" s="86"/>
      <c r="N346" s="86"/>
    </row>
    <row r="347" spans="1:14" ht="14" x14ac:dyDescent="0.15">
      <c r="A347" s="86" t="str">
        <f>IF($C347="","",INDEX(Summary_FR!$A$3:$R$157,MATCH($C347,Summary_FR!$E$3:$E$157,0),MATCH(A$3,Summary_FR!$A$3:$R$3,0)))</f>
        <v/>
      </c>
      <c r="B347" s="86" t="str">
        <f>IF($C347="","",INDEX(Summary_FR!$A$3:$R$157,MATCH($C347,Summary_FR!$E$3:$E$157,0),MATCH(B$3,Summary_FR!$A$3:$R$3,0)))</f>
        <v/>
      </c>
      <c r="C347" s="86"/>
      <c r="D347" s="86"/>
      <c r="E347" s="86"/>
      <c r="F347" s="86"/>
      <c r="G347" s="86"/>
      <c r="H347" s="86"/>
      <c r="I347" s="86"/>
      <c r="J347" s="86"/>
      <c r="K347" s="86"/>
      <c r="L347" s="86"/>
      <c r="M347" s="86"/>
      <c r="N347" s="86"/>
    </row>
    <row r="348" spans="1:14" ht="14" x14ac:dyDescent="0.15">
      <c r="A348" s="86" t="str">
        <f>IF($C348="","",INDEX(Summary_FR!$A$3:$R$157,MATCH($C348,Summary_FR!$E$3:$E$157,0),MATCH(A$3,Summary_FR!$A$3:$R$3,0)))</f>
        <v/>
      </c>
      <c r="B348" s="86" t="str">
        <f>IF($C348="","",INDEX(Summary_FR!$A$3:$R$157,MATCH($C348,Summary_FR!$E$3:$E$157,0),MATCH(B$3,Summary_FR!$A$3:$R$3,0)))</f>
        <v/>
      </c>
      <c r="C348" s="86"/>
      <c r="D348" s="86"/>
      <c r="E348" s="86"/>
      <c r="F348" s="86"/>
      <c r="G348" s="86"/>
      <c r="H348" s="86"/>
      <c r="I348" s="86"/>
      <c r="J348" s="86"/>
      <c r="K348" s="86"/>
      <c r="L348" s="86"/>
      <c r="M348" s="86"/>
      <c r="N348" s="86"/>
    </row>
    <row r="349" spans="1:14" ht="14" x14ac:dyDescent="0.15">
      <c r="A349" s="86" t="str">
        <f>IF($C349="","",INDEX(Summary_FR!$A$3:$R$157,MATCH($C349,Summary_FR!$E$3:$E$157,0),MATCH(A$3,Summary_FR!$A$3:$R$3,0)))</f>
        <v/>
      </c>
      <c r="B349" s="86" t="str">
        <f>IF($C349="","",INDEX(Summary_FR!$A$3:$R$157,MATCH($C349,Summary_FR!$E$3:$E$157,0),MATCH(B$3,Summary_FR!$A$3:$R$3,0)))</f>
        <v/>
      </c>
      <c r="C349" s="86"/>
      <c r="D349" s="86"/>
      <c r="E349" s="86"/>
      <c r="F349" s="86"/>
      <c r="G349" s="86"/>
      <c r="H349" s="86"/>
      <c r="I349" s="86"/>
      <c r="J349" s="86"/>
      <c r="K349" s="86"/>
      <c r="L349" s="86"/>
      <c r="M349" s="86"/>
      <c r="N349" s="86"/>
    </row>
    <row r="350" spans="1:14" ht="14" x14ac:dyDescent="0.15">
      <c r="A350" s="86" t="str">
        <f>IF($C350="","",INDEX(Summary_FR!$A$3:$R$157,MATCH($C350,Summary_FR!$E$3:$E$157,0),MATCH(A$3,Summary_FR!$A$3:$R$3,0)))</f>
        <v/>
      </c>
      <c r="B350" s="86" t="str">
        <f>IF($C350="","",INDEX(Summary_FR!$A$3:$R$157,MATCH($C350,Summary_FR!$E$3:$E$157,0),MATCH(B$3,Summary_FR!$A$3:$R$3,0)))</f>
        <v/>
      </c>
      <c r="C350" s="86"/>
      <c r="D350" s="86"/>
      <c r="E350" s="86"/>
      <c r="F350" s="86"/>
      <c r="G350" s="86"/>
      <c r="H350" s="86"/>
      <c r="I350" s="86"/>
      <c r="J350" s="86"/>
      <c r="K350" s="86"/>
      <c r="L350" s="86"/>
      <c r="M350" s="86"/>
      <c r="N350" s="86"/>
    </row>
    <row r="351" spans="1:14" ht="14" x14ac:dyDescent="0.15">
      <c r="A351" s="86" t="str">
        <f>IF($C351="","",INDEX(Summary_FR!$A$3:$R$157,MATCH($C351,Summary_FR!$E$3:$E$157,0),MATCH(A$3,Summary_FR!$A$3:$R$3,0)))</f>
        <v/>
      </c>
      <c r="B351" s="86" t="str">
        <f>IF($C351="","",INDEX(Summary_FR!$A$3:$R$157,MATCH($C351,Summary_FR!$E$3:$E$157,0),MATCH(B$3,Summary_FR!$A$3:$R$3,0)))</f>
        <v/>
      </c>
      <c r="C351" s="86"/>
      <c r="D351" s="86"/>
      <c r="E351" s="86"/>
      <c r="F351" s="86"/>
      <c r="G351" s="86"/>
      <c r="H351" s="86"/>
      <c r="I351" s="86"/>
      <c r="J351" s="86"/>
      <c r="K351" s="86"/>
      <c r="L351" s="86"/>
      <c r="M351" s="86"/>
      <c r="N351" s="86"/>
    </row>
    <row r="352" spans="1:14" ht="14" x14ac:dyDescent="0.15">
      <c r="A352" s="86" t="str">
        <f>IF($C352="","",INDEX(Summary_FR!$A$3:$R$157,MATCH($C352,Summary_FR!$E$3:$E$157,0),MATCH(A$3,Summary_FR!$A$3:$R$3,0)))</f>
        <v/>
      </c>
      <c r="B352" s="86" t="str">
        <f>IF($C352="","",INDEX(Summary_FR!$A$3:$R$157,MATCH($C352,Summary_FR!$E$3:$E$157,0),MATCH(B$3,Summary_FR!$A$3:$R$3,0)))</f>
        <v/>
      </c>
      <c r="C352" s="86"/>
      <c r="D352" s="86"/>
      <c r="E352" s="86"/>
      <c r="F352" s="86"/>
      <c r="G352" s="86"/>
      <c r="H352" s="86"/>
      <c r="I352" s="86"/>
      <c r="J352" s="86"/>
      <c r="K352" s="86"/>
      <c r="L352" s="86"/>
      <c r="M352" s="86"/>
      <c r="N352" s="86"/>
    </row>
    <row r="353" spans="1:14" ht="14" x14ac:dyDescent="0.15">
      <c r="A353" s="86" t="str">
        <f>IF($C353="","",INDEX(Summary_FR!$A$3:$R$157,MATCH($C353,Summary_FR!$E$3:$E$157,0),MATCH(A$3,Summary_FR!$A$3:$R$3,0)))</f>
        <v/>
      </c>
      <c r="B353" s="86" t="str">
        <f>IF($C353="","",INDEX(Summary_FR!$A$3:$R$157,MATCH($C353,Summary_FR!$E$3:$E$157,0),MATCH(B$3,Summary_FR!$A$3:$R$3,0)))</f>
        <v/>
      </c>
      <c r="C353" s="86"/>
      <c r="D353" s="86"/>
      <c r="E353" s="86"/>
      <c r="F353" s="86"/>
      <c r="G353" s="86"/>
      <c r="H353" s="86"/>
      <c r="I353" s="86"/>
      <c r="J353" s="86"/>
      <c r="K353" s="86"/>
      <c r="L353" s="86"/>
      <c r="M353" s="86"/>
      <c r="N353" s="86"/>
    </row>
    <row r="354" spans="1:14" ht="14" x14ac:dyDescent="0.15">
      <c r="A354" s="86" t="str">
        <f>IF($C354="","",INDEX(Summary_FR!$A$3:$R$157,MATCH($C354,Summary_FR!$E$3:$E$157,0),MATCH(A$3,Summary_FR!$A$3:$R$3,0)))</f>
        <v/>
      </c>
      <c r="B354" s="86" t="str">
        <f>IF($C354="","",INDEX(Summary_FR!$A$3:$R$157,MATCH($C354,Summary_FR!$E$3:$E$157,0),MATCH(B$3,Summary_FR!$A$3:$R$3,0)))</f>
        <v/>
      </c>
      <c r="C354" s="86"/>
      <c r="D354" s="86"/>
      <c r="E354" s="86"/>
      <c r="F354" s="86"/>
      <c r="G354" s="86"/>
      <c r="H354" s="86"/>
      <c r="I354" s="86"/>
      <c r="J354" s="86"/>
      <c r="K354" s="86"/>
      <c r="L354" s="86"/>
      <c r="M354" s="86"/>
      <c r="N354" s="86"/>
    </row>
    <row r="355" spans="1:14" ht="14" x14ac:dyDescent="0.15">
      <c r="A355" s="86" t="str">
        <f>IF($C355="","",INDEX(Summary_FR!$A$3:$R$157,MATCH($C355,Summary_FR!$E$3:$E$157,0),MATCH(A$3,Summary_FR!$A$3:$R$3,0)))</f>
        <v/>
      </c>
      <c r="B355" s="86" t="str">
        <f>IF($C355="","",INDEX(Summary_FR!$A$3:$R$157,MATCH($C355,Summary_FR!$E$3:$E$157,0),MATCH(B$3,Summary_FR!$A$3:$R$3,0)))</f>
        <v/>
      </c>
      <c r="C355" s="86"/>
      <c r="D355" s="86"/>
      <c r="E355" s="86"/>
      <c r="F355" s="86"/>
      <c r="G355" s="86"/>
      <c r="H355" s="86"/>
      <c r="I355" s="86"/>
      <c r="J355" s="86"/>
      <c r="K355" s="86"/>
      <c r="L355" s="86"/>
      <c r="M355" s="86"/>
      <c r="N355" s="86"/>
    </row>
    <row r="356" spans="1:14" ht="14" x14ac:dyDescent="0.15">
      <c r="A356" s="86" t="str">
        <f>IF($C356="","",INDEX(Summary_FR!$A$3:$R$157,MATCH($C356,Summary_FR!$E$3:$E$157,0),MATCH(A$3,Summary_FR!$A$3:$R$3,0)))</f>
        <v/>
      </c>
      <c r="B356" s="86" t="str">
        <f>IF($C356="","",INDEX(Summary_FR!$A$3:$R$157,MATCH($C356,Summary_FR!$E$3:$E$157,0),MATCH(B$3,Summary_FR!$A$3:$R$3,0)))</f>
        <v/>
      </c>
      <c r="C356" s="86"/>
      <c r="D356" s="86"/>
      <c r="E356" s="86"/>
      <c r="F356" s="86"/>
      <c r="G356" s="86"/>
      <c r="H356" s="86"/>
      <c r="I356" s="86"/>
      <c r="J356" s="86"/>
      <c r="K356" s="86"/>
      <c r="L356" s="86"/>
      <c r="M356" s="86"/>
      <c r="N356" s="86"/>
    </row>
    <row r="357" spans="1:14" ht="14" x14ac:dyDescent="0.15">
      <c r="A357" s="86" t="str">
        <f>IF($C357="","",INDEX(Summary_FR!$A$3:$R$157,MATCH($C357,Summary_FR!$E$3:$E$157,0),MATCH(A$3,Summary_FR!$A$3:$R$3,0)))</f>
        <v/>
      </c>
      <c r="B357" s="86" t="str">
        <f>IF($C357="","",INDEX(Summary_FR!$A$3:$R$157,MATCH($C357,Summary_FR!$E$3:$E$157,0),MATCH(B$3,Summary_FR!$A$3:$R$3,0)))</f>
        <v/>
      </c>
      <c r="C357" s="86"/>
      <c r="D357" s="86"/>
      <c r="E357" s="86"/>
      <c r="F357" s="86"/>
      <c r="G357" s="86"/>
      <c r="H357" s="86"/>
      <c r="I357" s="86"/>
      <c r="J357" s="86"/>
      <c r="K357" s="86"/>
      <c r="L357" s="86"/>
      <c r="M357" s="86"/>
      <c r="N357" s="86"/>
    </row>
    <row r="358" spans="1:14" ht="14" x14ac:dyDescent="0.15">
      <c r="A358" s="86" t="str">
        <f>IF($C358="","",INDEX(Summary_FR!$A$3:$R$157,MATCH($C358,Summary_FR!$E$3:$E$157,0),MATCH(A$3,Summary_FR!$A$3:$R$3,0)))</f>
        <v/>
      </c>
      <c r="B358" s="86" t="str">
        <f>IF($C358="","",INDEX(Summary_FR!$A$3:$R$157,MATCH($C358,Summary_FR!$E$3:$E$157,0),MATCH(B$3,Summary_FR!$A$3:$R$3,0)))</f>
        <v/>
      </c>
      <c r="C358" s="86"/>
      <c r="D358" s="86"/>
      <c r="E358" s="86"/>
      <c r="F358" s="86"/>
      <c r="G358" s="86"/>
      <c r="H358" s="86"/>
      <c r="I358" s="86"/>
      <c r="J358" s="86"/>
      <c r="K358" s="86"/>
      <c r="L358" s="86"/>
      <c r="M358" s="86"/>
      <c r="N358" s="86"/>
    </row>
    <row r="359" spans="1:14" ht="14" x14ac:dyDescent="0.15">
      <c r="A359" s="86" t="str">
        <f>IF($C359="","",INDEX(Summary_FR!$A$3:$R$157,MATCH($C359,Summary_FR!$E$3:$E$157,0),MATCH(A$3,Summary_FR!$A$3:$R$3,0)))</f>
        <v/>
      </c>
      <c r="B359" s="86" t="str">
        <f>IF($C359="","",INDEX(Summary_FR!$A$3:$R$157,MATCH($C359,Summary_FR!$E$3:$E$157,0),MATCH(B$3,Summary_FR!$A$3:$R$3,0)))</f>
        <v/>
      </c>
      <c r="C359" s="86"/>
      <c r="D359" s="86"/>
      <c r="E359" s="86"/>
      <c r="F359" s="86"/>
      <c r="G359" s="86"/>
      <c r="H359" s="86"/>
      <c r="I359" s="86"/>
      <c r="J359" s="86"/>
      <c r="K359" s="86"/>
      <c r="L359" s="86"/>
      <c r="M359" s="86"/>
      <c r="N359" s="86"/>
    </row>
    <row r="360" spans="1:14" ht="14" x14ac:dyDescent="0.15">
      <c r="A360" s="86" t="str">
        <f>IF($C360="","",INDEX(Summary_FR!$A$3:$R$157,MATCH($C360,Summary_FR!$E$3:$E$157,0),MATCH(A$3,Summary_FR!$A$3:$R$3,0)))</f>
        <v/>
      </c>
      <c r="B360" s="86" t="str">
        <f>IF($C360="","",INDEX(Summary_FR!$A$3:$R$157,MATCH($C360,Summary_FR!$E$3:$E$157,0),MATCH(B$3,Summary_FR!$A$3:$R$3,0)))</f>
        <v/>
      </c>
      <c r="C360" s="86"/>
      <c r="D360" s="86"/>
      <c r="E360" s="86"/>
      <c r="F360" s="86"/>
      <c r="G360" s="86"/>
      <c r="H360" s="86"/>
      <c r="I360" s="86"/>
      <c r="J360" s="86"/>
      <c r="K360" s="86"/>
      <c r="L360" s="86"/>
      <c r="M360" s="86"/>
      <c r="N360" s="86"/>
    </row>
    <row r="361" spans="1:14" ht="14" x14ac:dyDescent="0.15">
      <c r="A361" s="86" t="str">
        <f>IF($C361="","",INDEX(Summary_FR!$A$3:$R$157,MATCH($C361,Summary_FR!$E$3:$E$157,0),MATCH(A$3,Summary_FR!$A$3:$R$3,0)))</f>
        <v/>
      </c>
      <c r="B361" s="86" t="str">
        <f>IF($C361="","",INDEX(Summary_FR!$A$3:$R$157,MATCH($C361,Summary_FR!$E$3:$E$157,0),MATCH(B$3,Summary_FR!$A$3:$R$3,0)))</f>
        <v/>
      </c>
      <c r="C361" s="86"/>
      <c r="D361" s="86"/>
      <c r="E361" s="86"/>
      <c r="F361" s="86"/>
      <c r="G361" s="86"/>
      <c r="H361" s="86"/>
      <c r="I361" s="86"/>
      <c r="J361" s="86"/>
      <c r="K361" s="86"/>
      <c r="L361" s="86"/>
      <c r="M361" s="86"/>
      <c r="N361" s="86"/>
    </row>
    <row r="362" spans="1:14" ht="14" x14ac:dyDescent="0.15">
      <c r="A362" s="86" t="str">
        <f>IF($C362="","",INDEX(Summary_FR!$A$3:$R$157,MATCH($C362,Summary_FR!$E$3:$E$157,0),MATCH(A$3,Summary_FR!$A$3:$R$3,0)))</f>
        <v/>
      </c>
      <c r="B362" s="86" t="str">
        <f>IF($C362="","",INDEX(Summary_FR!$A$3:$R$157,MATCH($C362,Summary_FR!$E$3:$E$157,0),MATCH(B$3,Summary_FR!$A$3:$R$3,0)))</f>
        <v/>
      </c>
      <c r="C362" s="86"/>
      <c r="D362" s="86"/>
      <c r="E362" s="86"/>
      <c r="F362" s="86"/>
      <c r="G362" s="86"/>
      <c r="H362" s="86"/>
      <c r="I362" s="86"/>
      <c r="J362" s="86"/>
      <c r="K362" s="86"/>
      <c r="L362" s="86"/>
      <c r="M362" s="86"/>
      <c r="N362" s="86"/>
    </row>
    <row r="363" spans="1:14" ht="14" x14ac:dyDescent="0.15">
      <c r="A363" s="86" t="str">
        <f>IF($C363="","",INDEX(Summary_FR!$A$3:$R$157,MATCH($C363,Summary_FR!$E$3:$E$157,0),MATCH(A$3,Summary_FR!$A$3:$R$3,0)))</f>
        <v/>
      </c>
      <c r="B363" s="86" t="str">
        <f>IF($C363="","",INDEX(Summary_FR!$A$3:$R$157,MATCH($C363,Summary_FR!$E$3:$E$157,0),MATCH(B$3,Summary_FR!$A$3:$R$3,0)))</f>
        <v/>
      </c>
      <c r="C363" s="86"/>
      <c r="D363" s="86"/>
      <c r="E363" s="86"/>
      <c r="F363" s="86"/>
      <c r="G363" s="86"/>
      <c r="H363" s="86"/>
      <c r="I363" s="86"/>
      <c r="J363" s="86"/>
      <c r="K363" s="86"/>
      <c r="L363" s="86"/>
      <c r="M363" s="86"/>
      <c r="N363" s="86"/>
    </row>
    <row r="364" spans="1:14" ht="14" x14ac:dyDescent="0.15">
      <c r="A364" s="86" t="str">
        <f>IF($C364="","",INDEX(Summary_FR!$A$3:$R$157,MATCH($C364,Summary_FR!$E$3:$E$157,0),MATCH(A$3,Summary_FR!$A$3:$R$3,0)))</f>
        <v/>
      </c>
      <c r="B364" s="86" t="str">
        <f>IF($C364="","",INDEX(Summary_FR!$A$3:$R$157,MATCH($C364,Summary_FR!$E$3:$E$157,0),MATCH(B$3,Summary_FR!$A$3:$R$3,0)))</f>
        <v/>
      </c>
      <c r="C364" s="86"/>
      <c r="D364" s="86"/>
      <c r="E364" s="86"/>
      <c r="F364" s="86"/>
      <c r="G364" s="86"/>
      <c r="H364" s="86"/>
      <c r="I364" s="86"/>
      <c r="J364" s="86"/>
      <c r="K364" s="86"/>
      <c r="L364" s="86"/>
      <c r="M364" s="86"/>
      <c r="N364" s="86"/>
    </row>
    <row r="365" spans="1:14" ht="14" x14ac:dyDescent="0.15">
      <c r="A365" s="86" t="str">
        <f>IF($C365="","",INDEX(Summary_FR!$A$3:$R$157,MATCH($C365,Summary_FR!$E$3:$E$157,0),MATCH(A$3,Summary_FR!$A$3:$R$3,0)))</f>
        <v/>
      </c>
      <c r="B365" s="86" t="str">
        <f>IF($C365="","",INDEX(Summary_FR!$A$3:$R$157,MATCH($C365,Summary_FR!$E$3:$E$157,0),MATCH(B$3,Summary_FR!$A$3:$R$3,0)))</f>
        <v/>
      </c>
      <c r="C365" s="86"/>
      <c r="D365" s="86"/>
      <c r="E365" s="86"/>
      <c r="F365" s="86"/>
      <c r="G365" s="86"/>
      <c r="H365" s="86"/>
      <c r="I365" s="86"/>
      <c r="J365" s="86"/>
      <c r="K365" s="86"/>
      <c r="L365" s="86"/>
      <c r="M365" s="86"/>
      <c r="N365" s="86"/>
    </row>
    <row r="366" spans="1:14" ht="14" x14ac:dyDescent="0.15">
      <c r="A366" s="86" t="str">
        <f>IF($C366="","",INDEX(Summary_FR!$A$3:$R$157,MATCH($C366,Summary_FR!$E$3:$E$157,0),MATCH(A$3,Summary_FR!$A$3:$R$3,0)))</f>
        <v/>
      </c>
      <c r="B366" s="86" t="str">
        <f>IF($C366="","",INDEX(Summary_FR!$A$3:$R$157,MATCH($C366,Summary_FR!$E$3:$E$157,0),MATCH(B$3,Summary_FR!$A$3:$R$3,0)))</f>
        <v/>
      </c>
      <c r="C366" s="86"/>
      <c r="D366" s="86"/>
      <c r="E366" s="86"/>
      <c r="F366" s="86"/>
      <c r="G366" s="86"/>
      <c r="H366" s="86"/>
      <c r="I366" s="86"/>
      <c r="J366" s="86"/>
      <c r="K366" s="86"/>
      <c r="L366" s="86"/>
      <c r="M366" s="86"/>
      <c r="N366" s="86"/>
    </row>
    <row r="367" spans="1:14" ht="14" x14ac:dyDescent="0.15">
      <c r="A367" s="86" t="str">
        <f>IF($C367="","",INDEX(Summary_FR!$A$3:$R$157,MATCH($C367,Summary_FR!$E$3:$E$157,0),MATCH(A$3,Summary_FR!$A$3:$R$3,0)))</f>
        <v/>
      </c>
      <c r="B367" s="86" t="str">
        <f>IF($C367="","",INDEX(Summary_FR!$A$3:$R$157,MATCH($C367,Summary_FR!$E$3:$E$157,0),MATCH(B$3,Summary_FR!$A$3:$R$3,0)))</f>
        <v/>
      </c>
      <c r="C367" s="86"/>
      <c r="D367" s="86"/>
      <c r="E367" s="86"/>
      <c r="F367" s="86"/>
      <c r="G367" s="86"/>
      <c r="H367" s="86"/>
      <c r="I367" s="86"/>
      <c r="J367" s="86"/>
      <c r="K367" s="86"/>
      <c r="L367" s="86"/>
      <c r="M367" s="86"/>
      <c r="N367" s="86"/>
    </row>
    <row r="368" spans="1:14" ht="14" x14ac:dyDescent="0.15">
      <c r="A368" s="86" t="str">
        <f>IF($C368="","",INDEX(Summary_FR!$A$3:$R$157,MATCH($C368,Summary_FR!$E$3:$E$157,0),MATCH(A$3,Summary_FR!$A$3:$R$3,0)))</f>
        <v/>
      </c>
      <c r="B368" s="86" t="str">
        <f>IF($C368="","",INDEX(Summary_FR!$A$3:$R$157,MATCH($C368,Summary_FR!$E$3:$E$157,0),MATCH(B$3,Summary_FR!$A$3:$R$3,0)))</f>
        <v/>
      </c>
      <c r="C368" s="86"/>
      <c r="D368" s="86"/>
      <c r="E368" s="86"/>
      <c r="F368" s="86"/>
      <c r="G368" s="86"/>
      <c r="H368" s="86"/>
      <c r="I368" s="86"/>
      <c r="J368" s="86"/>
      <c r="K368" s="86"/>
      <c r="L368" s="86"/>
      <c r="M368" s="86"/>
      <c r="N368" s="86"/>
    </row>
    <row r="369" spans="1:14" ht="14" x14ac:dyDescent="0.15">
      <c r="A369" s="86" t="str">
        <f>IF($C369="","",INDEX(Summary_FR!$A$3:$R$157,MATCH($C369,Summary_FR!$E$3:$E$157,0),MATCH(A$3,Summary_FR!$A$3:$R$3,0)))</f>
        <v/>
      </c>
      <c r="B369" s="86" t="str">
        <f>IF($C369="","",INDEX(Summary_FR!$A$3:$R$157,MATCH($C369,Summary_FR!$E$3:$E$157,0),MATCH(B$3,Summary_FR!$A$3:$R$3,0)))</f>
        <v/>
      </c>
      <c r="C369" s="86"/>
      <c r="D369" s="86"/>
      <c r="E369" s="86"/>
      <c r="F369" s="86"/>
      <c r="G369" s="86"/>
      <c r="H369" s="86"/>
      <c r="I369" s="86"/>
      <c r="J369" s="86"/>
      <c r="K369" s="86"/>
      <c r="L369" s="86"/>
      <c r="M369" s="86"/>
      <c r="N369" s="86"/>
    </row>
    <row r="370" spans="1:14" ht="14" x14ac:dyDescent="0.15">
      <c r="A370" s="86" t="str">
        <f>IF($C370="","",INDEX(Summary_FR!$A$3:$R$157,MATCH($C370,Summary_FR!$E$3:$E$157,0),MATCH(A$3,Summary_FR!$A$3:$R$3,0)))</f>
        <v/>
      </c>
      <c r="B370" s="86" t="str">
        <f>IF($C370="","",INDEX(Summary_FR!$A$3:$R$157,MATCH($C370,Summary_FR!$E$3:$E$157,0),MATCH(B$3,Summary_FR!$A$3:$R$3,0)))</f>
        <v/>
      </c>
      <c r="C370" s="86"/>
      <c r="D370" s="86"/>
      <c r="E370" s="86"/>
      <c r="F370" s="86"/>
      <c r="G370" s="86"/>
      <c r="H370" s="86"/>
      <c r="I370" s="86"/>
      <c r="J370" s="86"/>
      <c r="K370" s="86"/>
      <c r="L370" s="86"/>
      <c r="M370" s="86"/>
      <c r="N370" s="86"/>
    </row>
    <row r="371" spans="1:14" ht="14" x14ac:dyDescent="0.15">
      <c r="A371" s="86" t="str">
        <f>IF($C371="","",INDEX(Summary_FR!$A$3:$R$157,MATCH($C371,Summary_FR!$E$3:$E$157,0),MATCH(A$3,Summary_FR!$A$3:$R$3,0)))</f>
        <v/>
      </c>
      <c r="B371" s="86" t="str">
        <f>IF($C371="","",INDEX(Summary_FR!$A$3:$R$157,MATCH($C371,Summary_FR!$E$3:$E$157,0),MATCH(B$3,Summary_FR!$A$3:$R$3,0)))</f>
        <v/>
      </c>
      <c r="C371" s="86"/>
      <c r="D371" s="86"/>
      <c r="E371" s="86"/>
      <c r="F371" s="86"/>
      <c r="G371" s="86"/>
      <c r="H371" s="86"/>
      <c r="I371" s="86"/>
      <c r="J371" s="86"/>
      <c r="K371" s="86"/>
      <c r="L371" s="86"/>
      <c r="M371" s="86"/>
      <c r="N371" s="86"/>
    </row>
    <row r="372" spans="1:14" ht="14" x14ac:dyDescent="0.15">
      <c r="A372" s="86" t="str">
        <f>IF($C372="","",INDEX(Summary_FR!$A$3:$R$157,MATCH($C372,Summary_FR!$E$3:$E$157,0),MATCH(A$3,Summary_FR!$A$3:$R$3,0)))</f>
        <v/>
      </c>
      <c r="B372" s="86" t="str">
        <f>IF($C372="","",INDEX(Summary_FR!$A$3:$R$157,MATCH($C372,Summary_FR!$E$3:$E$157,0),MATCH(B$3,Summary_FR!$A$3:$R$3,0)))</f>
        <v/>
      </c>
      <c r="C372" s="86"/>
      <c r="D372" s="86"/>
      <c r="E372" s="86"/>
      <c r="F372" s="86"/>
      <c r="G372" s="86"/>
      <c r="H372" s="86"/>
      <c r="I372" s="86"/>
      <c r="J372" s="86"/>
      <c r="K372" s="86"/>
      <c r="L372" s="86"/>
      <c r="M372" s="86"/>
      <c r="N372" s="86"/>
    </row>
    <row r="373" spans="1:14" ht="14" x14ac:dyDescent="0.15">
      <c r="A373" s="86" t="str">
        <f>IF($C373="","",INDEX(Summary_FR!$A$3:$R$157,MATCH($C373,Summary_FR!$E$3:$E$157,0),MATCH(A$3,Summary_FR!$A$3:$R$3,0)))</f>
        <v/>
      </c>
      <c r="B373" s="86" t="str">
        <f>IF($C373="","",INDEX(Summary_FR!$A$3:$R$157,MATCH($C373,Summary_FR!$E$3:$E$157,0),MATCH(B$3,Summary_FR!$A$3:$R$3,0)))</f>
        <v/>
      </c>
      <c r="C373" s="86"/>
      <c r="D373" s="86"/>
      <c r="E373" s="86"/>
      <c r="F373" s="86"/>
      <c r="G373" s="86"/>
      <c r="H373" s="86"/>
      <c r="I373" s="86"/>
      <c r="J373" s="86"/>
      <c r="K373" s="86"/>
      <c r="L373" s="86"/>
      <c r="M373" s="86"/>
      <c r="N373" s="86"/>
    </row>
    <row r="374" spans="1:14" ht="14" x14ac:dyDescent="0.15">
      <c r="A374" s="86" t="str">
        <f>IF($C374="","",INDEX(Summary_FR!$A$3:$R$157,MATCH($C374,Summary_FR!$E$3:$E$157,0),MATCH(A$3,Summary_FR!$A$3:$R$3,0)))</f>
        <v/>
      </c>
      <c r="B374" s="86" t="str">
        <f>IF($C374="","",INDEX(Summary_FR!$A$3:$R$157,MATCH($C374,Summary_FR!$E$3:$E$157,0),MATCH(B$3,Summary_FR!$A$3:$R$3,0)))</f>
        <v/>
      </c>
      <c r="C374" s="86"/>
      <c r="D374" s="86"/>
      <c r="E374" s="86"/>
      <c r="F374" s="86"/>
      <c r="G374" s="86"/>
      <c r="H374" s="86"/>
      <c r="I374" s="86"/>
      <c r="J374" s="86"/>
      <c r="K374" s="86"/>
      <c r="L374" s="86"/>
      <c r="M374" s="86"/>
      <c r="N374" s="86"/>
    </row>
    <row r="375" spans="1:14" ht="14" x14ac:dyDescent="0.15">
      <c r="A375" s="86" t="str">
        <f>IF($C375="","",INDEX(Summary_FR!$A$3:$R$157,MATCH($C375,Summary_FR!$E$3:$E$157,0),MATCH(A$3,Summary_FR!$A$3:$R$3,0)))</f>
        <v/>
      </c>
      <c r="B375" s="86" t="str">
        <f>IF($C375="","",INDEX(Summary_FR!$A$3:$R$157,MATCH($C375,Summary_FR!$E$3:$E$157,0),MATCH(B$3,Summary_FR!$A$3:$R$3,0)))</f>
        <v/>
      </c>
      <c r="C375" s="86"/>
      <c r="D375" s="86"/>
      <c r="E375" s="86"/>
      <c r="F375" s="86"/>
      <c r="G375" s="86"/>
      <c r="H375" s="86"/>
      <c r="I375" s="86"/>
      <c r="J375" s="86"/>
      <c r="K375" s="86"/>
      <c r="L375" s="86"/>
      <c r="M375" s="86"/>
      <c r="N375" s="86"/>
    </row>
    <row r="376" spans="1:14" ht="14" x14ac:dyDescent="0.15">
      <c r="A376" s="86" t="str">
        <f>IF($C376="","",INDEX(Summary_FR!$A$3:$R$157,MATCH($C376,Summary_FR!$E$3:$E$157,0),MATCH(A$3,Summary_FR!$A$3:$R$3,0)))</f>
        <v/>
      </c>
      <c r="B376" s="86" t="str">
        <f>IF($C376="","",INDEX(Summary_FR!$A$3:$R$157,MATCH($C376,Summary_FR!$E$3:$E$157,0),MATCH(B$3,Summary_FR!$A$3:$R$3,0)))</f>
        <v/>
      </c>
      <c r="C376" s="86"/>
      <c r="D376" s="86"/>
      <c r="E376" s="86"/>
      <c r="F376" s="86"/>
      <c r="G376" s="86"/>
      <c r="H376" s="86"/>
      <c r="I376" s="86"/>
      <c r="J376" s="86"/>
      <c r="K376" s="86"/>
      <c r="L376" s="86"/>
      <c r="M376" s="86"/>
      <c r="N376" s="86"/>
    </row>
    <row r="377" spans="1:14" ht="14" x14ac:dyDescent="0.15">
      <c r="A377" s="86" t="str">
        <f>IF($C377="","",INDEX(Summary_FR!$A$3:$R$157,MATCH($C377,Summary_FR!$E$3:$E$157,0),MATCH(A$3,Summary_FR!$A$3:$R$3,0)))</f>
        <v/>
      </c>
      <c r="B377" s="86" t="str">
        <f>IF($C377="","",INDEX(Summary_FR!$A$3:$R$157,MATCH($C377,Summary_FR!$E$3:$E$157,0),MATCH(B$3,Summary_FR!$A$3:$R$3,0)))</f>
        <v/>
      </c>
      <c r="C377" s="86"/>
      <c r="D377" s="86"/>
      <c r="E377" s="86"/>
      <c r="F377" s="86"/>
      <c r="G377" s="86"/>
      <c r="H377" s="86"/>
      <c r="I377" s="86"/>
      <c r="J377" s="86"/>
      <c r="K377" s="86"/>
      <c r="L377" s="86"/>
      <c r="M377" s="86"/>
      <c r="N377" s="86"/>
    </row>
    <row r="378" spans="1:14" ht="14" x14ac:dyDescent="0.15">
      <c r="A378" s="86" t="str">
        <f>IF($C378="","",INDEX(Summary_FR!$A$3:$R$157,MATCH($C378,Summary_FR!$E$3:$E$157,0),MATCH(A$3,Summary_FR!$A$3:$R$3,0)))</f>
        <v/>
      </c>
      <c r="B378" s="86" t="str">
        <f>IF($C378="","",INDEX(Summary_FR!$A$3:$R$157,MATCH($C378,Summary_FR!$E$3:$E$157,0),MATCH(B$3,Summary_FR!$A$3:$R$3,0)))</f>
        <v/>
      </c>
      <c r="C378" s="86"/>
      <c r="D378" s="86"/>
      <c r="E378" s="86"/>
      <c r="F378" s="86"/>
      <c r="G378" s="86"/>
      <c r="H378" s="86"/>
      <c r="I378" s="86"/>
      <c r="J378" s="86"/>
      <c r="K378" s="86"/>
      <c r="L378" s="86"/>
      <c r="M378" s="86"/>
      <c r="N378" s="86"/>
    </row>
    <row r="379" spans="1:14" ht="14" x14ac:dyDescent="0.15">
      <c r="A379" s="86" t="str">
        <f>IF($C379="","",INDEX(Summary_FR!$A$3:$R$157,MATCH($C379,Summary_FR!$E$3:$E$157,0),MATCH(A$3,Summary_FR!$A$3:$R$3,0)))</f>
        <v/>
      </c>
      <c r="B379" s="86" t="str">
        <f>IF($C379="","",INDEX(Summary_FR!$A$3:$R$157,MATCH($C379,Summary_FR!$E$3:$E$157,0),MATCH(B$3,Summary_FR!$A$3:$R$3,0)))</f>
        <v/>
      </c>
      <c r="C379" s="86"/>
      <c r="D379" s="86"/>
      <c r="E379" s="86"/>
      <c r="F379" s="86"/>
      <c r="G379" s="86"/>
      <c r="H379" s="86"/>
      <c r="I379" s="86"/>
      <c r="J379" s="86"/>
      <c r="K379" s="86"/>
      <c r="L379" s="86"/>
      <c r="M379" s="86"/>
      <c r="N379" s="86"/>
    </row>
    <row r="380" spans="1:14" ht="14" x14ac:dyDescent="0.15">
      <c r="A380" s="86" t="str">
        <f>IF($C380="","",INDEX(Summary_FR!$A$3:$R$157,MATCH($C380,Summary_FR!$E$3:$E$157,0),MATCH(A$3,Summary_FR!$A$3:$R$3,0)))</f>
        <v/>
      </c>
      <c r="B380" s="86" t="str">
        <f>IF($C380="","",INDEX(Summary_FR!$A$3:$R$157,MATCH($C380,Summary_FR!$E$3:$E$157,0),MATCH(B$3,Summary_FR!$A$3:$R$3,0)))</f>
        <v/>
      </c>
      <c r="C380" s="86"/>
      <c r="D380" s="86"/>
      <c r="E380" s="86"/>
      <c r="F380" s="86"/>
      <c r="G380" s="86"/>
      <c r="H380" s="86"/>
      <c r="I380" s="86"/>
      <c r="J380" s="86"/>
      <c r="K380" s="86"/>
      <c r="L380" s="86"/>
      <c r="M380" s="86"/>
      <c r="N380" s="86"/>
    </row>
    <row r="381" spans="1:14" ht="14" x14ac:dyDescent="0.15">
      <c r="A381" s="86" t="str">
        <f>IF($C381="","",INDEX(Summary_FR!$A$3:$R$157,MATCH($C381,Summary_FR!$E$3:$E$157,0),MATCH(A$3,Summary_FR!$A$3:$R$3,0)))</f>
        <v/>
      </c>
      <c r="B381" s="86" t="str">
        <f>IF($C381="","",INDEX(Summary_FR!$A$3:$R$157,MATCH($C381,Summary_FR!$E$3:$E$157,0),MATCH(B$3,Summary_FR!$A$3:$R$3,0)))</f>
        <v/>
      </c>
      <c r="C381" s="86"/>
      <c r="D381" s="86"/>
      <c r="E381" s="86"/>
      <c r="F381" s="86"/>
      <c r="G381" s="86"/>
      <c r="H381" s="86"/>
      <c r="I381" s="86"/>
      <c r="J381" s="86"/>
      <c r="K381" s="86"/>
      <c r="L381" s="86"/>
      <c r="M381" s="86"/>
      <c r="N381" s="86"/>
    </row>
    <row r="382" spans="1:14" ht="14" x14ac:dyDescent="0.15">
      <c r="A382" s="86" t="str">
        <f>IF($C382="","",INDEX(Summary_FR!$A$3:$R$157,MATCH($C382,Summary_FR!$E$3:$E$157,0),MATCH(A$3,Summary_FR!$A$3:$R$3,0)))</f>
        <v/>
      </c>
      <c r="B382" s="86" t="str">
        <f>IF($C382="","",INDEX(Summary_FR!$A$3:$R$157,MATCH($C382,Summary_FR!$E$3:$E$157,0),MATCH(B$3,Summary_FR!$A$3:$R$3,0)))</f>
        <v/>
      </c>
      <c r="C382" s="86"/>
      <c r="D382" s="86"/>
      <c r="E382" s="86"/>
      <c r="F382" s="86"/>
      <c r="G382" s="86"/>
      <c r="H382" s="86"/>
      <c r="I382" s="86"/>
      <c r="J382" s="86"/>
      <c r="K382" s="86"/>
      <c r="L382" s="86"/>
      <c r="M382" s="86"/>
      <c r="N382" s="86"/>
    </row>
    <row r="383" spans="1:14" ht="14" x14ac:dyDescent="0.15">
      <c r="A383" s="86" t="str">
        <f>IF($C383="","",INDEX(Summary_FR!$A$3:$R$157,MATCH($C383,Summary_FR!$E$3:$E$157,0),MATCH(A$3,Summary_FR!$A$3:$R$3,0)))</f>
        <v/>
      </c>
      <c r="B383" s="86" t="str">
        <f>IF($C383="","",INDEX(Summary_FR!$A$3:$R$157,MATCH($C383,Summary_FR!$E$3:$E$157,0),MATCH(B$3,Summary_FR!$A$3:$R$3,0)))</f>
        <v/>
      </c>
      <c r="C383" s="86"/>
      <c r="D383" s="86"/>
      <c r="E383" s="86"/>
      <c r="F383" s="86"/>
      <c r="G383" s="86"/>
      <c r="H383" s="86"/>
      <c r="I383" s="86"/>
      <c r="J383" s="86"/>
      <c r="K383" s="86"/>
      <c r="L383" s="86"/>
      <c r="M383" s="86"/>
      <c r="N383" s="86"/>
    </row>
    <row r="384" spans="1:14" ht="14" x14ac:dyDescent="0.15">
      <c r="A384" s="86" t="str">
        <f>IF($C384="","",INDEX(Summary_FR!$A$3:$R$157,MATCH($C384,Summary_FR!$E$3:$E$157,0),MATCH(A$3,Summary_FR!$A$3:$R$3,0)))</f>
        <v/>
      </c>
      <c r="B384" s="86" t="str">
        <f>IF($C384="","",INDEX(Summary_FR!$A$3:$R$157,MATCH($C384,Summary_FR!$E$3:$E$157,0),MATCH(B$3,Summary_FR!$A$3:$R$3,0)))</f>
        <v/>
      </c>
      <c r="C384" s="86"/>
      <c r="D384" s="86"/>
      <c r="E384" s="86"/>
      <c r="F384" s="86"/>
      <c r="G384" s="86"/>
      <c r="H384" s="86"/>
      <c r="I384" s="86"/>
      <c r="J384" s="86"/>
      <c r="K384" s="86"/>
      <c r="L384" s="86"/>
      <c r="M384" s="86"/>
      <c r="N384" s="86"/>
    </row>
    <row r="385" spans="1:14" ht="14" x14ac:dyDescent="0.15">
      <c r="A385" s="86" t="str">
        <f>IF($C385="","",INDEX(Summary_FR!$A$3:$R$157,MATCH($C385,Summary_FR!$E$3:$E$157,0),MATCH(A$3,Summary_FR!$A$3:$R$3,0)))</f>
        <v/>
      </c>
      <c r="B385" s="86" t="str">
        <f>IF($C385="","",INDEX(Summary_FR!$A$3:$R$157,MATCH($C385,Summary_FR!$E$3:$E$157,0),MATCH(B$3,Summary_FR!$A$3:$R$3,0)))</f>
        <v/>
      </c>
      <c r="C385" s="86"/>
      <c r="D385" s="86"/>
      <c r="E385" s="86"/>
      <c r="F385" s="86"/>
      <c r="G385" s="86"/>
      <c r="H385" s="86"/>
      <c r="I385" s="86"/>
      <c r="J385" s="86"/>
      <c r="K385" s="86"/>
      <c r="L385" s="86"/>
      <c r="M385" s="86"/>
      <c r="N385" s="86"/>
    </row>
    <row r="386" spans="1:14" ht="14" x14ac:dyDescent="0.15">
      <c r="A386" s="86" t="str">
        <f>IF($C386="","",INDEX(Summary_FR!$A$3:$R$157,MATCH($C386,Summary_FR!$E$3:$E$157,0),MATCH(A$3,Summary_FR!$A$3:$R$3,0)))</f>
        <v/>
      </c>
      <c r="B386" s="86" t="str">
        <f>IF($C386="","",INDEX(Summary_FR!$A$3:$R$157,MATCH($C386,Summary_FR!$E$3:$E$157,0),MATCH(B$3,Summary_FR!$A$3:$R$3,0)))</f>
        <v/>
      </c>
      <c r="C386" s="86"/>
      <c r="D386" s="86"/>
      <c r="E386" s="86"/>
      <c r="F386" s="86"/>
      <c r="G386" s="86"/>
      <c r="H386" s="86"/>
      <c r="I386" s="86"/>
      <c r="J386" s="86"/>
      <c r="K386" s="86"/>
      <c r="L386" s="86"/>
      <c r="M386" s="86"/>
      <c r="N386" s="86"/>
    </row>
    <row r="387" spans="1:14" ht="14" x14ac:dyDescent="0.15">
      <c r="A387" s="86" t="str">
        <f>IF($C387="","",INDEX(Summary_FR!$A$3:$R$157,MATCH($C387,Summary_FR!$E$3:$E$157,0),MATCH(A$3,Summary_FR!$A$3:$R$3,0)))</f>
        <v/>
      </c>
      <c r="B387" s="86" t="str">
        <f>IF($C387="","",INDEX(Summary_FR!$A$3:$R$157,MATCH($C387,Summary_FR!$E$3:$E$157,0),MATCH(B$3,Summary_FR!$A$3:$R$3,0)))</f>
        <v/>
      </c>
      <c r="C387" s="86"/>
      <c r="D387" s="86"/>
      <c r="E387" s="86"/>
      <c r="F387" s="86"/>
      <c r="G387" s="86"/>
      <c r="H387" s="86"/>
      <c r="I387" s="86"/>
      <c r="J387" s="86"/>
      <c r="K387" s="86"/>
      <c r="L387" s="86"/>
      <c r="M387" s="86"/>
      <c r="N387" s="86"/>
    </row>
    <row r="388" spans="1:14" ht="14" x14ac:dyDescent="0.15">
      <c r="A388" s="86" t="str">
        <f>IF($C388="","",INDEX(Summary_FR!$A$3:$R$157,MATCH($C388,Summary_FR!$E$3:$E$157,0),MATCH(A$3,Summary_FR!$A$3:$R$3,0)))</f>
        <v/>
      </c>
      <c r="B388" s="86" t="str">
        <f>IF($C388="","",INDEX(Summary_FR!$A$3:$R$157,MATCH($C388,Summary_FR!$E$3:$E$157,0),MATCH(B$3,Summary_FR!$A$3:$R$3,0)))</f>
        <v/>
      </c>
      <c r="C388" s="86"/>
      <c r="D388" s="86"/>
      <c r="E388" s="86"/>
      <c r="F388" s="86"/>
      <c r="G388" s="86"/>
      <c r="H388" s="86"/>
      <c r="I388" s="86"/>
      <c r="J388" s="86"/>
      <c r="K388" s="86"/>
      <c r="L388" s="86"/>
      <c r="M388" s="86"/>
      <c r="N388" s="86"/>
    </row>
    <row r="389" spans="1:14" ht="14" x14ac:dyDescent="0.15">
      <c r="A389" s="86" t="str">
        <f>IF($C389="","",INDEX(Summary_FR!$A$3:$R$157,MATCH($C389,Summary_FR!$E$3:$E$157,0),MATCH(A$3,Summary_FR!$A$3:$R$3,0)))</f>
        <v/>
      </c>
      <c r="B389" s="86" t="str">
        <f>IF($C389="","",INDEX(Summary_FR!$A$3:$R$157,MATCH($C389,Summary_FR!$E$3:$E$157,0),MATCH(B$3,Summary_FR!$A$3:$R$3,0)))</f>
        <v/>
      </c>
      <c r="C389" s="86"/>
      <c r="D389" s="86"/>
      <c r="E389" s="86"/>
      <c r="F389" s="86"/>
      <c r="G389" s="86"/>
      <c r="H389" s="86"/>
      <c r="I389" s="86"/>
      <c r="J389" s="86"/>
      <c r="K389" s="86"/>
      <c r="L389" s="86"/>
      <c r="M389" s="86"/>
      <c r="N389" s="86"/>
    </row>
    <row r="390" spans="1:14" ht="14" x14ac:dyDescent="0.15">
      <c r="A390" s="86" t="str">
        <f>IF($C390="","",INDEX(Summary_FR!$A$3:$R$157,MATCH($C390,Summary_FR!$E$3:$E$157,0),MATCH(A$3,Summary_FR!$A$3:$R$3,0)))</f>
        <v/>
      </c>
      <c r="B390" s="86" t="str">
        <f>IF($C390="","",INDEX(Summary_FR!$A$3:$R$157,MATCH($C390,Summary_FR!$E$3:$E$157,0),MATCH(B$3,Summary_FR!$A$3:$R$3,0)))</f>
        <v/>
      </c>
      <c r="C390" s="86"/>
      <c r="D390" s="86"/>
      <c r="E390" s="86"/>
      <c r="F390" s="86"/>
      <c r="G390" s="86"/>
      <c r="H390" s="86"/>
      <c r="I390" s="86"/>
      <c r="J390" s="86"/>
      <c r="K390" s="86"/>
      <c r="L390" s="86"/>
      <c r="M390" s="86"/>
      <c r="N390" s="86"/>
    </row>
    <row r="391" spans="1:14" ht="14" x14ac:dyDescent="0.15">
      <c r="A391" s="86" t="str">
        <f>IF($C391="","",INDEX(Summary_FR!$A$3:$R$157,MATCH($C391,Summary_FR!$E$3:$E$157,0),MATCH(A$3,Summary_FR!$A$3:$R$3,0)))</f>
        <v/>
      </c>
      <c r="B391" s="86" t="str">
        <f>IF($C391="","",INDEX(Summary_FR!$A$3:$R$157,MATCH($C391,Summary_FR!$E$3:$E$157,0),MATCH(B$3,Summary_FR!$A$3:$R$3,0)))</f>
        <v/>
      </c>
      <c r="C391" s="86"/>
      <c r="D391" s="86"/>
      <c r="E391" s="86"/>
      <c r="F391" s="86"/>
      <c r="G391" s="86"/>
      <c r="H391" s="86"/>
      <c r="I391" s="86"/>
      <c r="J391" s="86"/>
      <c r="K391" s="86"/>
      <c r="L391" s="86"/>
      <c r="M391" s="86"/>
      <c r="N391" s="86"/>
    </row>
    <row r="392" spans="1:14" ht="14" x14ac:dyDescent="0.15">
      <c r="A392" s="86" t="str">
        <f>IF($C392="","",INDEX(Summary_FR!$A$3:$R$157,MATCH($C392,Summary_FR!$E$3:$E$157,0),MATCH(A$3,Summary_FR!$A$3:$R$3,0)))</f>
        <v/>
      </c>
      <c r="B392" s="86" t="str">
        <f>IF($C392="","",INDEX(Summary_FR!$A$3:$R$157,MATCH($C392,Summary_FR!$E$3:$E$157,0),MATCH(B$3,Summary_FR!$A$3:$R$3,0)))</f>
        <v/>
      </c>
      <c r="C392" s="86"/>
      <c r="D392" s="86"/>
      <c r="E392" s="86"/>
      <c r="F392" s="86"/>
      <c r="G392" s="86"/>
      <c r="H392" s="86"/>
      <c r="I392" s="86"/>
      <c r="J392" s="86"/>
      <c r="K392" s="86"/>
      <c r="L392" s="86"/>
      <c r="M392" s="86"/>
      <c r="N392" s="86"/>
    </row>
    <row r="393" spans="1:14" ht="14" x14ac:dyDescent="0.15">
      <c r="A393" s="86" t="str">
        <f>IF($C393="","",INDEX(Summary_FR!$A$3:$R$157,MATCH($C393,Summary_FR!$E$3:$E$157,0),MATCH(A$3,Summary_FR!$A$3:$R$3,0)))</f>
        <v/>
      </c>
      <c r="B393" s="86" t="str">
        <f>IF($C393="","",INDEX(Summary_FR!$A$3:$R$157,MATCH($C393,Summary_FR!$E$3:$E$157,0),MATCH(B$3,Summary_FR!$A$3:$R$3,0)))</f>
        <v/>
      </c>
      <c r="C393" s="86"/>
      <c r="D393" s="86"/>
      <c r="E393" s="86"/>
      <c r="F393" s="86"/>
      <c r="G393" s="86"/>
      <c r="H393" s="86"/>
      <c r="I393" s="86"/>
      <c r="J393" s="86"/>
      <c r="K393" s="86"/>
      <c r="L393" s="86"/>
      <c r="M393" s="86"/>
      <c r="N393" s="86"/>
    </row>
    <row r="394" spans="1:14" ht="14" x14ac:dyDescent="0.15">
      <c r="A394" s="86" t="str">
        <f>IF($C394="","",INDEX(Summary_FR!$A$3:$R$157,MATCH($C394,Summary_FR!$E$3:$E$157,0),MATCH(A$3,Summary_FR!$A$3:$R$3,0)))</f>
        <v/>
      </c>
      <c r="B394" s="86" t="str">
        <f>IF($C394="","",INDEX(Summary_FR!$A$3:$R$157,MATCH($C394,Summary_FR!$E$3:$E$157,0),MATCH(B$3,Summary_FR!$A$3:$R$3,0)))</f>
        <v/>
      </c>
      <c r="C394" s="86"/>
      <c r="D394" s="86"/>
      <c r="E394" s="86"/>
      <c r="F394" s="86"/>
      <c r="G394" s="86"/>
      <c r="H394" s="86"/>
      <c r="I394" s="86"/>
      <c r="J394" s="86"/>
      <c r="K394" s="86"/>
      <c r="L394" s="86"/>
      <c r="M394" s="86"/>
      <c r="N394" s="86"/>
    </row>
    <row r="395" spans="1:14" ht="14" x14ac:dyDescent="0.15">
      <c r="A395" s="86" t="str">
        <f>IF($C395="","",INDEX(Summary_FR!$A$3:$R$157,MATCH($C395,Summary_FR!$E$3:$E$157,0),MATCH(A$3,Summary_FR!$A$3:$R$3,0)))</f>
        <v/>
      </c>
      <c r="B395" s="86" t="str">
        <f>IF($C395="","",INDEX(Summary_FR!$A$3:$R$157,MATCH($C395,Summary_FR!$E$3:$E$157,0),MATCH(B$3,Summary_FR!$A$3:$R$3,0)))</f>
        <v/>
      </c>
      <c r="C395" s="86"/>
      <c r="D395" s="86"/>
      <c r="E395" s="86"/>
      <c r="F395" s="86"/>
      <c r="G395" s="86"/>
      <c r="H395" s="86"/>
      <c r="I395" s="86"/>
      <c r="J395" s="86"/>
      <c r="K395" s="86"/>
      <c r="L395" s="86"/>
      <c r="M395" s="86"/>
      <c r="N395" s="86"/>
    </row>
    <row r="396" spans="1:14" ht="14" x14ac:dyDescent="0.15">
      <c r="A396" s="86" t="str">
        <f>IF($C396="","",INDEX(Summary_FR!$A$3:$R$157,MATCH($C396,Summary_FR!$E$3:$E$157,0),MATCH(A$3,Summary_FR!$A$3:$R$3,0)))</f>
        <v/>
      </c>
      <c r="B396" s="86" t="str">
        <f>IF($C396="","",INDEX(Summary_FR!$A$3:$R$157,MATCH($C396,Summary_FR!$E$3:$E$157,0),MATCH(B$3,Summary_FR!$A$3:$R$3,0)))</f>
        <v/>
      </c>
      <c r="C396" s="86"/>
      <c r="D396" s="86"/>
      <c r="E396" s="86"/>
      <c r="F396" s="86"/>
      <c r="G396" s="86"/>
      <c r="H396" s="86"/>
      <c r="I396" s="86"/>
      <c r="J396" s="86"/>
      <c r="K396" s="86"/>
      <c r="L396" s="86"/>
      <c r="M396" s="86"/>
      <c r="N396" s="86"/>
    </row>
    <row r="397" spans="1:14" ht="14" x14ac:dyDescent="0.15">
      <c r="A397" s="86" t="str">
        <f>IF($C397="","",INDEX(Summary_FR!$A$3:$R$157,MATCH($C397,Summary_FR!$E$3:$E$157,0),MATCH(A$3,Summary_FR!$A$3:$R$3,0)))</f>
        <v/>
      </c>
      <c r="B397" s="86" t="str">
        <f>IF($C397="","",INDEX(Summary_FR!$A$3:$R$157,MATCH($C397,Summary_FR!$E$3:$E$157,0),MATCH(B$3,Summary_FR!$A$3:$R$3,0)))</f>
        <v/>
      </c>
      <c r="C397" s="86"/>
      <c r="D397" s="86"/>
      <c r="E397" s="86"/>
      <c r="F397" s="86"/>
      <c r="G397" s="86"/>
      <c r="H397" s="86"/>
      <c r="I397" s="86"/>
      <c r="J397" s="86"/>
      <c r="K397" s="86"/>
      <c r="L397" s="86"/>
      <c r="M397" s="86"/>
      <c r="N397" s="86"/>
    </row>
    <row r="398" spans="1:14" ht="14" x14ac:dyDescent="0.15">
      <c r="A398" s="86" t="str">
        <f>IF($C398="","",INDEX(Summary_FR!$A$3:$R$157,MATCH($C398,Summary_FR!$E$3:$E$157,0),MATCH(A$3,Summary_FR!$A$3:$R$3,0)))</f>
        <v/>
      </c>
      <c r="B398" s="86" t="str">
        <f>IF($C398="","",INDEX(Summary_FR!$A$3:$R$157,MATCH($C398,Summary_FR!$E$3:$E$157,0),MATCH(B$3,Summary_FR!$A$3:$R$3,0)))</f>
        <v/>
      </c>
      <c r="C398" s="86"/>
      <c r="D398" s="86"/>
      <c r="E398" s="86"/>
      <c r="F398" s="86"/>
      <c r="G398" s="86"/>
      <c r="H398" s="86"/>
      <c r="I398" s="86"/>
      <c r="J398" s="86"/>
      <c r="K398" s="86"/>
      <c r="L398" s="86"/>
      <c r="M398" s="86"/>
      <c r="N398" s="86"/>
    </row>
    <row r="399" spans="1:14" ht="14" x14ac:dyDescent="0.15">
      <c r="A399" s="86" t="str">
        <f>IF($C399="","",INDEX(Summary_FR!$A$3:$R$157,MATCH($C399,Summary_FR!$E$3:$E$157,0),MATCH(A$3,Summary_FR!$A$3:$R$3,0)))</f>
        <v/>
      </c>
      <c r="B399" s="86" t="str">
        <f>IF($C399="","",INDEX(Summary_FR!$A$3:$R$157,MATCH($C399,Summary_FR!$E$3:$E$157,0),MATCH(B$3,Summary_FR!$A$3:$R$3,0)))</f>
        <v/>
      </c>
      <c r="C399" s="86"/>
      <c r="D399" s="86"/>
      <c r="E399" s="86"/>
      <c r="F399" s="86"/>
      <c r="G399" s="86"/>
      <c r="H399" s="86"/>
      <c r="I399" s="86"/>
      <c r="J399" s="86"/>
      <c r="K399" s="86"/>
      <c r="L399" s="86"/>
      <c r="M399" s="86"/>
      <c r="N399" s="86"/>
    </row>
    <row r="400" spans="1:14" ht="14" x14ac:dyDescent="0.15">
      <c r="A400" s="86" t="str">
        <f>IF($C400="","",INDEX(Summary_FR!$A$3:$R$157,MATCH($C400,Summary_FR!$E$3:$E$157,0),MATCH(A$3,Summary_FR!$A$3:$R$3,0)))</f>
        <v/>
      </c>
      <c r="B400" s="86" t="str">
        <f>IF($C400="","",INDEX(Summary_FR!$A$3:$R$157,MATCH($C400,Summary_FR!$E$3:$E$157,0),MATCH(B$3,Summary_FR!$A$3:$R$3,0)))</f>
        <v/>
      </c>
      <c r="C400" s="86"/>
      <c r="D400" s="86"/>
      <c r="E400" s="86"/>
      <c r="F400" s="86"/>
      <c r="G400" s="86"/>
      <c r="H400" s="86"/>
      <c r="I400" s="86"/>
      <c r="J400" s="86"/>
      <c r="K400" s="86"/>
      <c r="L400" s="86"/>
      <c r="M400" s="86"/>
      <c r="N400" s="86"/>
    </row>
    <row r="401" spans="1:14" ht="14" x14ac:dyDescent="0.15">
      <c r="A401" s="86" t="str">
        <f>IF($C401="","",INDEX(Summary_FR!$A$3:$R$157,MATCH($C401,Summary_FR!$E$3:$E$157,0),MATCH(A$3,Summary_FR!$A$3:$R$3,0)))</f>
        <v/>
      </c>
      <c r="B401" s="86" t="str">
        <f>IF($C401="","",INDEX(Summary_FR!$A$3:$R$157,MATCH($C401,Summary_FR!$E$3:$E$157,0),MATCH(B$3,Summary_FR!$A$3:$R$3,0)))</f>
        <v/>
      </c>
      <c r="C401" s="86"/>
      <c r="D401" s="86"/>
      <c r="E401" s="86"/>
      <c r="F401" s="86"/>
      <c r="G401" s="86"/>
      <c r="H401" s="86"/>
      <c r="I401" s="86"/>
      <c r="J401" s="86"/>
      <c r="K401" s="86"/>
      <c r="L401" s="86"/>
      <c r="M401" s="86"/>
      <c r="N401" s="86"/>
    </row>
    <row r="402" spans="1:14" ht="14" x14ac:dyDescent="0.15">
      <c r="A402" s="86" t="str">
        <f>IF($C402="","",INDEX(Summary_FR!$A$3:$R$157,MATCH($C402,Summary_FR!$E$3:$E$157,0),MATCH(A$3,Summary_FR!$A$3:$R$3,0)))</f>
        <v/>
      </c>
      <c r="B402" s="86" t="str">
        <f>IF($C402="","",INDEX(Summary_FR!$A$3:$R$157,MATCH($C402,Summary_FR!$E$3:$E$157,0),MATCH(B$3,Summary_FR!$A$3:$R$3,0)))</f>
        <v/>
      </c>
      <c r="C402" s="86"/>
      <c r="D402" s="86"/>
      <c r="E402" s="86"/>
      <c r="F402" s="86"/>
      <c r="G402" s="86"/>
      <c r="H402" s="86"/>
      <c r="I402" s="86"/>
      <c r="J402" s="86"/>
      <c r="K402" s="86"/>
      <c r="L402" s="86"/>
      <c r="M402" s="86"/>
      <c r="N402" s="86"/>
    </row>
    <row r="403" spans="1:14" ht="14" x14ac:dyDescent="0.15">
      <c r="A403" s="86" t="str">
        <f>IF($C403="","",INDEX(Summary_FR!$A$3:$R$157,MATCH($C403,Summary_FR!$E$3:$E$157,0),MATCH(A$3,Summary_FR!$A$3:$R$3,0)))</f>
        <v/>
      </c>
      <c r="B403" s="86" t="str">
        <f>IF($C403="","",INDEX(Summary_FR!$A$3:$R$157,MATCH($C403,Summary_FR!$E$3:$E$157,0),MATCH(B$3,Summary_FR!$A$3:$R$3,0)))</f>
        <v/>
      </c>
      <c r="C403" s="86"/>
      <c r="D403" s="86"/>
      <c r="E403" s="86"/>
      <c r="F403" s="86"/>
      <c r="G403" s="86"/>
      <c r="H403" s="86"/>
      <c r="I403" s="86"/>
      <c r="J403" s="86"/>
      <c r="K403" s="86"/>
      <c r="L403" s="86"/>
      <c r="M403" s="86"/>
      <c r="N403" s="86"/>
    </row>
    <row r="404" spans="1:14" ht="14" x14ac:dyDescent="0.15">
      <c r="A404" s="86" t="str">
        <f>IF($C404="","",INDEX(Summary_FR!$A$3:$R$157,MATCH($C404,Summary_FR!$E$3:$E$157,0),MATCH(A$3,Summary_FR!$A$3:$R$3,0)))</f>
        <v/>
      </c>
      <c r="B404" s="86" t="str">
        <f>IF($C404="","",INDEX(Summary_FR!$A$3:$R$157,MATCH($C404,Summary_FR!$E$3:$E$157,0),MATCH(B$3,Summary_FR!$A$3:$R$3,0)))</f>
        <v/>
      </c>
      <c r="C404" s="86"/>
      <c r="D404" s="86"/>
      <c r="E404" s="86"/>
      <c r="F404" s="86"/>
      <c r="G404" s="86"/>
      <c r="H404" s="86"/>
      <c r="I404" s="86"/>
      <c r="J404" s="86"/>
      <c r="K404" s="86"/>
      <c r="L404" s="86"/>
      <c r="M404" s="86"/>
      <c r="N404" s="86"/>
    </row>
    <row r="405" spans="1:14" ht="14" x14ac:dyDescent="0.15">
      <c r="A405" s="86" t="str">
        <f>IF($C405="","",INDEX(Summary_FR!$A$3:$R$157,MATCH($C405,Summary_FR!$E$3:$E$157,0),MATCH(A$3,Summary_FR!$A$3:$R$3,0)))</f>
        <v/>
      </c>
      <c r="B405" s="86" t="str">
        <f>IF($C405="","",INDEX(Summary_FR!$A$3:$R$157,MATCH($C405,Summary_FR!$E$3:$E$157,0),MATCH(B$3,Summary_FR!$A$3:$R$3,0)))</f>
        <v/>
      </c>
      <c r="C405" s="86"/>
      <c r="D405" s="86"/>
      <c r="E405" s="86"/>
      <c r="F405" s="86"/>
      <c r="G405" s="86"/>
      <c r="H405" s="86"/>
      <c r="I405" s="86"/>
      <c r="J405" s="86"/>
      <c r="K405" s="86"/>
      <c r="L405" s="86"/>
      <c r="M405" s="86"/>
      <c r="N405" s="86"/>
    </row>
    <row r="406" spans="1:14" ht="14" x14ac:dyDescent="0.15">
      <c r="A406" s="86" t="str">
        <f>IF($C406="","",INDEX(Summary_FR!$A$3:$R$157,MATCH($C406,Summary_FR!$E$3:$E$157,0),MATCH(A$3,Summary_FR!$A$3:$R$3,0)))</f>
        <v/>
      </c>
      <c r="B406" s="86" t="str">
        <f>IF($C406="","",INDEX(Summary_FR!$A$3:$R$157,MATCH($C406,Summary_FR!$E$3:$E$157,0),MATCH(B$3,Summary_FR!$A$3:$R$3,0)))</f>
        <v/>
      </c>
      <c r="C406" s="86"/>
      <c r="D406" s="86"/>
      <c r="E406" s="86"/>
      <c r="F406" s="86"/>
      <c r="G406" s="86"/>
      <c r="H406" s="86"/>
      <c r="I406" s="86"/>
      <c r="J406" s="86"/>
      <c r="K406" s="86"/>
      <c r="L406" s="86"/>
      <c r="M406" s="86"/>
      <c r="N406" s="86"/>
    </row>
    <row r="407" spans="1:14" ht="14" x14ac:dyDescent="0.15">
      <c r="A407" s="86" t="str">
        <f>IF($C407="","",INDEX(Summary_FR!$A$3:$R$157,MATCH($C407,Summary_FR!$E$3:$E$157,0),MATCH(A$3,Summary_FR!$A$3:$R$3,0)))</f>
        <v/>
      </c>
      <c r="B407" s="86" t="str">
        <f>IF($C407="","",INDEX(Summary_FR!$A$3:$R$157,MATCH($C407,Summary_FR!$E$3:$E$157,0),MATCH(B$3,Summary_FR!$A$3:$R$3,0)))</f>
        <v/>
      </c>
      <c r="C407" s="86"/>
      <c r="D407" s="86"/>
      <c r="E407" s="86"/>
      <c r="F407" s="86"/>
      <c r="G407" s="86"/>
      <c r="H407" s="86"/>
      <c r="I407" s="86"/>
      <c r="J407" s="86"/>
      <c r="K407" s="86"/>
      <c r="L407" s="86"/>
      <c r="M407" s="86"/>
      <c r="N407" s="86"/>
    </row>
    <row r="408" spans="1:14" ht="14" x14ac:dyDescent="0.15">
      <c r="A408" s="86" t="str">
        <f>IF($C408="","",INDEX(Summary_FR!$A$3:$R$157,MATCH($C408,Summary_FR!$E$3:$E$157,0),MATCH(A$3,Summary_FR!$A$3:$R$3,0)))</f>
        <v/>
      </c>
      <c r="B408" s="86" t="str">
        <f>IF($C408="","",INDEX(Summary_FR!$A$3:$R$157,MATCH($C408,Summary_FR!$E$3:$E$157,0),MATCH(B$3,Summary_FR!$A$3:$R$3,0)))</f>
        <v/>
      </c>
      <c r="C408" s="86"/>
      <c r="D408" s="86"/>
      <c r="E408" s="86"/>
      <c r="F408" s="86"/>
      <c r="G408" s="86"/>
      <c r="H408" s="86"/>
      <c r="I408" s="86"/>
      <c r="J408" s="86"/>
      <c r="K408" s="86"/>
      <c r="L408" s="86"/>
      <c r="M408" s="86"/>
      <c r="N408" s="86"/>
    </row>
    <row r="409" spans="1:14" ht="14" x14ac:dyDescent="0.15">
      <c r="A409" s="86" t="str">
        <f>IF($C409="","",INDEX(Summary_FR!$A$3:$R$157,MATCH($C409,Summary_FR!$E$3:$E$157,0),MATCH(A$3,Summary_FR!$A$3:$R$3,0)))</f>
        <v/>
      </c>
      <c r="B409" s="86" t="str">
        <f>IF($C409="","",INDEX(Summary_FR!$A$3:$R$157,MATCH($C409,Summary_FR!$E$3:$E$157,0),MATCH(B$3,Summary_FR!$A$3:$R$3,0)))</f>
        <v/>
      </c>
      <c r="C409" s="86"/>
      <c r="D409" s="86"/>
      <c r="E409" s="86"/>
      <c r="F409" s="86"/>
      <c r="G409" s="86"/>
      <c r="H409" s="86"/>
      <c r="I409" s="86"/>
      <c r="J409" s="86"/>
      <c r="K409" s="86"/>
      <c r="L409" s="86"/>
      <c r="M409" s="86"/>
      <c r="N409" s="86"/>
    </row>
    <row r="410" spans="1:14" ht="14" x14ac:dyDescent="0.15">
      <c r="A410" s="86" t="str">
        <f>IF($C410="","",INDEX(Summary_FR!$A$3:$R$157,MATCH($C410,Summary_FR!$E$3:$E$157,0),MATCH(A$3,Summary_FR!$A$3:$R$3,0)))</f>
        <v/>
      </c>
      <c r="B410" s="86" t="str">
        <f>IF($C410="","",INDEX(Summary_FR!$A$3:$R$157,MATCH($C410,Summary_FR!$E$3:$E$157,0),MATCH(B$3,Summary_FR!$A$3:$R$3,0)))</f>
        <v/>
      </c>
      <c r="C410" s="86"/>
      <c r="D410" s="86"/>
      <c r="E410" s="86"/>
      <c r="F410" s="86"/>
      <c r="G410" s="86"/>
      <c r="H410" s="86"/>
      <c r="I410" s="86"/>
      <c r="J410" s="86"/>
      <c r="K410" s="86"/>
      <c r="L410" s="86"/>
      <c r="M410" s="86"/>
      <c r="N410" s="86"/>
    </row>
    <row r="411" spans="1:14" ht="14" x14ac:dyDescent="0.15">
      <c r="A411" s="86" t="str">
        <f>IF($C411="","",INDEX(Summary_FR!$A$3:$R$157,MATCH($C411,Summary_FR!$E$3:$E$157,0),MATCH(A$3,Summary_FR!$A$3:$R$3,0)))</f>
        <v/>
      </c>
      <c r="B411" s="86" t="str">
        <f>IF($C411="","",INDEX(Summary_FR!$A$3:$R$157,MATCH($C411,Summary_FR!$E$3:$E$157,0),MATCH(B$3,Summary_FR!$A$3:$R$3,0)))</f>
        <v/>
      </c>
      <c r="C411" s="86"/>
      <c r="D411" s="86"/>
      <c r="E411" s="86"/>
      <c r="F411" s="86"/>
      <c r="G411" s="86"/>
      <c r="H411" s="86"/>
      <c r="I411" s="86"/>
      <c r="J411" s="86"/>
      <c r="K411" s="86"/>
      <c r="L411" s="86"/>
      <c r="M411" s="86"/>
      <c r="N411" s="86"/>
    </row>
    <row r="412" spans="1:14" ht="14" x14ac:dyDescent="0.15">
      <c r="A412" s="86" t="str">
        <f>IF($C412="","",INDEX(Summary_FR!$A$3:$R$157,MATCH($C412,Summary_FR!$E$3:$E$157,0),MATCH(A$3,Summary_FR!$A$3:$R$3,0)))</f>
        <v/>
      </c>
      <c r="B412" s="86" t="str">
        <f>IF($C412="","",INDEX(Summary_FR!$A$3:$R$157,MATCH($C412,Summary_FR!$E$3:$E$157,0),MATCH(B$3,Summary_FR!$A$3:$R$3,0)))</f>
        <v/>
      </c>
      <c r="C412" s="86"/>
      <c r="D412" s="86"/>
      <c r="E412" s="86"/>
      <c r="F412" s="86"/>
      <c r="G412" s="86"/>
      <c r="H412" s="86"/>
      <c r="I412" s="86"/>
      <c r="J412" s="86"/>
      <c r="K412" s="86"/>
      <c r="L412" s="86"/>
      <c r="M412" s="86"/>
      <c r="N412" s="86"/>
    </row>
    <row r="413" spans="1:14" ht="14" x14ac:dyDescent="0.15">
      <c r="A413" s="86" t="str">
        <f>IF($C413="","",INDEX(Summary_FR!$A$3:$R$157,MATCH($C413,Summary_FR!$E$3:$E$157,0),MATCH(A$3,Summary_FR!$A$3:$R$3,0)))</f>
        <v/>
      </c>
      <c r="B413" s="86" t="str">
        <f>IF($C413="","",INDEX(Summary_FR!$A$3:$R$157,MATCH($C413,Summary_FR!$E$3:$E$157,0),MATCH(B$3,Summary_FR!$A$3:$R$3,0)))</f>
        <v/>
      </c>
      <c r="C413" s="86"/>
      <c r="D413" s="86"/>
      <c r="E413" s="86"/>
      <c r="F413" s="86"/>
      <c r="G413" s="86"/>
      <c r="H413" s="86"/>
      <c r="I413" s="86"/>
      <c r="J413" s="86"/>
      <c r="K413" s="86"/>
      <c r="L413" s="86"/>
      <c r="M413" s="86"/>
      <c r="N413" s="86"/>
    </row>
    <row r="414" spans="1:14" ht="14" x14ac:dyDescent="0.15">
      <c r="A414" s="86" t="str">
        <f>IF($C414="","",INDEX(Summary_FR!$A$3:$R$157,MATCH($C414,Summary_FR!$E$3:$E$157,0),MATCH(A$3,Summary_FR!$A$3:$R$3,0)))</f>
        <v/>
      </c>
      <c r="B414" s="86" t="str">
        <f>IF($C414="","",INDEX(Summary_FR!$A$3:$R$157,MATCH($C414,Summary_FR!$E$3:$E$157,0),MATCH(B$3,Summary_FR!$A$3:$R$3,0)))</f>
        <v/>
      </c>
      <c r="C414" s="86"/>
      <c r="D414" s="86"/>
      <c r="E414" s="86"/>
      <c r="F414" s="86"/>
      <c r="G414" s="86"/>
      <c r="H414" s="86"/>
      <c r="I414" s="86"/>
      <c r="J414" s="86"/>
      <c r="K414" s="86"/>
      <c r="L414" s="86"/>
      <c r="M414" s="86"/>
      <c r="N414" s="86"/>
    </row>
    <row r="415" spans="1:14" ht="14" x14ac:dyDescent="0.15">
      <c r="A415" s="86" t="str">
        <f>IF($C415="","",INDEX(Summary_FR!$A$3:$R$157,MATCH($C415,Summary_FR!$E$3:$E$157,0),MATCH(A$3,Summary_FR!$A$3:$R$3,0)))</f>
        <v/>
      </c>
      <c r="B415" s="86" t="str">
        <f>IF($C415="","",INDEX(Summary_FR!$A$3:$R$157,MATCH($C415,Summary_FR!$E$3:$E$157,0),MATCH(B$3,Summary_FR!$A$3:$R$3,0)))</f>
        <v/>
      </c>
      <c r="C415" s="86"/>
      <c r="D415" s="86"/>
      <c r="E415" s="86"/>
      <c r="F415" s="86"/>
      <c r="G415" s="86"/>
      <c r="H415" s="86"/>
      <c r="I415" s="86"/>
      <c r="J415" s="86"/>
      <c r="K415" s="86"/>
      <c r="L415" s="86"/>
      <c r="M415" s="86"/>
      <c r="N415" s="86"/>
    </row>
    <row r="416" spans="1:14" ht="14" x14ac:dyDescent="0.15">
      <c r="A416" s="86" t="str">
        <f>IF($C416="","",INDEX(Summary_FR!$A$3:$R$157,MATCH($C416,Summary_FR!$E$3:$E$157,0),MATCH(A$3,Summary_FR!$A$3:$R$3,0)))</f>
        <v/>
      </c>
      <c r="B416" s="86" t="str">
        <f>IF($C416="","",INDEX(Summary_FR!$A$3:$R$157,MATCH($C416,Summary_FR!$E$3:$E$157,0),MATCH(B$3,Summary_FR!$A$3:$R$3,0)))</f>
        <v/>
      </c>
      <c r="C416" s="86"/>
      <c r="D416" s="86"/>
      <c r="E416" s="86"/>
      <c r="F416" s="86"/>
      <c r="G416" s="86"/>
      <c r="H416" s="86"/>
      <c r="I416" s="86"/>
      <c r="J416" s="86"/>
      <c r="K416" s="86"/>
      <c r="L416" s="86"/>
      <c r="M416" s="86"/>
      <c r="N416" s="86"/>
    </row>
    <row r="417" spans="1:14" ht="14" x14ac:dyDescent="0.15">
      <c r="A417" s="86" t="str">
        <f>IF($C417="","",INDEX(Summary_FR!$A$3:$R$157,MATCH($C417,Summary_FR!$E$3:$E$157,0),MATCH(A$3,Summary_FR!$A$3:$R$3,0)))</f>
        <v/>
      </c>
      <c r="B417" s="86" t="str">
        <f>IF($C417="","",INDEX(Summary_FR!$A$3:$R$157,MATCH($C417,Summary_FR!$E$3:$E$157,0),MATCH(B$3,Summary_FR!$A$3:$R$3,0)))</f>
        <v/>
      </c>
      <c r="C417" s="86"/>
      <c r="D417" s="86"/>
      <c r="E417" s="86"/>
      <c r="F417" s="86"/>
      <c r="G417" s="86"/>
      <c r="H417" s="86"/>
      <c r="I417" s="86"/>
      <c r="J417" s="86"/>
      <c r="K417" s="86"/>
      <c r="L417" s="86"/>
      <c r="M417" s="86"/>
      <c r="N417" s="86"/>
    </row>
    <row r="418" spans="1:14" ht="14" x14ac:dyDescent="0.15">
      <c r="A418" s="86" t="str">
        <f>IF($C418="","",INDEX(Summary_FR!$A$3:$R$157,MATCH($C418,Summary_FR!$E$3:$E$157,0),MATCH(A$3,Summary_FR!$A$3:$R$3,0)))</f>
        <v/>
      </c>
      <c r="B418" s="86" t="str">
        <f>IF($C418="","",INDEX(Summary_FR!$A$3:$R$157,MATCH($C418,Summary_FR!$E$3:$E$157,0),MATCH(B$3,Summary_FR!$A$3:$R$3,0)))</f>
        <v/>
      </c>
      <c r="C418" s="86"/>
      <c r="D418" s="86"/>
      <c r="E418" s="86"/>
      <c r="F418" s="86"/>
      <c r="G418" s="86"/>
      <c r="H418" s="86"/>
      <c r="I418" s="86"/>
      <c r="J418" s="86"/>
      <c r="K418" s="86"/>
      <c r="L418" s="86"/>
      <c r="M418" s="86"/>
      <c r="N418" s="86"/>
    </row>
    <row r="419" spans="1:14" ht="14" x14ac:dyDescent="0.15">
      <c r="A419" s="86" t="str">
        <f>IF($C419="","",INDEX(Summary_FR!$A$3:$R$157,MATCH($C419,Summary_FR!$E$3:$E$157,0),MATCH(A$3,Summary_FR!$A$3:$R$3,0)))</f>
        <v/>
      </c>
      <c r="B419" s="86" t="str">
        <f>IF($C419="","",INDEX(Summary_FR!$A$3:$R$157,MATCH($C419,Summary_FR!$E$3:$E$157,0),MATCH(B$3,Summary_FR!$A$3:$R$3,0)))</f>
        <v/>
      </c>
      <c r="C419" s="86"/>
      <c r="D419" s="86"/>
      <c r="E419" s="86"/>
      <c r="F419" s="86"/>
      <c r="G419" s="86"/>
      <c r="H419" s="86"/>
      <c r="I419" s="86"/>
      <c r="J419" s="86"/>
      <c r="K419" s="86"/>
      <c r="L419" s="86"/>
      <c r="M419" s="86"/>
      <c r="N419" s="86"/>
    </row>
    <row r="420" spans="1:14" ht="14" x14ac:dyDescent="0.15">
      <c r="A420" s="86" t="str">
        <f>IF($C420="","",INDEX(Summary_FR!$A$3:$R$157,MATCH($C420,Summary_FR!$E$3:$E$157,0),MATCH(A$3,Summary_FR!$A$3:$R$3,0)))</f>
        <v/>
      </c>
      <c r="B420" s="86" t="str">
        <f>IF($C420="","",INDEX(Summary_FR!$A$3:$R$157,MATCH($C420,Summary_FR!$E$3:$E$157,0),MATCH(B$3,Summary_FR!$A$3:$R$3,0)))</f>
        <v/>
      </c>
      <c r="C420" s="86"/>
      <c r="D420" s="86"/>
      <c r="E420" s="86"/>
      <c r="F420" s="86"/>
      <c r="G420" s="86"/>
      <c r="H420" s="86"/>
      <c r="I420" s="86"/>
      <c r="J420" s="86"/>
      <c r="K420" s="86"/>
      <c r="L420" s="86"/>
      <c r="M420" s="86"/>
      <c r="N420" s="86"/>
    </row>
    <row r="421" spans="1:14" ht="14" x14ac:dyDescent="0.15">
      <c r="A421" s="86" t="str">
        <f>IF($C421="","",INDEX(Summary_FR!$A$3:$R$157,MATCH($C421,Summary_FR!$E$3:$E$157,0),MATCH(A$3,Summary_FR!$A$3:$R$3,0)))</f>
        <v/>
      </c>
      <c r="B421" s="86" t="str">
        <f>IF($C421="","",INDEX(Summary_FR!$A$3:$R$157,MATCH($C421,Summary_FR!$E$3:$E$157,0),MATCH(B$3,Summary_FR!$A$3:$R$3,0)))</f>
        <v/>
      </c>
      <c r="C421" s="86"/>
      <c r="D421" s="86"/>
      <c r="E421" s="86"/>
      <c r="F421" s="86"/>
      <c r="G421" s="86"/>
      <c r="H421" s="86"/>
      <c r="I421" s="86"/>
      <c r="J421" s="86"/>
      <c r="K421" s="86"/>
      <c r="L421" s="86"/>
      <c r="M421" s="86"/>
      <c r="N421" s="86"/>
    </row>
    <row r="422" spans="1:14" ht="14" x14ac:dyDescent="0.15">
      <c r="A422" s="86" t="str">
        <f>IF($C422="","",INDEX(Summary_FR!$A$3:$R$157,MATCH($C422,Summary_FR!$E$3:$E$157,0),MATCH(A$3,Summary_FR!$A$3:$R$3,0)))</f>
        <v/>
      </c>
      <c r="B422" s="86" t="str">
        <f>IF($C422="","",INDEX(Summary_FR!$A$3:$R$157,MATCH($C422,Summary_FR!$E$3:$E$157,0),MATCH(B$3,Summary_FR!$A$3:$R$3,0)))</f>
        <v/>
      </c>
      <c r="C422" s="86"/>
      <c r="D422" s="86"/>
      <c r="E422" s="86"/>
      <c r="F422" s="86"/>
      <c r="G422" s="86"/>
      <c r="H422" s="86"/>
      <c r="I422" s="86"/>
      <c r="J422" s="86"/>
      <c r="K422" s="86"/>
      <c r="L422" s="86"/>
      <c r="M422" s="86"/>
      <c r="N422" s="86"/>
    </row>
    <row r="423" spans="1:14" ht="14" x14ac:dyDescent="0.15">
      <c r="A423" s="86" t="str">
        <f>IF($C423="","",INDEX(Summary_FR!$A$3:$R$157,MATCH($C423,Summary_FR!$E$3:$E$157,0),MATCH(A$3,Summary_FR!$A$3:$R$3,0)))</f>
        <v/>
      </c>
      <c r="B423" s="86" t="str">
        <f>IF($C423="","",INDEX(Summary_FR!$A$3:$R$157,MATCH($C423,Summary_FR!$E$3:$E$157,0),MATCH(B$3,Summary_FR!$A$3:$R$3,0)))</f>
        <v/>
      </c>
      <c r="C423" s="86"/>
      <c r="D423" s="86"/>
      <c r="E423" s="86"/>
      <c r="F423" s="86"/>
      <c r="G423" s="86"/>
      <c r="H423" s="86"/>
      <c r="I423" s="86"/>
      <c r="J423" s="86"/>
      <c r="K423" s="86"/>
      <c r="L423" s="86"/>
      <c r="M423" s="86"/>
      <c r="N423" s="86"/>
    </row>
    <row r="424" spans="1:14" ht="14" x14ac:dyDescent="0.15">
      <c r="A424" s="86" t="str">
        <f>IF($C424="","",INDEX(Summary_FR!$A$3:$R$157,MATCH($C424,Summary_FR!$E$3:$E$157,0),MATCH(A$3,Summary_FR!$A$3:$R$3,0)))</f>
        <v/>
      </c>
      <c r="B424" s="86" t="str">
        <f>IF($C424="","",INDEX(Summary_FR!$A$3:$R$157,MATCH($C424,Summary_FR!$E$3:$E$157,0),MATCH(B$3,Summary_FR!$A$3:$R$3,0)))</f>
        <v/>
      </c>
      <c r="C424" s="86"/>
      <c r="D424" s="86"/>
      <c r="E424" s="86"/>
      <c r="F424" s="86"/>
      <c r="G424" s="86"/>
      <c r="H424" s="86"/>
      <c r="I424" s="86"/>
      <c r="J424" s="86"/>
      <c r="K424" s="86"/>
      <c r="L424" s="86"/>
      <c r="M424" s="86"/>
      <c r="N424" s="86"/>
    </row>
    <row r="425" spans="1:14" ht="14" x14ac:dyDescent="0.15">
      <c r="A425" s="86" t="str">
        <f>IF($C425="","",INDEX(Summary_FR!$A$3:$R$157,MATCH($C425,Summary_FR!$E$3:$E$157,0),MATCH(A$3,Summary_FR!$A$3:$R$3,0)))</f>
        <v/>
      </c>
      <c r="B425" s="86" t="str">
        <f>IF($C425="","",INDEX(Summary_FR!$A$3:$R$157,MATCH($C425,Summary_FR!$E$3:$E$157,0),MATCH(B$3,Summary_FR!$A$3:$R$3,0)))</f>
        <v/>
      </c>
      <c r="C425" s="86"/>
      <c r="D425" s="86"/>
      <c r="E425" s="86"/>
      <c r="F425" s="86"/>
      <c r="G425" s="86"/>
      <c r="H425" s="86"/>
      <c r="I425" s="86"/>
      <c r="J425" s="86"/>
      <c r="K425" s="86"/>
      <c r="L425" s="86"/>
      <c r="M425" s="86"/>
      <c r="N425" s="86"/>
    </row>
    <row r="426" spans="1:14" ht="14" x14ac:dyDescent="0.15">
      <c r="A426" s="86" t="str">
        <f>IF($C426="","",INDEX(Summary_FR!$A$3:$R$157,MATCH($C426,Summary_FR!$E$3:$E$157,0),MATCH(A$3,Summary_FR!$A$3:$R$3,0)))</f>
        <v/>
      </c>
      <c r="B426" s="86" t="str">
        <f>IF($C426="","",INDEX(Summary_FR!$A$3:$R$157,MATCH($C426,Summary_FR!$E$3:$E$157,0),MATCH(B$3,Summary_FR!$A$3:$R$3,0)))</f>
        <v/>
      </c>
      <c r="C426" s="86"/>
      <c r="D426" s="86"/>
      <c r="E426" s="86"/>
      <c r="F426" s="86"/>
      <c r="G426" s="86"/>
      <c r="H426" s="86"/>
      <c r="I426" s="86"/>
      <c r="J426" s="86"/>
      <c r="K426" s="86"/>
      <c r="L426" s="86"/>
      <c r="M426" s="86"/>
      <c r="N426" s="86"/>
    </row>
    <row r="427" spans="1:14" ht="14" x14ac:dyDescent="0.15">
      <c r="A427" s="86" t="str">
        <f>IF($C427="","",INDEX(Summary_FR!$A$3:$R$157,MATCH($C427,Summary_FR!$E$3:$E$157,0),MATCH(A$3,Summary_FR!$A$3:$R$3,0)))</f>
        <v/>
      </c>
      <c r="B427" s="86" t="str">
        <f>IF($C427="","",INDEX(Summary_FR!$A$3:$R$157,MATCH($C427,Summary_FR!$E$3:$E$157,0),MATCH(B$3,Summary_FR!$A$3:$R$3,0)))</f>
        <v/>
      </c>
      <c r="C427" s="86"/>
      <c r="D427" s="86"/>
      <c r="E427" s="86"/>
      <c r="F427" s="86"/>
      <c r="G427" s="86"/>
      <c r="H427" s="86"/>
      <c r="I427" s="86"/>
      <c r="J427" s="86"/>
      <c r="K427" s="86"/>
      <c r="L427" s="86"/>
      <c r="M427" s="86"/>
      <c r="N427" s="86"/>
    </row>
    <row r="428" spans="1:14" ht="14" x14ac:dyDescent="0.15">
      <c r="A428" s="86" t="str">
        <f>IF($C428="","",INDEX(Summary_FR!$A$3:$R$157,MATCH($C428,Summary_FR!$E$3:$E$157,0),MATCH(A$3,Summary_FR!$A$3:$R$3,0)))</f>
        <v/>
      </c>
      <c r="B428" s="86" t="str">
        <f>IF($C428="","",INDEX(Summary_FR!$A$3:$R$157,MATCH($C428,Summary_FR!$E$3:$E$157,0),MATCH(B$3,Summary_FR!$A$3:$R$3,0)))</f>
        <v/>
      </c>
      <c r="C428" s="86"/>
      <c r="D428" s="86"/>
      <c r="E428" s="86"/>
      <c r="F428" s="86"/>
      <c r="G428" s="86"/>
      <c r="H428" s="86"/>
      <c r="I428" s="86"/>
      <c r="J428" s="86"/>
      <c r="K428" s="86"/>
      <c r="L428" s="86"/>
      <c r="M428" s="86"/>
      <c r="N428" s="86"/>
    </row>
    <row r="429" spans="1:14" ht="14" x14ac:dyDescent="0.15">
      <c r="A429" s="86" t="str">
        <f>IF($C429="","",INDEX(Summary_FR!$A$3:$R$157,MATCH($C429,Summary_FR!$E$3:$E$157,0),MATCH(A$3,Summary_FR!$A$3:$R$3,0)))</f>
        <v/>
      </c>
      <c r="B429" s="86" t="str">
        <f>IF($C429="","",INDEX(Summary_FR!$A$3:$R$157,MATCH($C429,Summary_FR!$E$3:$E$157,0),MATCH(B$3,Summary_FR!$A$3:$R$3,0)))</f>
        <v/>
      </c>
      <c r="C429" s="86"/>
      <c r="D429" s="86"/>
      <c r="E429" s="86"/>
      <c r="F429" s="86"/>
      <c r="G429" s="86"/>
      <c r="H429" s="86"/>
      <c r="I429" s="86"/>
      <c r="J429" s="86"/>
      <c r="K429" s="86"/>
      <c r="L429" s="86"/>
      <c r="M429" s="86"/>
      <c r="N429" s="86"/>
    </row>
    <row r="430" spans="1:14" ht="14" x14ac:dyDescent="0.15">
      <c r="A430" s="86" t="str">
        <f>IF($C430="","",INDEX(Summary_FR!$A$3:$R$157,MATCH($C430,Summary_FR!$E$3:$E$157,0),MATCH(A$3,Summary_FR!$A$3:$R$3,0)))</f>
        <v/>
      </c>
      <c r="B430" s="86" t="str">
        <f>IF($C430="","",INDEX(Summary_FR!$A$3:$R$157,MATCH($C430,Summary_FR!$E$3:$E$157,0),MATCH(B$3,Summary_FR!$A$3:$R$3,0)))</f>
        <v/>
      </c>
      <c r="C430" s="86"/>
      <c r="D430" s="86"/>
      <c r="E430" s="86"/>
      <c r="F430" s="86"/>
      <c r="G430" s="86"/>
      <c r="H430" s="86"/>
      <c r="I430" s="86"/>
      <c r="J430" s="86"/>
      <c r="K430" s="86"/>
      <c r="L430" s="86"/>
      <c r="M430" s="86"/>
      <c r="N430" s="86"/>
    </row>
    <row r="431" spans="1:14" ht="14" x14ac:dyDescent="0.15">
      <c r="A431" s="86" t="str">
        <f>IF($C431="","",INDEX(Summary_FR!$A$3:$R$157,MATCH($C431,Summary_FR!$E$3:$E$157,0),MATCH(A$3,Summary_FR!$A$3:$R$3,0)))</f>
        <v/>
      </c>
      <c r="B431" s="86" t="str">
        <f>IF($C431="","",INDEX(Summary_FR!$A$3:$R$157,MATCH($C431,Summary_FR!$E$3:$E$157,0),MATCH(B$3,Summary_FR!$A$3:$R$3,0)))</f>
        <v/>
      </c>
      <c r="C431" s="86"/>
      <c r="D431" s="86"/>
      <c r="E431" s="86"/>
      <c r="F431" s="86"/>
      <c r="G431" s="86"/>
      <c r="H431" s="86"/>
      <c r="I431" s="86"/>
      <c r="J431" s="86"/>
      <c r="K431" s="86"/>
      <c r="L431" s="86"/>
      <c r="M431" s="86"/>
      <c r="N431" s="86"/>
    </row>
    <row r="432" spans="1:14" ht="14" x14ac:dyDescent="0.15">
      <c r="A432" s="86" t="str">
        <f>IF($C432="","",INDEX(Summary_FR!$A$3:$R$157,MATCH($C432,Summary_FR!$E$3:$E$157,0),MATCH(A$3,Summary_FR!$A$3:$R$3,0)))</f>
        <v/>
      </c>
      <c r="B432" s="86" t="str">
        <f>IF($C432="","",INDEX(Summary_FR!$A$3:$R$157,MATCH($C432,Summary_FR!$E$3:$E$157,0),MATCH(B$3,Summary_FR!$A$3:$R$3,0)))</f>
        <v/>
      </c>
      <c r="C432" s="86"/>
      <c r="D432" s="86"/>
      <c r="E432" s="86"/>
      <c r="F432" s="86"/>
      <c r="G432" s="86"/>
      <c r="H432" s="86"/>
      <c r="I432" s="86"/>
      <c r="J432" s="86"/>
      <c r="K432" s="86"/>
      <c r="L432" s="86"/>
      <c r="M432" s="86"/>
      <c r="N432" s="86"/>
    </row>
    <row r="433" spans="1:14" ht="14" x14ac:dyDescent="0.15">
      <c r="A433" s="86" t="str">
        <f>IF($C433="","",INDEX(Summary_FR!$A$3:$R$157,MATCH($C433,Summary_FR!$E$3:$E$157,0),MATCH(A$3,Summary_FR!$A$3:$R$3,0)))</f>
        <v/>
      </c>
      <c r="B433" s="86" t="str">
        <f>IF($C433="","",INDEX(Summary_FR!$A$3:$R$157,MATCH($C433,Summary_FR!$E$3:$E$157,0),MATCH(B$3,Summary_FR!$A$3:$R$3,0)))</f>
        <v/>
      </c>
      <c r="C433" s="86"/>
      <c r="D433" s="86"/>
      <c r="E433" s="86"/>
      <c r="F433" s="86"/>
      <c r="G433" s="86"/>
      <c r="H433" s="86"/>
      <c r="I433" s="86"/>
      <c r="J433" s="86"/>
      <c r="K433" s="86"/>
      <c r="L433" s="86"/>
      <c r="M433" s="86"/>
      <c r="N433" s="86"/>
    </row>
    <row r="434" spans="1:14" ht="14" x14ac:dyDescent="0.15">
      <c r="A434" s="86" t="str">
        <f>IF($C434="","",INDEX(Summary_FR!$A$3:$R$157,MATCH($C434,Summary_FR!$E$3:$E$157,0),MATCH(A$3,Summary_FR!$A$3:$R$3,0)))</f>
        <v/>
      </c>
      <c r="B434" s="86" t="str">
        <f>IF($C434="","",INDEX(Summary_FR!$A$3:$R$157,MATCH($C434,Summary_FR!$E$3:$E$157,0),MATCH(B$3,Summary_FR!$A$3:$R$3,0)))</f>
        <v/>
      </c>
      <c r="C434" s="86"/>
      <c r="D434" s="86"/>
      <c r="E434" s="86"/>
      <c r="F434" s="86"/>
      <c r="G434" s="86"/>
      <c r="H434" s="86"/>
      <c r="I434" s="86"/>
      <c r="J434" s="86"/>
      <c r="K434" s="86"/>
      <c r="L434" s="86"/>
      <c r="M434" s="86"/>
      <c r="N434" s="86"/>
    </row>
    <row r="435" spans="1:14" ht="14" x14ac:dyDescent="0.15">
      <c r="A435" s="86" t="str">
        <f>IF($C435="","",INDEX(Summary_FR!$A$3:$R$157,MATCH($C435,Summary_FR!$E$3:$E$157,0),MATCH(A$3,Summary_FR!$A$3:$R$3,0)))</f>
        <v/>
      </c>
      <c r="B435" s="86" t="str">
        <f>IF($C435="","",INDEX(Summary_FR!$A$3:$R$157,MATCH($C435,Summary_FR!$E$3:$E$157,0),MATCH(B$3,Summary_FR!$A$3:$R$3,0)))</f>
        <v/>
      </c>
      <c r="C435" s="86"/>
      <c r="D435" s="86"/>
      <c r="E435" s="86"/>
      <c r="F435" s="86"/>
      <c r="G435" s="86"/>
      <c r="H435" s="86"/>
      <c r="I435" s="86"/>
      <c r="J435" s="86"/>
      <c r="K435" s="86"/>
      <c r="L435" s="86"/>
      <c r="M435" s="86"/>
      <c r="N435" s="86"/>
    </row>
    <row r="436" spans="1:14" ht="14" x14ac:dyDescent="0.15">
      <c r="A436" s="86" t="str">
        <f>IF($C436="","",INDEX(Summary_FR!$A$3:$R$157,MATCH($C436,Summary_FR!$E$3:$E$157,0),MATCH(A$3,Summary_FR!$A$3:$R$3,0)))</f>
        <v/>
      </c>
      <c r="B436" s="86" t="str">
        <f>IF($C436="","",INDEX(Summary_FR!$A$3:$R$157,MATCH($C436,Summary_FR!$E$3:$E$157,0),MATCH(B$3,Summary_FR!$A$3:$R$3,0)))</f>
        <v/>
      </c>
      <c r="C436" s="86"/>
      <c r="D436" s="86"/>
      <c r="E436" s="86"/>
      <c r="F436" s="86"/>
      <c r="G436" s="86"/>
      <c r="H436" s="86"/>
      <c r="I436" s="86"/>
      <c r="J436" s="86"/>
      <c r="K436" s="86"/>
      <c r="L436" s="86"/>
      <c r="M436" s="86"/>
      <c r="N436" s="86"/>
    </row>
    <row r="437" spans="1:14" ht="14" x14ac:dyDescent="0.15">
      <c r="A437" s="86" t="str">
        <f>IF($C437="","",INDEX(Summary_FR!$A$3:$R$157,MATCH($C437,Summary_FR!$E$3:$E$157,0),MATCH(A$3,Summary_FR!$A$3:$R$3,0)))</f>
        <v/>
      </c>
      <c r="B437" s="86" t="str">
        <f>IF($C437="","",INDEX(Summary_FR!$A$3:$R$157,MATCH($C437,Summary_FR!$E$3:$E$157,0),MATCH(B$3,Summary_FR!$A$3:$R$3,0)))</f>
        <v/>
      </c>
      <c r="C437" s="86"/>
      <c r="D437" s="86"/>
      <c r="E437" s="86"/>
      <c r="F437" s="86"/>
      <c r="G437" s="86"/>
      <c r="H437" s="86"/>
      <c r="I437" s="86"/>
      <c r="J437" s="86"/>
      <c r="K437" s="86"/>
      <c r="L437" s="86"/>
      <c r="M437" s="86"/>
      <c r="N437" s="86"/>
    </row>
    <row r="438" spans="1:14" ht="14" x14ac:dyDescent="0.15">
      <c r="A438" s="86" t="str">
        <f>IF($C438="","",INDEX(Summary_FR!$A$3:$R$157,MATCH($C438,Summary_FR!$E$3:$E$157,0),MATCH(A$3,Summary_FR!$A$3:$R$3,0)))</f>
        <v/>
      </c>
      <c r="B438" s="86" t="str">
        <f>IF($C438="","",INDEX(Summary_FR!$A$3:$R$157,MATCH($C438,Summary_FR!$E$3:$E$157,0),MATCH(B$3,Summary_FR!$A$3:$R$3,0)))</f>
        <v/>
      </c>
      <c r="C438" s="86"/>
      <c r="D438" s="86"/>
      <c r="E438" s="86"/>
      <c r="F438" s="86"/>
      <c r="G438" s="86"/>
      <c r="H438" s="86"/>
      <c r="I438" s="86"/>
      <c r="J438" s="86"/>
      <c r="K438" s="86"/>
      <c r="L438" s="86"/>
      <c r="M438" s="86"/>
      <c r="N438" s="86"/>
    </row>
    <row r="439" spans="1:14" ht="14" x14ac:dyDescent="0.15">
      <c r="A439" s="86" t="str">
        <f>IF($C439="","",INDEX(Summary_FR!$A$3:$R$157,MATCH($C439,Summary_FR!$E$3:$E$157,0),MATCH(A$3,Summary_FR!$A$3:$R$3,0)))</f>
        <v/>
      </c>
      <c r="B439" s="86" t="str">
        <f>IF($C439="","",INDEX(Summary_FR!$A$3:$R$157,MATCH($C439,Summary_FR!$E$3:$E$157,0),MATCH(B$3,Summary_FR!$A$3:$R$3,0)))</f>
        <v/>
      </c>
      <c r="C439" s="86"/>
      <c r="D439" s="86"/>
      <c r="E439" s="86"/>
      <c r="F439" s="86"/>
      <c r="G439" s="86"/>
      <c r="H439" s="86"/>
      <c r="I439" s="86"/>
      <c r="J439" s="86"/>
      <c r="K439" s="86"/>
      <c r="L439" s="86"/>
      <c r="M439" s="86"/>
      <c r="N439" s="86"/>
    </row>
    <row r="440" spans="1:14" ht="14" x14ac:dyDescent="0.15">
      <c r="A440" s="86" t="str">
        <f>IF($C440="","",INDEX(Summary_FR!$A$3:$R$157,MATCH($C440,Summary_FR!$E$3:$E$157,0),MATCH(A$3,Summary_FR!$A$3:$R$3,0)))</f>
        <v/>
      </c>
      <c r="B440" s="86" t="str">
        <f>IF($C440="","",INDEX(Summary_FR!$A$3:$R$157,MATCH($C440,Summary_FR!$E$3:$E$157,0),MATCH(B$3,Summary_FR!$A$3:$R$3,0)))</f>
        <v/>
      </c>
      <c r="C440" s="86"/>
      <c r="D440" s="86"/>
      <c r="E440" s="86"/>
      <c r="F440" s="86"/>
      <c r="G440" s="86"/>
      <c r="H440" s="86"/>
      <c r="I440" s="86"/>
      <c r="J440" s="86"/>
      <c r="K440" s="86"/>
      <c r="L440" s="86"/>
      <c r="M440" s="86"/>
      <c r="N440" s="86"/>
    </row>
    <row r="441" spans="1:14" ht="14" x14ac:dyDescent="0.15">
      <c r="A441" s="86" t="str">
        <f>IF($C441="","",INDEX(Summary_FR!$A$3:$R$157,MATCH($C441,Summary_FR!$E$3:$E$157,0),MATCH(A$3,Summary_FR!$A$3:$R$3,0)))</f>
        <v/>
      </c>
      <c r="B441" s="86" t="str">
        <f>IF($C441="","",INDEX(Summary_FR!$A$3:$R$157,MATCH($C441,Summary_FR!$E$3:$E$157,0),MATCH(B$3,Summary_FR!$A$3:$R$3,0)))</f>
        <v/>
      </c>
      <c r="C441" s="86"/>
      <c r="D441" s="86"/>
      <c r="E441" s="86"/>
      <c r="F441" s="86"/>
      <c r="G441" s="86"/>
      <c r="H441" s="86"/>
      <c r="I441" s="86"/>
      <c r="J441" s="86"/>
      <c r="K441" s="86"/>
      <c r="L441" s="86"/>
      <c r="M441" s="86"/>
      <c r="N441" s="86"/>
    </row>
    <row r="442" spans="1:14" ht="14" x14ac:dyDescent="0.15">
      <c r="A442" s="86" t="str">
        <f>IF($C442="","",INDEX(Summary_FR!$A$3:$R$157,MATCH($C442,Summary_FR!$E$3:$E$157,0),MATCH(A$3,Summary_FR!$A$3:$R$3,0)))</f>
        <v/>
      </c>
      <c r="B442" s="86" t="str">
        <f>IF($C442="","",INDEX(Summary_FR!$A$3:$R$157,MATCH($C442,Summary_FR!$E$3:$E$157,0),MATCH(B$3,Summary_FR!$A$3:$R$3,0)))</f>
        <v/>
      </c>
      <c r="C442" s="86"/>
      <c r="D442" s="86"/>
      <c r="E442" s="86"/>
      <c r="F442" s="86"/>
      <c r="G442" s="86"/>
      <c r="H442" s="86"/>
      <c r="I442" s="86"/>
      <c r="J442" s="86"/>
      <c r="K442" s="86"/>
      <c r="L442" s="86"/>
      <c r="M442" s="86"/>
      <c r="N442" s="86"/>
    </row>
    <row r="443" spans="1:14" ht="14" x14ac:dyDescent="0.15">
      <c r="A443" s="86" t="str">
        <f>IF($C443="","",INDEX(Summary_FR!$A$3:$R$157,MATCH($C443,Summary_FR!$E$3:$E$157,0),MATCH(A$3,Summary_FR!$A$3:$R$3,0)))</f>
        <v/>
      </c>
      <c r="B443" s="86" t="str">
        <f>IF($C443="","",INDEX(Summary_FR!$A$3:$R$157,MATCH($C443,Summary_FR!$E$3:$E$157,0),MATCH(B$3,Summary_FR!$A$3:$R$3,0)))</f>
        <v/>
      </c>
      <c r="C443" s="86"/>
      <c r="D443" s="86"/>
      <c r="E443" s="86"/>
      <c r="F443" s="86"/>
      <c r="G443" s="86"/>
      <c r="H443" s="86"/>
      <c r="I443" s="86"/>
      <c r="J443" s="86"/>
      <c r="K443" s="86"/>
      <c r="L443" s="86"/>
      <c r="M443" s="86"/>
      <c r="N443" s="86"/>
    </row>
    <row r="444" spans="1:14" ht="14" x14ac:dyDescent="0.15">
      <c r="A444" s="86" t="str">
        <f>IF($C444="","",INDEX(Summary_FR!$A$3:$R$157,MATCH($C444,Summary_FR!$E$3:$E$157,0),MATCH(A$3,Summary_FR!$A$3:$R$3,0)))</f>
        <v/>
      </c>
      <c r="B444" s="86" t="str">
        <f>IF($C444="","",INDEX(Summary_FR!$A$3:$R$157,MATCH($C444,Summary_FR!$E$3:$E$157,0),MATCH(B$3,Summary_FR!$A$3:$R$3,0)))</f>
        <v/>
      </c>
      <c r="C444" s="86"/>
      <c r="D444" s="86"/>
      <c r="E444" s="86"/>
      <c r="F444" s="86"/>
      <c r="G444" s="86"/>
      <c r="H444" s="86"/>
      <c r="I444" s="86"/>
      <c r="J444" s="86"/>
      <c r="K444" s="86"/>
      <c r="L444" s="86"/>
      <c r="M444" s="86"/>
      <c r="N444" s="86"/>
    </row>
    <row r="445" spans="1:14" ht="14" x14ac:dyDescent="0.15">
      <c r="A445" s="86" t="str">
        <f>IF($C445="","",INDEX(Summary_FR!$A$3:$R$157,MATCH($C445,Summary_FR!$E$3:$E$157,0),MATCH(A$3,Summary_FR!$A$3:$R$3,0)))</f>
        <v/>
      </c>
      <c r="B445" s="86" t="str">
        <f>IF($C445="","",INDEX(Summary_FR!$A$3:$R$157,MATCH($C445,Summary_FR!$E$3:$E$157,0),MATCH(B$3,Summary_FR!$A$3:$R$3,0)))</f>
        <v/>
      </c>
      <c r="C445" s="86"/>
      <c r="D445" s="86"/>
      <c r="E445" s="86"/>
      <c r="F445" s="86"/>
      <c r="G445" s="86"/>
      <c r="H445" s="86"/>
      <c r="I445" s="86"/>
      <c r="J445" s="86"/>
      <c r="K445" s="86"/>
      <c r="L445" s="86"/>
      <c r="M445" s="86"/>
      <c r="N445" s="86"/>
    </row>
    <row r="446" spans="1:14" ht="14" x14ac:dyDescent="0.15">
      <c r="A446" s="86" t="str">
        <f>IF($C446="","",INDEX(Summary_FR!$A$3:$R$157,MATCH($C446,Summary_FR!$E$3:$E$157,0),MATCH(A$3,Summary_FR!$A$3:$R$3,0)))</f>
        <v/>
      </c>
      <c r="B446" s="86" t="str">
        <f>IF($C446="","",INDEX(Summary_FR!$A$3:$R$157,MATCH($C446,Summary_FR!$E$3:$E$157,0),MATCH(B$3,Summary_FR!$A$3:$R$3,0)))</f>
        <v/>
      </c>
      <c r="C446" s="86"/>
      <c r="D446" s="86"/>
      <c r="E446" s="86"/>
      <c r="F446" s="86"/>
      <c r="G446" s="86"/>
      <c r="H446" s="86"/>
      <c r="I446" s="86"/>
      <c r="J446" s="86"/>
      <c r="K446" s="86"/>
      <c r="L446" s="86"/>
      <c r="M446" s="86"/>
      <c r="N446" s="86"/>
    </row>
    <row r="447" spans="1:14" ht="14" x14ac:dyDescent="0.15">
      <c r="A447" s="86" t="str">
        <f>IF($C447="","",INDEX(Summary_FR!$A$3:$R$157,MATCH($C447,Summary_FR!$E$3:$E$157,0),MATCH(A$3,Summary_FR!$A$3:$R$3,0)))</f>
        <v/>
      </c>
      <c r="B447" s="86" t="str">
        <f>IF($C447="","",INDEX(Summary_FR!$A$3:$R$157,MATCH($C447,Summary_FR!$E$3:$E$157,0),MATCH(B$3,Summary_FR!$A$3:$R$3,0)))</f>
        <v/>
      </c>
      <c r="C447" s="86"/>
      <c r="D447" s="86"/>
      <c r="E447" s="86"/>
      <c r="F447" s="86"/>
      <c r="G447" s="86"/>
      <c r="H447" s="86"/>
      <c r="I447" s="86"/>
      <c r="J447" s="86"/>
      <c r="K447" s="86"/>
      <c r="L447" s="86"/>
      <c r="M447" s="86"/>
      <c r="N447" s="86"/>
    </row>
    <row r="448" spans="1:14" ht="14" x14ac:dyDescent="0.15">
      <c r="A448" s="86" t="str">
        <f>IF($C448="","",INDEX(Summary_FR!$A$3:$R$157,MATCH($C448,Summary_FR!$E$3:$E$157,0),MATCH(A$3,Summary_FR!$A$3:$R$3,0)))</f>
        <v/>
      </c>
      <c r="B448" s="86" t="str">
        <f>IF($C448="","",INDEX(Summary_FR!$A$3:$R$157,MATCH($C448,Summary_FR!$E$3:$E$157,0),MATCH(B$3,Summary_FR!$A$3:$R$3,0)))</f>
        <v/>
      </c>
      <c r="C448" s="86"/>
      <c r="D448" s="86"/>
      <c r="E448" s="86"/>
      <c r="F448" s="86"/>
      <c r="G448" s="86"/>
      <c r="H448" s="86"/>
      <c r="I448" s="86"/>
      <c r="J448" s="86"/>
      <c r="K448" s="86"/>
      <c r="L448" s="86"/>
      <c r="M448" s="86"/>
      <c r="N448" s="86"/>
    </row>
    <row r="449" spans="1:14" ht="14" x14ac:dyDescent="0.15">
      <c r="A449" s="86" t="str">
        <f>IF($C449="","",INDEX(Summary_FR!$A$3:$R$157,MATCH($C449,Summary_FR!$E$3:$E$157,0),MATCH(A$3,Summary_FR!$A$3:$R$3,0)))</f>
        <v/>
      </c>
      <c r="B449" s="86" t="str">
        <f>IF($C449="","",INDEX(Summary_FR!$A$3:$R$157,MATCH($C449,Summary_FR!$E$3:$E$157,0),MATCH(B$3,Summary_FR!$A$3:$R$3,0)))</f>
        <v/>
      </c>
      <c r="C449" s="86"/>
      <c r="D449" s="86"/>
      <c r="E449" s="86"/>
      <c r="F449" s="86"/>
      <c r="G449" s="86"/>
      <c r="H449" s="86"/>
      <c r="I449" s="86"/>
      <c r="J449" s="86"/>
      <c r="K449" s="86"/>
      <c r="L449" s="86"/>
      <c r="M449" s="86"/>
      <c r="N449" s="86"/>
    </row>
    <row r="450" spans="1:14" ht="14" x14ac:dyDescent="0.15">
      <c r="A450" s="86" t="str">
        <f>IF($C450="","",INDEX(Summary_FR!$A$3:$R$157,MATCH($C450,Summary_FR!$E$3:$E$157,0),MATCH(A$3,Summary_FR!$A$3:$R$3,0)))</f>
        <v/>
      </c>
      <c r="B450" s="86" t="str">
        <f>IF($C450="","",INDEX(Summary_FR!$A$3:$R$157,MATCH($C450,Summary_FR!$E$3:$E$157,0),MATCH(B$3,Summary_FR!$A$3:$R$3,0)))</f>
        <v/>
      </c>
      <c r="C450" s="86"/>
      <c r="D450" s="86"/>
      <c r="E450" s="86"/>
      <c r="F450" s="86"/>
      <c r="G450" s="86"/>
      <c r="H450" s="86"/>
      <c r="I450" s="86"/>
      <c r="J450" s="86"/>
      <c r="K450" s="86"/>
      <c r="L450" s="86"/>
      <c r="M450" s="86"/>
      <c r="N450" s="86"/>
    </row>
    <row r="451" spans="1:14" ht="14" x14ac:dyDescent="0.15">
      <c r="A451" s="86" t="str">
        <f>IF($C451="","",INDEX(Summary_FR!$A$3:$R$157,MATCH($C451,Summary_FR!$E$3:$E$157,0),MATCH(A$3,Summary_FR!$A$3:$R$3,0)))</f>
        <v/>
      </c>
      <c r="B451" s="86" t="str">
        <f>IF($C451="","",INDEX(Summary_FR!$A$3:$R$157,MATCH($C451,Summary_FR!$E$3:$E$157,0),MATCH(B$3,Summary_FR!$A$3:$R$3,0)))</f>
        <v/>
      </c>
      <c r="C451" s="86"/>
      <c r="D451" s="86"/>
      <c r="E451" s="86"/>
      <c r="F451" s="86"/>
      <c r="G451" s="86"/>
      <c r="H451" s="86"/>
      <c r="I451" s="86"/>
      <c r="J451" s="86"/>
      <c r="K451" s="86"/>
      <c r="L451" s="86"/>
      <c r="M451" s="86"/>
      <c r="N451" s="86"/>
    </row>
    <row r="452" spans="1:14" ht="14" x14ac:dyDescent="0.15">
      <c r="A452" s="86" t="str">
        <f>IF($C452="","",INDEX(Summary_FR!$A$3:$R$157,MATCH($C452,Summary_FR!$E$3:$E$157,0),MATCH(A$3,Summary_FR!$A$3:$R$3,0)))</f>
        <v/>
      </c>
      <c r="B452" s="86" t="str">
        <f>IF($C452="","",INDEX(Summary_FR!$A$3:$R$157,MATCH($C452,Summary_FR!$E$3:$E$157,0),MATCH(B$3,Summary_FR!$A$3:$R$3,0)))</f>
        <v/>
      </c>
      <c r="C452" s="86"/>
      <c r="D452" s="86"/>
      <c r="E452" s="86"/>
      <c r="F452" s="86"/>
      <c r="G452" s="86"/>
      <c r="H452" s="86"/>
      <c r="I452" s="86"/>
      <c r="J452" s="86"/>
      <c r="K452" s="86"/>
      <c r="L452" s="86"/>
      <c r="M452" s="86"/>
      <c r="N452" s="86"/>
    </row>
    <row r="453" spans="1:14" ht="14" x14ac:dyDescent="0.15">
      <c r="A453" s="86" t="str">
        <f>IF($C453="","",INDEX(Summary_FR!$A$3:$R$157,MATCH($C453,Summary_FR!$E$3:$E$157,0),MATCH(A$3,Summary_FR!$A$3:$R$3,0)))</f>
        <v/>
      </c>
      <c r="B453" s="86" t="str">
        <f>IF($C453="","",INDEX(Summary_FR!$A$3:$R$157,MATCH($C453,Summary_FR!$E$3:$E$157,0),MATCH(B$3,Summary_FR!$A$3:$R$3,0)))</f>
        <v/>
      </c>
      <c r="C453" s="86"/>
      <c r="D453" s="86"/>
      <c r="E453" s="86"/>
      <c r="F453" s="86"/>
      <c r="G453" s="86"/>
      <c r="H453" s="86"/>
      <c r="I453" s="86"/>
      <c r="J453" s="86"/>
      <c r="K453" s="86"/>
      <c r="L453" s="86"/>
      <c r="M453" s="86"/>
      <c r="N453" s="86"/>
    </row>
    <row r="454" spans="1:14" ht="14" x14ac:dyDescent="0.15">
      <c r="A454" s="86" t="str">
        <f>IF($C454="","",INDEX(Summary_FR!$A$3:$R$157,MATCH($C454,Summary_FR!$E$3:$E$157,0),MATCH(A$3,Summary_FR!$A$3:$R$3,0)))</f>
        <v/>
      </c>
      <c r="B454" s="86" t="str">
        <f>IF($C454="","",INDEX(Summary_FR!$A$3:$R$157,MATCH($C454,Summary_FR!$E$3:$E$157,0),MATCH(B$3,Summary_FR!$A$3:$R$3,0)))</f>
        <v/>
      </c>
      <c r="C454" s="86"/>
      <c r="D454" s="86"/>
      <c r="E454" s="86"/>
      <c r="F454" s="86"/>
      <c r="G454" s="86"/>
      <c r="H454" s="86"/>
      <c r="I454" s="86"/>
      <c r="J454" s="86"/>
      <c r="K454" s="86"/>
      <c r="L454" s="86"/>
      <c r="M454" s="86"/>
      <c r="N454" s="86"/>
    </row>
    <row r="455" spans="1:14" ht="14" x14ac:dyDescent="0.15">
      <c r="A455" s="86" t="str">
        <f>IF($C455="","",INDEX(Summary_FR!$A$3:$R$157,MATCH($C455,Summary_FR!$E$3:$E$157,0),MATCH(A$3,Summary_FR!$A$3:$R$3,0)))</f>
        <v/>
      </c>
      <c r="B455" s="86" t="str">
        <f>IF($C455="","",INDEX(Summary_FR!$A$3:$R$157,MATCH($C455,Summary_FR!$E$3:$E$157,0),MATCH(B$3,Summary_FR!$A$3:$R$3,0)))</f>
        <v/>
      </c>
      <c r="C455" s="86"/>
      <c r="D455" s="86"/>
      <c r="E455" s="86"/>
      <c r="F455" s="86"/>
      <c r="G455" s="86"/>
      <c r="H455" s="86"/>
      <c r="I455" s="86"/>
      <c r="J455" s="86"/>
      <c r="K455" s="86"/>
      <c r="L455" s="86"/>
      <c r="M455" s="86"/>
      <c r="N455" s="86"/>
    </row>
    <row r="456" spans="1:14" ht="14" x14ac:dyDescent="0.15">
      <c r="A456" s="86" t="str">
        <f>IF($C456="","",INDEX(Summary_FR!$A$3:$R$157,MATCH($C456,Summary_FR!$E$3:$E$157,0),MATCH(A$3,Summary_FR!$A$3:$R$3,0)))</f>
        <v/>
      </c>
      <c r="B456" s="86" t="str">
        <f>IF($C456="","",INDEX(Summary_FR!$A$3:$R$157,MATCH($C456,Summary_FR!$E$3:$E$157,0),MATCH(B$3,Summary_FR!$A$3:$R$3,0)))</f>
        <v/>
      </c>
      <c r="C456" s="86"/>
      <c r="D456" s="86"/>
      <c r="E456" s="86"/>
      <c r="F456" s="86"/>
      <c r="G456" s="86"/>
      <c r="H456" s="86"/>
      <c r="I456" s="86"/>
      <c r="J456" s="86"/>
      <c r="K456" s="86"/>
      <c r="L456" s="86"/>
      <c r="M456" s="86"/>
      <c r="N456" s="86"/>
    </row>
    <row r="457" spans="1:14" ht="14" x14ac:dyDescent="0.15">
      <c r="A457" s="86" t="str">
        <f>IF($C457="","",INDEX(Summary_FR!$A$3:$R$157,MATCH($C457,Summary_FR!$E$3:$E$157,0),MATCH(A$3,Summary_FR!$A$3:$R$3,0)))</f>
        <v/>
      </c>
      <c r="B457" s="86" t="str">
        <f>IF($C457="","",INDEX(Summary_FR!$A$3:$R$157,MATCH($C457,Summary_FR!$E$3:$E$157,0),MATCH(B$3,Summary_FR!$A$3:$R$3,0)))</f>
        <v/>
      </c>
      <c r="C457" s="86"/>
      <c r="D457" s="86"/>
      <c r="E457" s="86"/>
      <c r="F457" s="86"/>
      <c r="G457" s="86"/>
      <c r="H457" s="86"/>
      <c r="I457" s="86"/>
      <c r="J457" s="86"/>
      <c r="K457" s="86"/>
      <c r="L457" s="86"/>
      <c r="M457" s="86"/>
      <c r="N457" s="86"/>
    </row>
    <row r="458" spans="1:14" ht="14" x14ac:dyDescent="0.15">
      <c r="A458" s="86" t="str">
        <f>IF($C458="","",INDEX(Summary_FR!$A$3:$R$157,MATCH($C458,Summary_FR!$E$3:$E$157,0),MATCH(A$3,Summary_FR!$A$3:$R$3,0)))</f>
        <v/>
      </c>
      <c r="B458" s="86" t="str">
        <f>IF($C458="","",INDEX(Summary_FR!$A$3:$R$157,MATCH($C458,Summary_FR!$E$3:$E$157,0),MATCH(B$3,Summary_FR!$A$3:$R$3,0)))</f>
        <v/>
      </c>
      <c r="C458" s="86"/>
      <c r="D458" s="86"/>
      <c r="E458" s="86"/>
      <c r="F458" s="86"/>
      <c r="G458" s="86"/>
      <c r="H458" s="86"/>
      <c r="I458" s="86"/>
      <c r="J458" s="86"/>
      <c r="K458" s="86"/>
      <c r="L458" s="86"/>
      <c r="M458" s="86"/>
      <c r="N458" s="86"/>
    </row>
    <row r="459" spans="1:14" ht="14" x14ac:dyDescent="0.15">
      <c r="A459" s="86" t="str">
        <f>IF($C459="","",INDEX(Summary_FR!$A$3:$R$157,MATCH($C459,Summary_FR!$E$3:$E$157,0),MATCH(A$3,Summary_FR!$A$3:$R$3,0)))</f>
        <v/>
      </c>
      <c r="B459" s="86" t="str">
        <f>IF($C459="","",INDEX(Summary_FR!$A$3:$R$157,MATCH($C459,Summary_FR!$E$3:$E$157,0),MATCH(B$3,Summary_FR!$A$3:$R$3,0)))</f>
        <v/>
      </c>
      <c r="C459" s="86"/>
      <c r="D459" s="86"/>
      <c r="E459" s="86"/>
      <c r="F459" s="86"/>
      <c r="G459" s="86"/>
      <c r="H459" s="86"/>
      <c r="I459" s="86"/>
      <c r="J459" s="86"/>
      <c r="K459" s="86"/>
      <c r="L459" s="86"/>
      <c r="M459" s="86"/>
      <c r="N459" s="86"/>
    </row>
    <row r="460" spans="1:14" ht="14" x14ac:dyDescent="0.15">
      <c r="A460" s="86" t="str">
        <f>IF($C460="","",INDEX(Summary_FR!$A$3:$R$157,MATCH($C460,Summary_FR!$E$3:$E$157,0),MATCH(A$3,Summary_FR!$A$3:$R$3,0)))</f>
        <v/>
      </c>
      <c r="B460" s="86" t="str">
        <f>IF($C460="","",INDEX(Summary_FR!$A$3:$R$157,MATCH($C460,Summary_FR!$E$3:$E$157,0),MATCH(B$3,Summary_FR!$A$3:$R$3,0)))</f>
        <v/>
      </c>
      <c r="C460" s="86"/>
      <c r="D460" s="86"/>
      <c r="E460" s="86"/>
      <c r="F460" s="86"/>
      <c r="G460" s="86"/>
      <c r="H460" s="86"/>
      <c r="I460" s="86"/>
      <c r="J460" s="86"/>
      <c r="K460" s="86"/>
      <c r="L460" s="86"/>
      <c r="M460" s="86"/>
      <c r="N460" s="86"/>
    </row>
    <row r="461" spans="1:14" ht="14" x14ac:dyDescent="0.15">
      <c r="A461" s="86" t="str">
        <f>IF($C461="","",INDEX(Summary_FR!$A$3:$R$157,MATCH($C461,Summary_FR!$E$3:$E$157,0),MATCH(A$3,Summary_FR!$A$3:$R$3,0)))</f>
        <v/>
      </c>
      <c r="B461" s="86" t="str">
        <f>IF($C461="","",INDEX(Summary_FR!$A$3:$R$157,MATCH($C461,Summary_FR!$E$3:$E$157,0),MATCH(B$3,Summary_FR!$A$3:$R$3,0)))</f>
        <v/>
      </c>
      <c r="C461" s="86"/>
      <c r="D461" s="86"/>
      <c r="E461" s="86"/>
      <c r="F461" s="86"/>
      <c r="G461" s="86"/>
      <c r="H461" s="86"/>
      <c r="I461" s="86"/>
      <c r="J461" s="86"/>
      <c r="K461" s="86"/>
      <c r="L461" s="86"/>
      <c r="M461" s="86"/>
      <c r="N461" s="86"/>
    </row>
    <row r="462" spans="1:14" ht="14" x14ac:dyDescent="0.15">
      <c r="A462" s="86" t="str">
        <f>IF($C462="","",INDEX(Summary_FR!$A$3:$R$157,MATCH($C462,Summary_FR!$E$3:$E$157,0),MATCH(A$3,Summary_FR!$A$3:$R$3,0)))</f>
        <v/>
      </c>
      <c r="B462" s="86" t="str">
        <f>IF($C462="","",INDEX(Summary_FR!$A$3:$R$157,MATCH($C462,Summary_FR!$E$3:$E$157,0),MATCH(B$3,Summary_FR!$A$3:$R$3,0)))</f>
        <v/>
      </c>
      <c r="C462" s="86"/>
      <c r="D462" s="86"/>
      <c r="E462" s="86"/>
      <c r="F462" s="86"/>
      <c r="G462" s="86"/>
      <c r="H462" s="86"/>
      <c r="I462" s="86"/>
      <c r="J462" s="86"/>
      <c r="K462" s="86"/>
      <c r="L462" s="86"/>
      <c r="M462" s="86"/>
      <c r="N462" s="86"/>
    </row>
    <row r="463" spans="1:14" ht="14" x14ac:dyDescent="0.15">
      <c r="A463" s="86" t="str">
        <f>IF($C463="","",INDEX(Summary_FR!$A$3:$R$157,MATCH($C463,Summary_FR!$E$3:$E$157,0),MATCH(A$3,Summary_FR!$A$3:$R$3,0)))</f>
        <v/>
      </c>
      <c r="B463" s="86" t="str">
        <f>IF($C463="","",INDEX(Summary_FR!$A$3:$R$157,MATCH($C463,Summary_FR!$E$3:$E$157,0),MATCH(B$3,Summary_FR!$A$3:$R$3,0)))</f>
        <v/>
      </c>
      <c r="C463" s="86"/>
      <c r="D463" s="86"/>
      <c r="E463" s="86"/>
      <c r="F463" s="86"/>
      <c r="G463" s="86"/>
      <c r="H463" s="86"/>
      <c r="I463" s="86"/>
      <c r="J463" s="86"/>
      <c r="K463" s="86"/>
      <c r="L463" s="86"/>
      <c r="M463" s="86"/>
      <c r="N463" s="86"/>
    </row>
    <row r="464" spans="1:14" ht="14" x14ac:dyDescent="0.15">
      <c r="A464" s="86" t="str">
        <f>IF($C464="","",INDEX(Summary_FR!$A$3:$R$157,MATCH($C464,Summary_FR!$E$3:$E$157,0),MATCH(A$3,Summary_FR!$A$3:$R$3,0)))</f>
        <v/>
      </c>
      <c r="B464" s="86" t="str">
        <f>IF($C464="","",INDEX(Summary_FR!$A$3:$R$157,MATCH($C464,Summary_FR!$E$3:$E$157,0),MATCH(B$3,Summary_FR!$A$3:$R$3,0)))</f>
        <v/>
      </c>
      <c r="C464" s="86"/>
      <c r="D464" s="86"/>
      <c r="E464" s="86"/>
      <c r="F464" s="86"/>
      <c r="G464" s="86"/>
      <c r="H464" s="86"/>
      <c r="I464" s="86"/>
      <c r="J464" s="86"/>
      <c r="K464" s="86"/>
      <c r="L464" s="86"/>
      <c r="M464" s="86"/>
      <c r="N464" s="86"/>
    </row>
    <row r="465" spans="1:14" ht="14" x14ac:dyDescent="0.15">
      <c r="A465" s="86" t="str">
        <f>IF($C465="","",INDEX(Summary_FR!$A$3:$R$157,MATCH($C465,Summary_FR!$E$3:$E$157,0),MATCH(A$3,Summary_FR!$A$3:$R$3,0)))</f>
        <v/>
      </c>
      <c r="B465" s="86" t="str">
        <f>IF($C465="","",INDEX(Summary_FR!$A$3:$R$157,MATCH($C465,Summary_FR!$E$3:$E$157,0),MATCH(B$3,Summary_FR!$A$3:$R$3,0)))</f>
        <v/>
      </c>
      <c r="C465" s="86"/>
      <c r="D465" s="86"/>
      <c r="E465" s="86"/>
      <c r="F465" s="86"/>
      <c r="G465" s="86"/>
      <c r="H465" s="86"/>
      <c r="I465" s="86"/>
      <c r="J465" s="86"/>
      <c r="K465" s="86"/>
      <c r="L465" s="86"/>
      <c r="M465" s="86"/>
      <c r="N465" s="86"/>
    </row>
    <row r="466" spans="1:14" ht="14" x14ac:dyDescent="0.15">
      <c r="A466" s="86" t="str">
        <f>IF($C466="","",INDEX(Summary_FR!$A$3:$R$157,MATCH($C466,Summary_FR!$E$3:$E$157,0),MATCH(A$3,Summary_FR!$A$3:$R$3,0)))</f>
        <v/>
      </c>
      <c r="B466" s="86" t="str">
        <f>IF($C466="","",INDEX(Summary_FR!$A$3:$R$157,MATCH($C466,Summary_FR!$E$3:$E$157,0),MATCH(B$3,Summary_FR!$A$3:$R$3,0)))</f>
        <v/>
      </c>
      <c r="C466" s="86"/>
      <c r="D466" s="86"/>
      <c r="E466" s="86"/>
      <c r="F466" s="86"/>
      <c r="G466" s="86"/>
      <c r="H466" s="86"/>
      <c r="I466" s="86"/>
      <c r="J466" s="86"/>
      <c r="K466" s="86"/>
      <c r="L466" s="86"/>
      <c r="M466" s="86"/>
      <c r="N466" s="86"/>
    </row>
    <row r="467" spans="1:14" ht="14" x14ac:dyDescent="0.15">
      <c r="A467" s="86" t="str">
        <f>IF($C467="","",INDEX(Summary_FR!$A$3:$R$157,MATCH($C467,Summary_FR!$E$3:$E$157,0),MATCH(A$3,Summary_FR!$A$3:$R$3,0)))</f>
        <v/>
      </c>
      <c r="B467" s="86" t="str">
        <f>IF($C467="","",INDEX(Summary_FR!$A$3:$R$157,MATCH($C467,Summary_FR!$E$3:$E$157,0),MATCH(B$3,Summary_FR!$A$3:$R$3,0)))</f>
        <v/>
      </c>
      <c r="C467" s="86"/>
      <c r="D467" s="86"/>
      <c r="E467" s="86"/>
      <c r="F467" s="86"/>
      <c r="G467" s="86"/>
      <c r="H467" s="86"/>
      <c r="I467" s="86"/>
      <c r="J467" s="86"/>
      <c r="K467" s="86"/>
      <c r="L467" s="86"/>
      <c r="M467" s="86"/>
      <c r="N467" s="86"/>
    </row>
    <row r="468" spans="1:14" ht="14" x14ac:dyDescent="0.15">
      <c r="A468" s="86" t="str">
        <f>IF($C468="","",INDEX(Summary_FR!$A$3:$R$157,MATCH($C468,Summary_FR!$E$3:$E$157,0),MATCH(A$3,Summary_FR!$A$3:$R$3,0)))</f>
        <v/>
      </c>
      <c r="B468" s="86" t="str">
        <f>IF($C468="","",INDEX(Summary_FR!$A$3:$R$157,MATCH($C468,Summary_FR!$E$3:$E$157,0),MATCH(B$3,Summary_FR!$A$3:$R$3,0)))</f>
        <v/>
      </c>
      <c r="C468" s="86"/>
      <c r="D468" s="86"/>
      <c r="E468" s="86"/>
      <c r="F468" s="86"/>
      <c r="G468" s="86"/>
      <c r="H468" s="86"/>
      <c r="I468" s="86"/>
      <c r="J468" s="86"/>
      <c r="K468" s="86"/>
      <c r="L468" s="86"/>
      <c r="M468" s="86"/>
      <c r="N468" s="86"/>
    </row>
    <row r="469" spans="1:14" ht="14" x14ac:dyDescent="0.15">
      <c r="A469" s="86" t="str">
        <f>IF($C469="","",INDEX(Summary_FR!$A$3:$R$157,MATCH($C469,Summary_FR!$E$3:$E$157,0),MATCH(A$3,Summary_FR!$A$3:$R$3,0)))</f>
        <v/>
      </c>
      <c r="B469" s="86" t="str">
        <f>IF($C469="","",INDEX(Summary_FR!$A$3:$R$157,MATCH($C469,Summary_FR!$E$3:$E$157,0),MATCH(B$3,Summary_FR!$A$3:$R$3,0)))</f>
        <v/>
      </c>
      <c r="C469" s="86"/>
      <c r="D469" s="86"/>
      <c r="E469" s="86"/>
      <c r="F469" s="86"/>
      <c r="G469" s="86"/>
      <c r="H469" s="86"/>
      <c r="I469" s="86"/>
      <c r="J469" s="86"/>
      <c r="K469" s="86"/>
      <c r="L469" s="86"/>
      <c r="M469" s="86"/>
      <c r="N469" s="86"/>
    </row>
    <row r="470" spans="1:14" ht="14" x14ac:dyDescent="0.15">
      <c r="A470" s="86" t="str">
        <f>IF($C470="","",INDEX(Summary_FR!$A$3:$R$157,MATCH($C470,Summary_FR!$E$3:$E$157,0),MATCH(A$3,Summary_FR!$A$3:$R$3,0)))</f>
        <v/>
      </c>
      <c r="B470" s="86" t="str">
        <f>IF($C470="","",INDEX(Summary_FR!$A$3:$R$157,MATCH($C470,Summary_FR!$E$3:$E$157,0),MATCH(B$3,Summary_FR!$A$3:$R$3,0)))</f>
        <v/>
      </c>
      <c r="C470" s="86"/>
      <c r="D470" s="86"/>
      <c r="E470" s="86"/>
      <c r="F470" s="86"/>
      <c r="G470" s="86"/>
      <c r="H470" s="86"/>
      <c r="I470" s="86"/>
      <c r="J470" s="86"/>
      <c r="K470" s="86"/>
      <c r="L470" s="86"/>
      <c r="M470" s="86"/>
      <c r="N470" s="86"/>
    </row>
    <row r="471" spans="1:14" ht="14" x14ac:dyDescent="0.15">
      <c r="A471" s="86" t="str">
        <f>IF($C471="","",INDEX(Summary_FR!$A$3:$R$157,MATCH($C471,Summary_FR!$E$3:$E$157,0),MATCH(A$3,Summary_FR!$A$3:$R$3,0)))</f>
        <v/>
      </c>
      <c r="B471" s="86" t="str">
        <f>IF($C471="","",INDEX(Summary_FR!$A$3:$R$157,MATCH($C471,Summary_FR!$E$3:$E$157,0),MATCH(B$3,Summary_FR!$A$3:$R$3,0)))</f>
        <v/>
      </c>
      <c r="C471" s="86"/>
      <c r="D471" s="86"/>
      <c r="E471" s="86"/>
      <c r="F471" s="86"/>
      <c r="G471" s="86"/>
      <c r="H471" s="86"/>
      <c r="I471" s="86"/>
      <c r="J471" s="86"/>
      <c r="K471" s="86"/>
      <c r="L471" s="86"/>
      <c r="M471" s="86"/>
      <c r="N471" s="86"/>
    </row>
    <row r="472" spans="1:14" ht="14" x14ac:dyDescent="0.15">
      <c r="A472" s="86" t="str">
        <f>IF($C472="","",INDEX(Summary_FR!$A$3:$R$157,MATCH($C472,Summary_FR!$E$3:$E$157,0),MATCH(A$3,Summary_FR!$A$3:$R$3,0)))</f>
        <v/>
      </c>
      <c r="B472" s="86" t="str">
        <f>IF($C472="","",INDEX(Summary_FR!$A$3:$R$157,MATCH($C472,Summary_FR!$E$3:$E$157,0),MATCH(B$3,Summary_FR!$A$3:$R$3,0)))</f>
        <v/>
      </c>
      <c r="C472" s="86"/>
      <c r="D472" s="86"/>
      <c r="E472" s="86"/>
      <c r="F472" s="86"/>
      <c r="G472" s="86"/>
      <c r="H472" s="86"/>
      <c r="I472" s="86"/>
      <c r="J472" s="86"/>
      <c r="K472" s="86"/>
      <c r="L472" s="86"/>
      <c r="M472" s="86"/>
      <c r="N472" s="86"/>
    </row>
    <row r="473" spans="1:14" ht="14" x14ac:dyDescent="0.15">
      <c r="A473" s="86" t="str">
        <f>IF($C473="","",INDEX(Summary_FR!$A$3:$R$157,MATCH($C473,Summary_FR!$E$3:$E$157,0),MATCH(A$3,Summary_FR!$A$3:$R$3,0)))</f>
        <v/>
      </c>
      <c r="B473" s="86" t="str">
        <f>IF($C473="","",INDEX(Summary_FR!$A$3:$R$157,MATCH($C473,Summary_FR!$E$3:$E$157,0),MATCH(B$3,Summary_FR!$A$3:$R$3,0)))</f>
        <v/>
      </c>
      <c r="C473" s="86"/>
      <c r="D473" s="86"/>
      <c r="E473" s="86"/>
      <c r="F473" s="86"/>
      <c r="G473" s="86"/>
      <c r="H473" s="86"/>
      <c r="I473" s="86"/>
      <c r="J473" s="86"/>
      <c r="K473" s="86"/>
      <c r="L473" s="86"/>
      <c r="M473" s="86"/>
      <c r="N473" s="86"/>
    </row>
    <row r="474" spans="1:14" ht="14" x14ac:dyDescent="0.15">
      <c r="A474" s="86" t="str">
        <f>IF($C474="","",INDEX(Summary_FR!$A$3:$R$157,MATCH($C474,Summary_FR!$E$3:$E$157,0),MATCH(A$3,Summary_FR!$A$3:$R$3,0)))</f>
        <v/>
      </c>
      <c r="B474" s="86" t="str">
        <f>IF($C474="","",INDEX(Summary_FR!$A$3:$R$157,MATCH($C474,Summary_FR!$E$3:$E$157,0),MATCH(B$3,Summary_FR!$A$3:$R$3,0)))</f>
        <v/>
      </c>
      <c r="C474" s="86"/>
      <c r="D474" s="86"/>
      <c r="E474" s="86"/>
      <c r="F474" s="86"/>
      <c r="G474" s="86"/>
      <c r="H474" s="86"/>
      <c r="I474" s="86"/>
      <c r="J474" s="86"/>
      <c r="K474" s="86"/>
      <c r="L474" s="86"/>
      <c r="M474" s="86"/>
      <c r="N474" s="86"/>
    </row>
    <row r="475" spans="1:14" ht="14" x14ac:dyDescent="0.15">
      <c r="A475" s="86" t="str">
        <f>IF($C475="","",INDEX(Summary_FR!$A$3:$R$157,MATCH($C475,Summary_FR!$E$3:$E$157,0),MATCH(A$3,Summary_FR!$A$3:$R$3,0)))</f>
        <v/>
      </c>
      <c r="B475" s="86" t="str">
        <f>IF($C475="","",INDEX(Summary_FR!$A$3:$R$157,MATCH($C475,Summary_FR!$E$3:$E$157,0),MATCH(B$3,Summary_FR!$A$3:$R$3,0)))</f>
        <v/>
      </c>
      <c r="C475" s="86"/>
      <c r="D475" s="86"/>
      <c r="E475" s="86"/>
      <c r="F475" s="86"/>
      <c r="G475" s="86"/>
      <c r="H475" s="86"/>
      <c r="I475" s="86"/>
      <c r="J475" s="86"/>
      <c r="K475" s="86"/>
      <c r="L475" s="86"/>
      <c r="M475" s="86"/>
      <c r="N475" s="86"/>
    </row>
    <row r="476" spans="1:14" ht="14" x14ac:dyDescent="0.15">
      <c r="A476" s="86" t="str">
        <f>IF($C476="","",INDEX(Summary_FR!$A$3:$R$157,MATCH($C476,Summary_FR!$E$3:$E$157,0),MATCH(A$3,Summary_FR!$A$3:$R$3,0)))</f>
        <v/>
      </c>
      <c r="B476" s="86" t="str">
        <f>IF($C476="","",INDEX(Summary_FR!$A$3:$R$157,MATCH($C476,Summary_FR!$E$3:$E$157,0),MATCH(B$3,Summary_FR!$A$3:$R$3,0)))</f>
        <v/>
      </c>
      <c r="C476" s="86"/>
      <c r="D476" s="86"/>
      <c r="E476" s="86"/>
      <c r="F476" s="86"/>
      <c r="G476" s="86"/>
      <c r="H476" s="86"/>
      <c r="I476" s="86"/>
      <c r="J476" s="86"/>
      <c r="K476" s="86"/>
      <c r="L476" s="86"/>
      <c r="M476" s="86"/>
      <c r="N476" s="86"/>
    </row>
    <row r="477" spans="1:14" ht="14" x14ac:dyDescent="0.15">
      <c r="A477" s="86" t="str">
        <f>IF($C477="","",INDEX(Summary_FR!$A$3:$R$157,MATCH($C477,Summary_FR!$E$3:$E$157,0),MATCH(A$3,Summary_FR!$A$3:$R$3,0)))</f>
        <v/>
      </c>
      <c r="B477" s="86" t="str">
        <f>IF($C477="","",INDEX(Summary_FR!$A$3:$R$157,MATCH($C477,Summary_FR!$E$3:$E$157,0),MATCH(B$3,Summary_FR!$A$3:$R$3,0)))</f>
        <v/>
      </c>
      <c r="C477" s="86"/>
      <c r="D477" s="86"/>
      <c r="E477" s="86"/>
      <c r="F477" s="86"/>
      <c r="G477" s="86"/>
      <c r="H477" s="86"/>
      <c r="I477" s="86"/>
      <c r="J477" s="86"/>
      <c r="K477" s="86"/>
      <c r="L477" s="86"/>
      <c r="M477" s="86"/>
      <c r="N477" s="86"/>
    </row>
    <row r="478" spans="1:14" ht="14" x14ac:dyDescent="0.15">
      <c r="A478" s="86" t="str">
        <f>IF($C478="","",INDEX(Summary_FR!$A$3:$R$157,MATCH($C478,Summary_FR!$E$3:$E$157,0),MATCH(A$3,Summary_FR!$A$3:$R$3,0)))</f>
        <v/>
      </c>
      <c r="B478" s="86" t="str">
        <f>IF($C478="","",INDEX(Summary_FR!$A$3:$R$157,MATCH($C478,Summary_FR!$E$3:$E$157,0),MATCH(B$3,Summary_FR!$A$3:$R$3,0)))</f>
        <v/>
      </c>
      <c r="C478" s="86"/>
      <c r="D478" s="86"/>
      <c r="E478" s="86"/>
      <c r="F478" s="86"/>
      <c r="G478" s="86"/>
      <c r="H478" s="86"/>
      <c r="I478" s="86"/>
      <c r="J478" s="86"/>
      <c r="K478" s="86"/>
      <c r="L478" s="86"/>
      <c r="M478" s="86"/>
      <c r="N478" s="86"/>
    </row>
    <row r="479" spans="1:14" ht="14" x14ac:dyDescent="0.15">
      <c r="A479" s="86" t="str">
        <f>IF($C479="","",INDEX(Summary_FR!$A$3:$R$157,MATCH($C479,Summary_FR!$E$3:$E$157,0),MATCH(A$3,Summary_FR!$A$3:$R$3,0)))</f>
        <v/>
      </c>
      <c r="B479" s="86" t="str">
        <f>IF($C479="","",INDEX(Summary_FR!$A$3:$R$157,MATCH($C479,Summary_FR!$E$3:$E$157,0),MATCH(B$3,Summary_FR!$A$3:$R$3,0)))</f>
        <v/>
      </c>
      <c r="C479" s="86"/>
      <c r="D479" s="86"/>
      <c r="E479" s="86"/>
      <c r="F479" s="86"/>
      <c r="G479" s="86"/>
      <c r="H479" s="86"/>
      <c r="I479" s="86"/>
      <c r="J479" s="86"/>
      <c r="K479" s="86"/>
      <c r="L479" s="86"/>
      <c r="M479" s="86"/>
      <c r="N479" s="86"/>
    </row>
    <row r="480" spans="1:14" ht="14" x14ac:dyDescent="0.15">
      <c r="A480" s="86" t="str">
        <f>IF($C480="","",INDEX(Summary_FR!$A$3:$R$157,MATCH($C480,Summary_FR!$E$3:$E$157,0),MATCH(A$3,Summary_FR!$A$3:$R$3,0)))</f>
        <v/>
      </c>
      <c r="B480" s="86" t="str">
        <f>IF($C480="","",INDEX(Summary_FR!$A$3:$R$157,MATCH($C480,Summary_FR!$E$3:$E$157,0),MATCH(B$3,Summary_FR!$A$3:$R$3,0)))</f>
        <v/>
      </c>
      <c r="C480" s="86"/>
      <c r="D480" s="86"/>
      <c r="E480" s="86"/>
      <c r="F480" s="86"/>
      <c r="G480" s="86"/>
      <c r="H480" s="86"/>
      <c r="I480" s="86"/>
      <c r="J480" s="86"/>
      <c r="K480" s="86"/>
      <c r="L480" s="86"/>
      <c r="M480" s="86"/>
      <c r="N480" s="86"/>
    </row>
  </sheetData>
  <autoFilter ref="A3:N480" xr:uid="{00000000-0001-0000-0200-000000000000}">
    <sortState xmlns:xlrd2="http://schemas.microsoft.com/office/spreadsheetml/2017/richdata2" ref="A4:N480">
      <sortCondition ref="C3:C480"/>
    </sortState>
  </autoFilter>
  <dataValidations count="8">
    <dataValidation type="list" allowBlank="1" showInputMessage="1" showErrorMessage="1" sqref="K124:K480 K4:K117" xr:uid="{D01B602C-683A-4370-9E38-FC549662CBCC}">
      <formula1>Geography</formula1>
    </dataValidation>
    <dataValidation type="list" allowBlank="1" showInputMessage="1" showErrorMessage="1" sqref="L124:L480 L4:L117" xr:uid="{ABCF85F4-29EE-4270-998A-9C6C6FEB23B6}">
      <formula1>Location</formula1>
    </dataValidation>
    <dataValidation type="list" allowBlank="1" showInputMessage="1" showErrorMessage="1" sqref="M124:M480 M4:M117" xr:uid="{47541891-65AE-4CA8-AE9C-D8A2FED4EDA9}">
      <formula1>SubLocation</formula1>
    </dataValidation>
    <dataValidation type="list" allowBlank="1" showInputMessage="1" showErrorMessage="1" sqref="M118:M123" xr:uid="{475F5F7F-FC78-47BE-B72C-190B263B36F1}">
      <formula1>SubLoc</formula1>
    </dataValidation>
    <dataValidation type="list" allowBlank="1" showInputMessage="1" showErrorMessage="1" sqref="L118:L123" xr:uid="{4049792C-887C-4D0E-804E-1BF6AC680499}">
      <formula1>Locat</formula1>
    </dataValidation>
    <dataValidation type="list" allowBlank="1" showInputMessage="1" showErrorMessage="1" sqref="K118:K123" xr:uid="{2DD1384E-277D-42EA-9F1D-9EB919EF61AC}">
      <formula1>Geo</formula1>
    </dataValidation>
    <dataValidation type="list" allowBlank="1" showInputMessage="1" showErrorMessage="1" sqref="B4:B480" xr:uid="{25F0E2CB-E991-4E09-8149-2EFD17FE10F6}">
      <formula1>Investor_Classification</formula1>
    </dataValidation>
    <dataValidation type="list" allowBlank="1" showInputMessage="1" showErrorMessage="1" sqref="C127:C480 C4:C125" xr:uid="{827B9D2C-6532-4353-8B75-B6F7823522E4}">
      <formula1>Contact_Co</formula1>
    </dataValidation>
  </dataValidations>
  <hyperlinks>
    <hyperlink ref="G66" r:id="rId1" xr:uid="{A84CCB0A-6126-46DE-A1B0-D52D6D26D8BB}"/>
    <hyperlink ref="G55" r:id="rId2" xr:uid="{067B28A6-C3F0-49F0-9C27-3D93D59F5CF2}"/>
    <hyperlink ref="G22" r:id="rId3" xr:uid="{8F5B0B77-201E-4791-91ED-5646E41BB96B}"/>
    <hyperlink ref="G103" r:id="rId4" xr:uid="{09CE5008-CE29-432A-A242-2808CF89A2A6}"/>
    <hyperlink ref="G104" r:id="rId5" xr:uid="{B1C2C100-65F9-490B-8D94-8BCE893B9DC7}"/>
    <hyperlink ref="G6" r:id="rId6" xr:uid="{E1FD18A9-E363-426C-B956-78240375589D}"/>
    <hyperlink ref="G98" r:id="rId7" xr:uid="{6BB04F2C-BE14-4154-930E-DE96D444737D}"/>
    <hyperlink ref="G100" r:id="rId8" xr:uid="{CA118571-7059-4044-BF0A-405F4043EFD2}"/>
    <hyperlink ref="G99" r:id="rId9" xr:uid="{1A50C2E7-6A3D-4751-A2FF-29342E68A7A4}"/>
    <hyperlink ref="G86" r:id="rId10" xr:uid="{743472B8-120F-408D-B614-460336C58AE8}"/>
    <hyperlink ref="G11" r:id="rId11" xr:uid="{3D722041-8730-495D-B3EF-7A447AD90890}"/>
    <hyperlink ref="G49" r:id="rId12" xr:uid="{6BA936AF-060C-41A8-B3E7-57A6175681D0}"/>
    <hyperlink ref="G34" r:id="rId13" xr:uid="{E1188DC6-0DAD-47D5-8B37-5120373D12D2}"/>
    <hyperlink ref="G48" r:id="rId14" xr:uid="{E41DB346-C989-4599-BFF7-B9DF54F56CB9}"/>
    <hyperlink ref="G13" r:id="rId15" xr:uid="{71AF356F-A67F-49EC-809B-E7CDD317DB88}"/>
    <hyperlink ref="G47" r:id="rId16" xr:uid="{CA30E492-4555-4C8A-8907-287FE69B794C}"/>
    <hyperlink ref="G109" r:id="rId17" xr:uid="{C713BAC5-E814-45B0-9625-18468FDC642A}"/>
    <hyperlink ref="G58" r:id="rId18" xr:uid="{EFB3692A-F45A-4AEB-B4C7-A432B1399289}"/>
    <hyperlink ref="G30" r:id="rId19" xr:uid="{5200378C-B776-43BC-9E29-E501577AEB84}"/>
    <hyperlink ref="G25" r:id="rId20" xr:uid="{DDC52008-D5B8-40D5-B5AF-44684988B0AF}"/>
    <hyperlink ref="G107" r:id="rId21" xr:uid="{282BCF57-4762-4F69-88E4-9D4580F1A72C}"/>
    <hyperlink ref="G32" r:id="rId22" xr:uid="{231E3BE4-A537-43CB-9704-D340A0C7749B}"/>
    <hyperlink ref="G28" r:id="rId23" xr:uid="{80DA8964-D627-4416-B101-6FA9FCC1DD9D}"/>
    <hyperlink ref="G21" r:id="rId24" xr:uid="{2F0A9CFE-4754-42A8-85FE-8C3D017BC46B}"/>
    <hyperlink ref="G68" r:id="rId25" xr:uid="{8BE6961A-82A4-4933-8BC2-5BCFF42B3746}"/>
    <hyperlink ref="G59" r:id="rId26" xr:uid="{C401379C-E10A-46B9-9B43-EABDD4D63250}"/>
    <hyperlink ref="G18" r:id="rId27" xr:uid="{02C0C0C9-FD19-4377-858E-4B9E5E38645E}"/>
    <hyperlink ref="G15" r:id="rId28" xr:uid="{6A83A818-F030-487E-84AE-D80E24D602D9}"/>
    <hyperlink ref="G92" r:id="rId29" xr:uid="{C2D63827-88BE-4AA6-81A3-71D5167E1C82}"/>
    <hyperlink ref="G9" r:id="rId30" xr:uid="{DC5D3AB0-479E-4411-846C-AC90E9ACA55B}"/>
    <hyperlink ref="G124" r:id="rId31" xr:uid="{BBCE94D3-DE6F-4FFB-BCB8-0CD785FDAE6A}"/>
    <hyperlink ref="G127" r:id="rId32" xr:uid="{DAD0BEB8-1B96-4F7F-B1F2-E5613994547F}"/>
    <hyperlink ref="G129" r:id="rId33" xr:uid="{6BFF119A-3CC0-4951-A16D-3C1C74843097}"/>
  </hyperlinks>
  <pageMargins left="0.70866141732283472" right="0.70866141732283472" top="0.74803149606299213" bottom="0.74803149606299213" header="0.31496062992125984" footer="0.31496062992125984"/>
  <pageSetup paperSize="9" scale="37" fitToHeight="7" orientation="landscape" r:id="rId34"/>
  <headerFooter>
    <oddHeader>&amp;A</oddHeader>
    <oddFooter>&amp;L&amp;B Confidential&amp;B&amp;C&amp;D&amp;RPage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filterMode="1">
    <outlinePr summaryBelow="0" summaryRight="0"/>
    <pageSetUpPr fitToPage="1"/>
  </sheetPr>
  <dimension ref="A1:N100"/>
  <sheetViews>
    <sheetView view="pageBreakPreview" topLeftCell="B1" zoomScaleNormal="100" zoomScaleSheetLayoutView="100" workbookViewId="0">
      <pane ySplit="3" topLeftCell="A9" activePane="bottomLeft" state="frozen"/>
      <selection activeCell="H1" sqref="H1"/>
      <selection pane="bottomLeft" activeCell="K43" sqref="K43"/>
    </sheetView>
  </sheetViews>
  <sheetFormatPr baseColWidth="10" defaultColWidth="12.6640625" defaultRowHeight="12" x14ac:dyDescent="0.15"/>
  <cols>
    <col min="1" max="1" width="0" style="113" hidden="1" customWidth="1"/>
    <col min="2" max="2" width="9.33203125" style="113" customWidth="1"/>
    <col min="3" max="3" width="13.33203125" style="115" customWidth="1"/>
    <col min="4" max="4" width="10.6640625" style="113" customWidth="1"/>
    <col min="5" max="5" width="17" style="113" customWidth="1"/>
    <col min="6" max="6" width="13.5" style="113" hidden="1" customWidth="1"/>
    <col min="7" max="7" width="12.83203125" style="113" customWidth="1"/>
    <col min="8" max="8" width="13.33203125" style="113" customWidth="1"/>
    <col min="9" max="9" width="13.33203125" style="113" hidden="1" customWidth="1"/>
    <col min="10" max="10" width="48.33203125" style="113" customWidth="1"/>
    <col min="11" max="11" width="41.33203125" style="113" customWidth="1"/>
    <col min="12" max="12" width="40.6640625" style="113" customWidth="1"/>
    <col min="13" max="13" width="41.5" style="113" customWidth="1"/>
    <col min="14" max="16384" width="12.6640625" style="113"/>
  </cols>
  <sheetData>
    <row r="1" spans="1:14" ht="13" x14ac:dyDescent="0.15">
      <c r="B1" s="115" t="s">
        <v>1268</v>
      </c>
      <c r="C1" s="106"/>
      <c r="D1" s="115">
        <f>COUNTIF(B4:B51,"Closed")</f>
        <v>19</v>
      </c>
      <c r="H1" s="115"/>
      <c r="I1" s="115"/>
      <c r="J1" s="115"/>
      <c r="K1" s="115"/>
      <c r="L1" s="115"/>
      <c r="M1" s="115"/>
      <c r="N1" s="115"/>
    </row>
    <row r="2" spans="1:14" ht="13" x14ac:dyDescent="0.15">
      <c r="B2" s="115" t="s">
        <v>1269</v>
      </c>
      <c r="C2" s="106"/>
      <c r="D2" s="115">
        <f>COUNTIF(B4:B51,OR("In-Process","Open"))</f>
        <v>0</v>
      </c>
      <c r="H2" s="115"/>
      <c r="I2" s="115"/>
      <c r="J2" s="115"/>
      <c r="K2" s="115"/>
      <c r="L2" s="115"/>
      <c r="M2" s="115"/>
      <c r="N2" s="115"/>
    </row>
    <row r="3" spans="1:14" ht="26" x14ac:dyDescent="0.15">
      <c r="A3" s="107" t="s">
        <v>1270</v>
      </c>
      <c r="B3" s="107" t="s">
        <v>1271</v>
      </c>
      <c r="C3" s="108" t="s">
        <v>1272</v>
      </c>
      <c r="D3" s="108" t="s">
        <v>1273</v>
      </c>
      <c r="E3" s="108" t="s">
        <v>143</v>
      </c>
      <c r="F3" s="108" t="str">
        <f>Summary_FR!F3</f>
        <v>Reference</v>
      </c>
      <c r="G3" s="108" t="s">
        <v>1274</v>
      </c>
      <c r="H3" s="108" t="s">
        <v>1275</v>
      </c>
      <c r="I3" s="108" t="s">
        <v>1276</v>
      </c>
      <c r="J3" s="108" t="s">
        <v>1277</v>
      </c>
      <c r="K3" s="108" t="s">
        <v>1278</v>
      </c>
      <c r="L3" s="108" t="s">
        <v>1279</v>
      </c>
      <c r="M3" s="108" t="s">
        <v>144</v>
      </c>
    </row>
    <row r="4" spans="1:14" ht="39" hidden="1" x14ac:dyDescent="0.15">
      <c r="A4" s="106"/>
      <c r="B4" s="106" t="s">
        <v>39</v>
      </c>
      <c r="C4" s="106" t="s">
        <v>264</v>
      </c>
      <c r="D4" s="109">
        <v>45573</v>
      </c>
      <c r="E4" s="106" t="s">
        <v>171</v>
      </c>
      <c r="F4" s="106"/>
      <c r="G4" s="106" t="s">
        <v>1280</v>
      </c>
      <c r="H4" s="110">
        <v>45609</v>
      </c>
      <c r="I4" s="110"/>
      <c r="J4" s="106" t="s">
        <v>1281</v>
      </c>
      <c r="K4" s="106" t="s">
        <v>1282</v>
      </c>
      <c r="L4" s="106"/>
      <c r="M4" s="106"/>
    </row>
    <row r="5" spans="1:14" ht="39" hidden="1" x14ac:dyDescent="0.15">
      <c r="A5" s="106"/>
      <c r="B5" s="106" t="s">
        <v>39</v>
      </c>
      <c r="C5" s="106" t="s">
        <v>42</v>
      </c>
      <c r="D5" s="109">
        <v>45588</v>
      </c>
      <c r="E5" s="106" t="s">
        <v>148</v>
      </c>
      <c r="F5" s="106"/>
      <c r="G5" s="106" t="s">
        <v>1283</v>
      </c>
      <c r="H5" s="109">
        <v>45588</v>
      </c>
      <c r="I5" s="110"/>
      <c r="J5" s="112" t="s">
        <v>1284</v>
      </c>
      <c r="K5" s="112" t="s">
        <v>1285</v>
      </c>
      <c r="L5" s="106" t="s">
        <v>1286</v>
      </c>
      <c r="M5" s="106" t="s">
        <v>1287</v>
      </c>
    </row>
    <row r="6" spans="1:14" ht="143" hidden="1" x14ac:dyDescent="0.15">
      <c r="A6" s="106"/>
      <c r="B6" s="106" t="s">
        <v>39</v>
      </c>
      <c r="C6" s="106" t="s">
        <v>81</v>
      </c>
      <c r="D6" s="109">
        <v>45589</v>
      </c>
      <c r="E6" s="106" t="s">
        <v>148</v>
      </c>
      <c r="F6" s="106"/>
      <c r="G6" s="106" t="s">
        <v>1283</v>
      </c>
      <c r="H6" s="109">
        <v>45589</v>
      </c>
      <c r="I6" s="110"/>
      <c r="J6" s="117" t="s">
        <v>1288</v>
      </c>
      <c r="K6" s="106" t="s">
        <v>1289</v>
      </c>
      <c r="L6" s="106"/>
      <c r="M6" s="106" t="s">
        <v>1290</v>
      </c>
    </row>
    <row r="7" spans="1:14" ht="26" hidden="1" x14ac:dyDescent="0.15">
      <c r="A7" s="106"/>
      <c r="B7" s="106" t="s">
        <v>39</v>
      </c>
      <c r="C7" s="106" t="s">
        <v>243</v>
      </c>
      <c r="D7" s="109">
        <v>45589</v>
      </c>
      <c r="E7" s="106" t="s">
        <v>148</v>
      </c>
      <c r="F7" s="106"/>
      <c r="G7" s="106" t="s">
        <v>1283</v>
      </c>
      <c r="H7" s="110">
        <v>45592</v>
      </c>
      <c r="I7" s="110"/>
      <c r="J7" s="112" t="s">
        <v>1291</v>
      </c>
      <c r="K7" s="106" t="s">
        <v>1292</v>
      </c>
      <c r="L7" s="106" t="s">
        <v>1293</v>
      </c>
      <c r="M7" s="106" t="s">
        <v>1294</v>
      </c>
    </row>
    <row r="8" spans="1:14" ht="103.25" hidden="1" customHeight="1" x14ac:dyDescent="0.15">
      <c r="A8" s="106"/>
      <c r="B8" s="106" t="s">
        <v>39</v>
      </c>
      <c r="C8" s="106" t="s">
        <v>243</v>
      </c>
      <c r="D8" s="109">
        <f>D7</f>
        <v>45589</v>
      </c>
      <c r="E8" s="106" t="s">
        <v>148</v>
      </c>
      <c r="F8" s="106"/>
      <c r="G8" s="106" t="s">
        <v>1283</v>
      </c>
      <c r="H8" s="110">
        <v>45608</v>
      </c>
      <c r="I8" s="110"/>
      <c r="J8" s="112" t="s">
        <v>1295</v>
      </c>
      <c r="K8" s="106" t="s">
        <v>1296</v>
      </c>
      <c r="L8" s="106"/>
      <c r="M8" s="106" t="s">
        <v>1297</v>
      </c>
    </row>
    <row r="9" spans="1:14" ht="91" x14ac:dyDescent="0.15">
      <c r="A9" s="106"/>
      <c r="B9" s="106" t="s">
        <v>39</v>
      </c>
      <c r="C9" s="106" t="s">
        <v>199</v>
      </c>
      <c r="D9" s="109">
        <v>45600</v>
      </c>
      <c r="E9" s="106" t="s">
        <v>171</v>
      </c>
      <c r="F9" s="106"/>
      <c r="G9" s="106" t="s">
        <v>1280</v>
      </c>
      <c r="H9" s="110">
        <v>45604</v>
      </c>
      <c r="I9" s="110"/>
      <c r="J9" s="112" t="s">
        <v>1298</v>
      </c>
      <c r="K9" s="106" t="s">
        <v>1299</v>
      </c>
      <c r="L9" s="116" t="s">
        <v>1300</v>
      </c>
      <c r="M9" s="106"/>
    </row>
    <row r="10" spans="1:14" ht="39" x14ac:dyDescent="0.15">
      <c r="A10" s="106"/>
      <c r="B10" s="106" t="s">
        <v>39</v>
      </c>
      <c r="C10" s="106" t="s">
        <v>199</v>
      </c>
      <c r="D10" s="109">
        <v>45600</v>
      </c>
      <c r="E10" s="106" t="s">
        <v>417</v>
      </c>
      <c r="F10" s="106"/>
      <c r="G10" s="106" t="s">
        <v>1301</v>
      </c>
      <c r="H10" s="110">
        <v>45604</v>
      </c>
      <c r="I10" s="110"/>
      <c r="J10" s="112" t="s">
        <v>1302</v>
      </c>
      <c r="K10" s="106" t="s">
        <v>1303</v>
      </c>
      <c r="L10" s="106" t="s">
        <v>1304</v>
      </c>
      <c r="M10" s="106"/>
    </row>
    <row r="11" spans="1:14" ht="26" x14ac:dyDescent="0.15">
      <c r="A11" s="106"/>
      <c r="B11" s="106" t="s">
        <v>39</v>
      </c>
      <c r="C11" s="106" t="s">
        <v>199</v>
      </c>
      <c r="D11" s="109">
        <v>45600</v>
      </c>
      <c r="E11" s="106" t="s">
        <v>417</v>
      </c>
      <c r="F11" s="106"/>
      <c r="G11" s="106" t="s">
        <v>1283</v>
      </c>
      <c r="H11" s="110">
        <v>45626</v>
      </c>
      <c r="I11" s="110"/>
      <c r="J11" s="112" t="s">
        <v>1305</v>
      </c>
      <c r="K11" s="116" t="s">
        <v>1306</v>
      </c>
      <c r="L11" s="106" t="s">
        <v>1307</v>
      </c>
      <c r="M11" s="106" t="s">
        <v>1308</v>
      </c>
    </row>
    <row r="12" spans="1:14" ht="26" x14ac:dyDescent="0.15">
      <c r="A12" s="106"/>
      <c r="B12" s="106" t="s">
        <v>1309</v>
      </c>
      <c r="C12" s="106" t="s">
        <v>199</v>
      </c>
      <c r="D12" s="109">
        <v>45600</v>
      </c>
      <c r="E12" s="106" t="s">
        <v>148</v>
      </c>
      <c r="F12" s="106"/>
      <c r="G12" s="106" t="s">
        <v>1283</v>
      </c>
      <c r="H12" s="110">
        <v>45626</v>
      </c>
      <c r="I12" s="110"/>
      <c r="J12" s="106" t="s">
        <v>1310</v>
      </c>
      <c r="K12" s="106"/>
      <c r="L12" s="106" t="s">
        <v>1287</v>
      </c>
      <c r="M12" s="106"/>
    </row>
    <row r="13" spans="1:14" ht="23" hidden="1" customHeight="1" x14ac:dyDescent="0.15">
      <c r="A13" s="106"/>
      <c r="B13" s="106" t="s">
        <v>39</v>
      </c>
      <c r="C13" s="106" t="s">
        <v>46</v>
      </c>
      <c r="D13" s="109">
        <v>45600</v>
      </c>
      <c r="E13" s="106" t="s">
        <v>1311</v>
      </c>
      <c r="F13" s="106"/>
      <c r="G13" s="106" t="s">
        <v>1312</v>
      </c>
      <c r="H13" s="110">
        <v>45604</v>
      </c>
      <c r="I13" s="110"/>
      <c r="J13" s="112" t="s">
        <v>1313</v>
      </c>
      <c r="K13" s="106"/>
      <c r="L13" s="106"/>
      <c r="M13" s="116" t="s">
        <v>1314</v>
      </c>
    </row>
    <row r="14" spans="1:14" ht="13" hidden="1" x14ac:dyDescent="0.15">
      <c r="A14" s="106"/>
      <c r="B14" s="106" t="s">
        <v>39</v>
      </c>
      <c r="C14" s="106" t="s">
        <v>84</v>
      </c>
      <c r="D14" s="109">
        <v>45600</v>
      </c>
      <c r="E14" s="106" t="s">
        <v>171</v>
      </c>
      <c r="F14" s="106"/>
      <c r="G14" s="106" t="s">
        <v>1301</v>
      </c>
      <c r="H14" s="110">
        <v>45608</v>
      </c>
      <c r="I14" s="110"/>
      <c r="J14" s="106" t="s">
        <v>1315</v>
      </c>
      <c r="K14" s="106" t="s">
        <v>1316</v>
      </c>
      <c r="L14" s="106" t="s">
        <v>1317</v>
      </c>
      <c r="M14" s="106"/>
    </row>
    <row r="15" spans="1:14" ht="39" hidden="1" x14ac:dyDescent="0.15">
      <c r="A15" s="106"/>
      <c r="B15" s="106" t="s">
        <v>1309</v>
      </c>
      <c r="C15" s="106" t="s">
        <v>34</v>
      </c>
      <c r="D15" s="109">
        <v>45600</v>
      </c>
      <c r="E15" s="106" t="s">
        <v>1311</v>
      </c>
      <c r="F15" s="106"/>
      <c r="G15" s="106" t="s">
        <v>1283</v>
      </c>
      <c r="H15" s="110">
        <v>45604</v>
      </c>
      <c r="I15" s="110"/>
      <c r="J15" s="112" t="s">
        <v>1318</v>
      </c>
      <c r="K15" s="115"/>
      <c r="L15" s="106" t="s">
        <v>1319</v>
      </c>
      <c r="M15" s="116" t="s">
        <v>1320</v>
      </c>
    </row>
    <row r="16" spans="1:14" ht="26" hidden="1" x14ac:dyDescent="0.15">
      <c r="A16" s="106"/>
      <c r="B16" s="106" t="s">
        <v>39</v>
      </c>
      <c r="C16" s="106" t="s">
        <v>228</v>
      </c>
      <c r="D16" s="109">
        <v>45600</v>
      </c>
      <c r="E16" s="106" t="s">
        <v>171</v>
      </c>
      <c r="F16" s="106"/>
      <c r="G16" s="106" t="s">
        <v>1280</v>
      </c>
      <c r="H16" s="110">
        <v>45626</v>
      </c>
      <c r="I16" s="110"/>
      <c r="J16" s="106" t="s">
        <v>1321</v>
      </c>
      <c r="K16" s="106"/>
      <c r="L16" s="116" t="s">
        <v>1322</v>
      </c>
      <c r="M16" s="106"/>
    </row>
    <row r="17" spans="1:13" ht="77" hidden="1" customHeight="1" x14ac:dyDescent="0.15">
      <c r="A17" s="106"/>
      <c r="B17" s="106" t="s">
        <v>39</v>
      </c>
      <c r="C17" s="106" t="s">
        <v>231</v>
      </c>
      <c r="D17" s="109">
        <v>45600</v>
      </c>
      <c r="E17" s="106" t="s">
        <v>171</v>
      </c>
      <c r="F17" s="106"/>
      <c r="G17" s="106" t="s">
        <v>1280</v>
      </c>
      <c r="H17" s="110">
        <v>45626</v>
      </c>
      <c r="I17" s="110"/>
      <c r="J17" s="106" t="s">
        <v>1323</v>
      </c>
      <c r="K17" s="106"/>
      <c r="L17" s="116" t="s">
        <v>1322</v>
      </c>
      <c r="M17" s="106"/>
    </row>
    <row r="18" spans="1:13" ht="13" hidden="1" x14ac:dyDescent="0.15">
      <c r="A18" s="106"/>
      <c r="B18" s="106" t="s">
        <v>32</v>
      </c>
      <c r="C18" s="106" t="s">
        <v>81</v>
      </c>
      <c r="D18" s="109">
        <v>45600</v>
      </c>
      <c r="E18" s="106" t="s">
        <v>148</v>
      </c>
      <c r="F18" s="106"/>
      <c r="G18" s="106" t="s">
        <v>1283</v>
      </c>
      <c r="H18" s="110">
        <v>45608</v>
      </c>
      <c r="I18" s="110"/>
      <c r="J18" s="112"/>
      <c r="K18" s="112"/>
      <c r="L18" s="106" t="s">
        <v>1324</v>
      </c>
      <c r="M18" s="106" t="s">
        <v>1287</v>
      </c>
    </row>
    <row r="19" spans="1:13" ht="26" hidden="1" x14ac:dyDescent="0.15">
      <c r="A19" s="106"/>
      <c r="B19" s="106" t="s">
        <v>39</v>
      </c>
      <c r="C19" s="106" t="s">
        <v>42</v>
      </c>
      <c r="D19" s="109">
        <v>45600</v>
      </c>
      <c r="E19" s="106" t="s">
        <v>1311</v>
      </c>
      <c r="F19" s="106"/>
      <c r="G19" s="106" t="s">
        <v>1312</v>
      </c>
      <c r="H19" s="110">
        <v>45604</v>
      </c>
      <c r="I19" s="110"/>
      <c r="J19" s="112" t="s">
        <v>1325</v>
      </c>
      <c r="K19" s="106"/>
      <c r="L19" s="106"/>
      <c r="M19" s="116" t="s">
        <v>1314</v>
      </c>
    </row>
    <row r="20" spans="1:13" ht="52" hidden="1" x14ac:dyDescent="0.15">
      <c r="A20" s="106"/>
      <c r="B20" s="106" t="s">
        <v>39</v>
      </c>
      <c r="C20" s="106" t="s">
        <v>192</v>
      </c>
      <c r="D20" s="109">
        <v>45600</v>
      </c>
      <c r="E20" s="106" t="s">
        <v>417</v>
      </c>
      <c r="F20" s="106"/>
      <c r="G20" s="106" t="s">
        <v>1312</v>
      </c>
      <c r="H20" s="110">
        <v>45608</v>
      </c>
      <c r="I20" s="110"/>
      <c r="J20" s="106" t="s">
        <v>1326</v>
      </c>
      <c r="K20" s="116" t="s">
        <v>1327</v>
      </c>
      <c r="L20" s="106" t="s">
        <v>1328</v>
      </c>
      <c r="M20" s="106"/>
    </row>
    <row r="21" spans="1:13" ht="26" hidden="1" x14ac:dyDescent="0.15">
      <c r="A21" s="106"/>
      <c r="B21" s="106" t="s">
        <v>39</v>
      </c>
      <c r="C21" s="106" t="s">
        <v>243</v>
      </c>
      <c r="D21" s="109">
        <v>45600</v>
      </c>
      <c r="E21" s="106" t="s">
        <v>1311</v>
      </c>
      <c r="F21" s="106"/>
      <c r="G21" s="106" t="s">
        <v>1312</v>
      </c>
      <c r="H21" s="110">
        <v>45604</v>
      </c>
      <c r="I21" s="110"/>
      <c r="J21" s="112" t="s">
        <v>1329</v>
      </c>
      <c r="K21" s="106"/>
      <c r="L21" s="106"/>
      <c r="M21" s="116" t="s">
        <v>1314</v>
      </c>
    </row>
    <row r="22" spans="1:13" ht="26" hidden="1" x14ac:dyDescent="0.15">
      <c r="A22" s="106"/>
      <c r="B22" s="106" t="s">
        <v>39</v>
      </c>
      <c r="C22" s="106" t="s">
        <v>36</v>
      </c>
      <c r="D22" s="109">
        <v>45600</v>
      </c>
      <c r="E22" s="109" t="s">
        <v>148</v>
      </c>
      <c r="F22" s="106"/>
      <c r="G22" s="106" t="s">
        <v>1312</v>
      </c>
      <c r="H22" s="110">
        <v>45604</v>
      </c>
      <c r="I22" s="110"/>
      <c r="J22" s="111"/>
      <c r="K22" s="106"/>
      <c r="L22" s="106"/>
      <c r="M22" s="106" t="s">
        <v>1330</v>
      </c>
    </row>
    <row r="23" spans="1:13" ht="26" hidden="1" x14ac:dyDescent="0.15">
      <c r="A23" s="106"/>
      <c r="B23" s="106" t="s">
        <v>1309</v>
      </c>
      <c r="C23" s="106" t="s">
        <v>147</v>
      </c>
      <c r="D23" s="109">
        <v>45600</v>
      </c>
      <c r="E23" s="106" t="s">
        <v>148</v>
      </c>
      <c r="F23" s="106"/>
      <c r="G23" s="106" t="s">
        <v>1312</v>
      </c>
      <c r="H23" s="110">
        <v>45608</v>
      </c>
      <c r="I23" s="110"/>
      <c r="J23" s="106" t="s">
        <v>1331</v>
      </c>
      <c r="K23" s="106" t="s">
        <v>1332</v>
      </c>
      <c r="L23" s="106" t="s">
        <v>1287</v>
      </c>
      <c r="M23" s="106"/>
    </row>
    <row r="24" spans="1:13" ht="26" hidden="1" x14ac:dyDescent="0.15">
      <c r="A24" s="106"/>
      <c r="B24" s="106" t="s">
        <v>39</v>
      </c>
      <c r="C24" s="106" t="s">
        <v>195</v>
      </c>
      <c r="D24" s="109">
        <v>45600</v>
      </c>
      <c r="E24" s="106" t="s">
        <v>171</v>
      </c>
      <c r="F24" s="106"/>
      <c r="G24" s="106" t="s">
        <v>1312</v>
      </c>
      <c r="H24" s="110">
        <v>45604</v>
      </c>
      <c r="I24" s="110"/>
      <c r="J24" s="112" t="s">
        <v>1333</v>
      </c>
      <c r="K24" s="106" t="s">
        <v>1334</v>
      </c>
      <c r="L24" s="106" t="s">
        <v>1317</v>
      </c>
      <c r="M24" s="106"/>
    </row>
    <row r="25" spans="1:13" ht="26" hidden="1" x14ac:dyDescent="0.15">
      <c r="A25" s="106"/>
      <c r="B25" s="106" t="s">
        <v>39</v>
      </c>
      <c r="C25" s="106" t="s">
        <v>83</v>
      </c>
      <c r="D25" s="109">
        <v>45600</v>
      </c>
      <c r="E25" s="106" t="s">
        <v>1311</v>
      </c>
      <c r="F25" s="106"/>
      <c r="G25" s="106" t="s">
        <v>1312</v>
      </c>
      <c r="H25" s="110">
        <v>45604</v>
      </c>
      <c r="I25" s="110"/>
      <c r="J25" s="112" t="s">
        <v>1335</v>
      </c>
      <c r="K25" s="106"/>
      <c r="L25" s="106"/>
      <c r="M25" s="106" t="s">
        <v>1294</v>
      </c>
    </row>
    <row r="26" spans="1:13" ht="26" hidden="1" x14ac:dyDescent="0.15">
      <c r="A26" s="106"/>
      <c r="B26" s="106" t="s">
        <v>1309</v>
      </c>
      <c r="C26" s="106" t="s">
        <v>34</v>
      </c>
      <c r="D26" s="109">
        <v>45604</v>
      </c>
      <c r="E26" s="106" t="s">
        <v>1311</v>
      </c>
      <c r="F26" s="106"/>
      <c r="G26" s="106" t="s">
        <v>1312</v>
      </c>
      <c r="H26" s="110">
        <v>45608</v>
      </c>
      <c r="I26" s="110"/>
      <c r="J26" s="112" t="s">
        <v>1336</v>
      </c>
      <c r="K26" s="106"/>
      <c r="L26" s="106" t="s">
        <v>1337</v>
      </c>
      <c r="M26" s="106" t="s">
        <v>1294</v>
      </c>
    </row>
    <row r="27" spans="1:13" ht="13" hidden="1" x14ac:dyDescent="0.15">
      <c r="A27" s="106"/>
      <c r="B27" s="106" t="s">
        <v>1309</v>
      </c>
      <c r="C27" s="106" t="s">
        <v>195</v>
      </c>
      <c r="D27" s="109">
        <v>45607</v>
      </c>
      <c r="E27" s="106" t="s">
        <v>171</v>
      </c>
      <c r="F27" s="106"/>
      <c r="G27" s="106" t="s">
        <v>1312</v>
      </c>
      <c r="H27" s="110">
        <v>45609</v>
      </c>
      <c r="I27" s="110"/>
      <c r="J27" s="112" t="s">
        <v>1338</v>
      </c>
      <c r="K27" s="106" t="s">
        <v>1339</v>
      </c>
      <c r="L27" s="106"/>
      <c r="M27" s="106"/>
    </row>
    <row r="28" spans="1:13" ht="26" x14ac:dyDescent="0.15">
      <c r="A28" s="106"/>
      <c r="B28" s="106" t="s">
        <v>32</v>
      </c>
      <c r="C28" s="106" t="s">
        <v>199</v>
      </c>
      <c r="D28" s="109">
        <v>45608</v>
      </c>
      <c r="E28" s="106" t="s">
        <v>148</v>
      </c>
      <c r="F28" s="106"/>
      <c r="G28" s="106" t="s">
        <v>1283</v>
      </c>
      <c r="H28" s="110">
        <v>45626</v>
      </c>
      <c r="I28" s="110"/>
      <c r="J28" s="106" t="s">
        <v>1340</v>
      </c>
      <c r="K28" s="106"/>
      <c r="L28" s="106"/>
      <c r="M28" s="116" t="s">
        <v>1341</v>
      </c>
    </row>
    <row r="29" spans="1:13" ht="26" hidden="1" x14ac:dyDescent="0.15">
      <c r="A29" s="106"/>
      <c r="B29" s="106" t="s">
        <v>32</v>
      </c>
      <c r="C29" s="106" t="s">
        <v>54</v>
      </c>
      <c r="D29" s="109">
        <v>45608</v>
      </c>
      <c r="E29" s="106" t="s">
        <v>171</v>
      </c>
      <c r="F29" s="106"/>
      <c r="G29" s="106" t="s">
        <v>4</v>
      </c>
      <c r="H29" s="110">
        <v>45626</v>
      </c>
      <c r="I29" s="110"/>
      <c r="J29" s="106" t="s">
        <v>1342</v>
      </c>
      <c r="K29" s="106"/>
      <c r="L29" s="106"/>
      <c r="M29" s="116" t="s">
        <v>1343</v>
      </c>
    </row>
    <row r="30" spans="1:13" ht="26" hidden="1" x14ac:dyDescent="0.15">
      <c r="A30" s="106"/>
      <c r="B30" s="106" t="s">
        <v>1309</v>
      </c>
      <c r="C30" s="106" t="s">
        <v>208</v>
      </c>
      <c r="D30" s="109">
        <v>45608</v>
      </c>
      <c r="E30" s="106" t="s">
        <v>171</v>
      </c>
      <c r="F30" s="106"/>
      <c r="G30" s="106" t="s">
        <v>1312</v>
      </c>
      <c r="H30" s="110">
        <v>45609</v>
      </c>
      <c r="I30" s="110"/>
      <c r="J30" s="106" t="s">
        <v>1344</v>
      </c>
      <c r="K30" s="106"/>
      <c r="L30" s="106"/>
      <c r="M30" s="106"/>
    </row>
    <row r="31" spans="1:13" ht="26" hidden="1" x14ac:dyDescent="0.15">
      <c r="A31" s="106"/>
      <c r="B31" s="106" t="s">
        <v>39</v>
      </c>
      <c r="C31" s="106" t="s">
        <v>293</v>
      </c>
      <c r="D31" s="109">
        <v>45608</v>
      </c>
      <c r="E31" s="106" t="s">
        <v>146</v>
      </c>
      <c r="F31" s="106"/>
      <c r="G31" s="106" t="s">
        <v>1283</v>
      </c>
      <c r="H31" s="110">
        <v>45626</v>
      </c>
      <c r="I31" s="110"/>
      <c r="J31" s="106" t="s">
        <v>1345</v>
      </c>
      <c r="K31" s="106" t="s">
        <v>1346</v>
      </c>
      <c r="L31" s="106" t="s">
        <v>1347</v>
      </c>
      <c r="M31" s="106"/>
    </row>
    <row r="32" spans="1:13" ht="26" hidden="1" x14ac:dyDescent="0.15">
      <c r="A32" s="106"/>
      <c r="B32" s="106" t="s">
        <v>32</v>
      </c>
      <c r="C32" s="106" t="s">
        <v>85</v>
      </c>
      <c r="D32" s="109">
        <v>45608</v>
      </c>
      <c r="E32" s="106" t="s">
        <v>171</v>
      </c>
      <c r="F32" s="106"/>
      <c r="G32" s="106" t="s">
        <v>1283</v>
      </c>
      <c r="H32" s="110">
        <v>45626</v>
      </c>
      <c r="I32" s="110"/>
      <c r="J32" s="106" t="s">
        <v>1348</v>
      </c>
      <c r="K32" s="106"/>
      <c r="L32" s="106"/>
      <c r="M32" s="106"/>
    </row>
    <row r="33" spans="1:13" ht="39" hidden="1" x14ac:dyDescent="0.15">
      <c r="A33" s="106"/>
      <c r="B33" s="106" t="s">
        <v>32</v>
      </c>
      <c r="C33" s="106" t="s">
        <v>348</v>
      </c>
      <c r="D33" s="109">
        <v>45608</v>
      </c>
      <c r="E33" s="106" t="s">
        <v>146</v>
      </c>
      <c r="F33" s="106"/>
      <c r="G33" s="106" t="s">
        <v>1283</v>
      </c>
      <c r="H33" s="110">
        <v>45626</v>
      </c>
      <c r="I33" s="110"/>
      <c r="J33" s="106" t="s">
        <v>1349</v>
      </c>
      <c r="K33" s="106"/>
      <c r="L33" s="106"/>
      <c r="M33" s="106"/>
    </row>
    <row r="34" spans="1:13" ht="26" hidden="1" x14ac:dyDescent="0.15">
      <c r="A34" s="106"/>
      <c r="B34" s="106" t="s">
        <v>1309</v>
      </c>
      <c r="C34" s="106" t="s">
        <v>281</v>
      </c>
      <c r="D34" s="109">
        <v>45630</v>
      </c>
      <c r="E34" s="106" t="s">
        <v>171</v>
      </c>
      <c r="F34" s="106"/>
      <c r="G34" s="106" t="s">
        <v>1283</v>
      </c>
      <c r="H34" s="110">
        <v>45640</v>
      </c>
      <c r="I34" s="110"/>
      <c r="J34" s="106" t="s">
        <v>1350</v>
      </c>
      <c r="K34" s="106"/>
      <c r="L34" s="106"/>
      <c r="M34" s="106"/>
    </row>
    <row r="35" spans="1:13" ht="39" hidden="1" x14ac:dyDescent="0.15">
      <c r="A35" s="106"/>
      <c r="B35" s="106" t="s">
        <v>32</v>
      </c>
      <c r="C35" s="106" t="s">
        <v>373</v>
      </c>
      <c r="D35" s="109">
        <v>45635</v>
      </c>
      <c r="E35" s="106" t="str">
        <f>IF(ISERROR(INDEX(Summary_FR!$A$3:$R$157,MATCH($C35,Summary_FR!$E$3:$E$157,0),MATCH(E$3,Summary_FR!$A$3:$R$3,0))),"",INDEX(Summary_FR!$A$3:$R$157,MATCH($C35,Summary_FR!$E$3:$E$157,0),MATCH(E$3,Summary_FR!$A$3:$R$3,0)))</f>
        <v>Satish S</v>
      </c>
      <c r="F35" s="106" t="str">
        <f>IF(ISERROR(INDEX(Summary_FR!$A$3:$R$157,MATCH($C35,Summary_FR!$E$3:$E$157,0),MATCH(F$3,Summary_FR!$A$3:$R$3,0))),"",INDEX(Summary_FR!$A$3:$R$157,MATCH($C35,Summary_FR!$E$3:$E$157,0),MATCH(F$3,Summary_FR!$A$3:$R$3,0)))</f>
        <v>Propreitory</v>
      </c>
      <c r="G35" s="106" t="s">
        <v>1312</v>
      </c>
      <c r="H35" s="110">
        <v>45642</v>
      </c>
      <c r="I35" s="110"/>
      <c r="J35" s="106" t="s">
        <v>1351</v>
      </c>
      <c r="K35" s="106"/>
      <c r="L35" s="106"/>
      <c r="M35" s="106"/>
    </row>
    <row r="36" spans="1:13" ht="26" hidden="1" x14ac:dyDescent="0.15">
      <c r="A36" s="106"/>
      <c r="B36" s="106" t="s">
        <v>1309</v>
      </c>
      <c r="C36" s="106" t="s">
        <v>293</v>
      </c>
      <c r="D36" s="109">
        <v>45635</v>
      </c>
      <c r="E36" s="106" t="str">
        <f>IF(ISERROR(INDEX(Summary_FR!$A$3:$R$157,MATCH($C36,Summary_FR!$E$3:$E$157,0),MATCH(E$3,Summary_FR!$A$3:$R$3,0))),"",INDEX(Summary_FR!$A$3:$R$157,MATCH($C36,Summary_FR!$E$3:$E$157,0),MATCH(E$3,Summary_FR!$A$3:$R$3,0)))</f>
        <v>K. Ganapathy Subramanian</v>
      </c>
      <c r="F36" s="106" t="str">
        <f>IF(ISERROR(INDEX(Summary_FR!$A$3:$R$157,MATCH($C36,Summary_FR!$E$3:$E$157,0),MATCH(F$3,Summary_FR!$A$3:$R$3,0))),"",INDEX(Summary_FR!$A$3:$R$157,MATCH($C36,Summary_FR!$E$3:$E$157,0),MATCH(F$3,Summary_FR!$A$3:$R$3,0)))</f>
        <v>Propreitory</v>
      </c>
      <c r="G36" s="106" t="s">
        <v>4</v>
      </c>
      <c r="H36" s="110">
        <v>45642</v>
      </c>
      <c r="I36" s="110"/>
      <c r="J36" s="106" t="s">
        <v>1352</v>
      </c>
      <c r="K36" s="118" t="s">
        <v>1353</v>
      </c>
      <c r="L36" s="118" t="s">
        <v>1354</v>
      </c>
      <c r="M36" s="106"/>
    </row>
    <row r="37" spans="1:13" ht="13" hidden="1" x14ac:dyDescent="0.15">
      <c r="A37" s="106"/>
      <c r="B37" s="106" t="s">
        <v>32</v>
      </c>
      <c r="C37" s="106" t="s">
        <v>195</v>
      </c>
      <c r="D37" s="109">
        <v>45636</v>
      </c>
      <c r="E37" s="106" t="str">
        <f>IF(ISERROR(INDEX(Summary_FR!$A$3:$R$157,MATCH($C37,Summary_FR!$E$3:$E$157,0),MATCH(E$3,Summary_FR!$A$3:$R$3,0))),"",INDEX(Summary_FR!$A$3:$R$157,MATCH($C37,Summary_FR!$E$3:$E$157,0),MATCH(E$3,Summary_FR!$A$3:$R$3,0)))</f>
        <v>Krishna Chaitanya K</v>
      </c>
      <c r="F37" s="106" t="str">
        <f>IF(ISERROR(INDEX(Summary_FR!$A$3:$R$157,MATCH($C37,Summary_FR!$E$3:$E$157,0),MATCH(F$3,Summary_FR!$A$3:$R$3,0))),"",INDEX(Summary_FR!$A$3:$R$157,MATCH($C37,Summary_FR!$E$3:$E$157,0),MATCH(F$3,Summary_FR!$A$3:$R$3,0)))</f>
        <v>Propreitory</v>
      </c>
      <c r="G37" s="106" t="s">
        <v>1312</v>
      </c>
      <c r="H37" s="110"/>
      <c r="I37" s="110"/>
      <c r="J37" s="106"/>
      <c r="K37" s="106"/>
      <c r="L37" s="106"/>
      <c r="M37" s="106"/>
    </row>
    <row r="38" spans="1:13" ht="13" hidden="1" x14ac:dyDescent="0.15">
      <c r="A38" s="106"/>
      <c r="B38" s="106" t="s">
        <v>32</v>
      </c>
      <c r="C38" s="106" t="s">
        <v>217</v>
      </c>
      <c r="D38" s="109">
        <v>45650</v>
      </c>
      <c r="E38" s="106" t="str">
        <f>IF(ISERROR(INDEX(Summary_FR!$A$3:$R$157,MATCH($C38,Summary_FR!$E$3:$E$157,0),MATCH(E$3,Summary_FR!$A$3:$R$3,0))),"",INDEX(Summary_FR!$A$3:$R$157,MATCH($C38,Summary_FR!$E$3:$E$157,0),MATCH(E$3,Summary_FR!$A$3:$R$3,0)))</f>
        <v>Krishna Chaitanya K</v>
      </c>
      <c r="F38" s="106" t="str">
        <f>IF(ISERROR(INDEX(Summary_FR!$A$3:$R$157,MATCH($C38,Summary_FR!$E$3:$E$157,0),MATCH(F$3,Summary_FR!$A$3:$R$3,0))),"",INDEX(Summary_FR!$A$3:$R$157,MATCH($C38,Summary_FR!$E$3:$E$157,0),MATCH(F$3,Summary_FR!$A$3:$R$3,0)))</f>
        <v>Propreitory</v>
      </c>
      <c r="G38" s="106" t="s">
        <v>1312</v>
      </c>
      <c r="H38" s="110">
        <f>D38+3</f>
        <v>45653</v>
      </c>
      <c r="I38" s="110"/>
      <c r="J38" s="106" t="s">
        <v>1355</v>
      </c>
      <c r="K38" s="106"/>
      <c r="L38" s="106"/>
      <c r="M38" s="106"/>
    </row>
    <row r="39" spans="1:13" ht="13" hidden="1" x14ac:dyDescent="0.15">
      <c r="A39" s="106"/>
      <c r="B39" s="106" t="s">
        <v>32</v>
      </c>
      <c r="C39" s="106" t="s">
        <v>82</v>
      </c>
      <c r="D39" s="109"/>
      <c r="E39" s="106" t="str">
        <f>IF(ISERROR(INDEX(Summary_FR!$A$3:$R$157,MATCH($C39,Summary_FR!$E$3:$E$157,0),MATCH(E$3,Summary_FR!$A$3:$R$3,0))),"",INDEX(Summary_FR!$A$3:$R$157,MATCH($C39,Summary_FR!$E$3:$E$157,0),MATCH(E$3,Summary_FR!$A$3:$R$3,0)))</f>
        <v>Krishna Chaitanya K</v>
      </c>
      <c r="F39" s="106" t="str">
        <f>IF(ISERROR(INDEX(Summary_FR!$A$3:$R$157,MATCH($C39,Summary_FR!$E$3:$E$157,0),MATCH(F$3,Summary_FR!$A$3:$R$3,0))),"",INDEX(Summary_FR!$A$3:$R$157,MATCH($C39,Summary_FR!$E$3:$E$157,0),MATCH(F$3,Summary_FR!$A$3:$R$3,0)))</f>
        <v>SKC</v>
      </c>
      <c r="G39" s="106" t="s">
        <v>1312</v>
      </c>
      <c r="H39" s="110"/>
      <c r="I39" s="110"/>
      <c r="J39" s="106" t="s">
        <v>1356</v>
      </c>
      <c r="K39" s="106"/>
      <c r="L39" s="106"/>
      <c r="M39" s="106"/>
    </row>
    <row r="40" spans="1:13" ht="13" hidden="1" x14ac:dyDescent="0.15">
      <c r="A40" s="106"/>
      <c r="B40" s="106" t="s">
        <v>1309</v>
      </c>
      <c r="C40" s="106" t="s">
        <v>36</v>
      </c>
      <c r="D40" s="109"/>
      <c r="E40" s="106" t="s">
        <v>148</v>
      </c>
      <c r="F40" s="106" t="str">
        <f>IF(ISERROR(INDEX(Summary_FR!$A$3:$R$157,MATCH($C40,Summary_FR!$E$3:$E$157,0),MATCH(F$3,Summary_FR!$A$3:$R$3,0))),"",INDEX(Summary_FR!$A$3:$R$157,MATCH($C40,Summary_FR!$E$3:$E$157,0),MATCH(F$3,Summary_FR!$A$3:$R$3,0)))</f>
        <v>Propreitory</v>
      </c>
      <c r="G40" s="106" t="s">
        <v>1312</v>
      </c>
      <c r="H40" s="110"/>
      <c r="I40" s="110"/>
      <c r="J40" s="106" t="s">
        <v>1357</v>
      </c>
      <c r="K40" s="106" t="s">
        <v>1358</v>
      </c>
      <c r="L40" s="106"/>
      <c r="M40" s="106"/>
    </row>
    <row r="41" spans="1:13" ht="13" hidden="1" x14ac:dyDescent="0.15">
      <c r="A41" s="106"/>
      <c r="B41" s="106" t="s">
        <v>32</v>
      </c>
      <c r="C41" s="106" t="s">
        <v>231</v>
      </c>
      <c r="D41" s="109"/>
      <c r="E41" s="106" t="str">
        <f>IF(ISERROR(INDEX(Summary_FR!$A$3:$R$157,MATCH($C41,Summary_FR!$E$3:$E$157,0),MATCH(E$3,Summary_FR!$A$3:$R$3,0))),"",INDEX(Summary_FR!$A$3:$R$157,MATCH($C41,Summary_FR!$E$3:$E$157,0),MATCH(E$3,Summary_FR!$A$3:$R$3,0)))</f>
        <v>Krishna Chaitanya K</v>
      </c>
      <c r="F41" s="106" t="str">
        <f>IF(ISERROR(INDEX(Summary_FR!$A$3:$R$157,MATCH($C41,Summary_FR!$E$3:$E$157,0),MATCH(F$3,Summary_FR!$A$3:$R$3,0))),"",INDEX(Summary_FR!$A$3:$R$157,MATCH($C41,Summary_FR!$E$3:$E$157,0),MATCH(F$3,Summary_FR!$A$3:$R$3,0)))</f>
        <v>Government</v>
      </c>
      <c r="G41" s="106"/>
      <c r="H41" s="110"/>
      <c r="I41" s="110"/>
      <c r="J41" s="106"/>
      <c r="K41" s="106"/>
      <c r="L41" s="106"/>
      <c r="M41" s="106"/>
    </row>
    <row r="42" spans="1:13" ht="13" hidden="1" x14ac:dyDescent="0.15">
      <c r="A42" s="106"/>
      <c r="B42" s="106" t="s">
        <v>32</v>
      </c>
      <c r="C42" s="106" t="s">
        <v>30</v>
      </c>
      <c r="D42" s="109">
        <v>45665</v>
      </c>
      <c r="E42" s="106" t="str">
        <f>IF(ISERROR(INDEX(Summary_FR!$A$3:$R$157,MATCH($C42,Summary_FR!$E$3:$E$157,0),MATCH(E$3,Summary_FR!$A$3:$R$3,0))),"",INDEX(Summary_FR!$A$3:$R$157,MATCH($C42,Summary_FR!$E$3:$E$157,0),MATCH(E$3,Summary_FR!$A$3:$R$3,0)))</f>
        <v>Krishna Chaitanya K</v>
      </c>
      <c r="F42" s="106" t="str">
        <f>IF(ISERROR(INDEX(Summary_FR!$A$3:$R$157,MATCH($C42,Summary_FR!$E$3:$E$157,0),MATCH(F$3,Summary_FR!$A$3:$R$3,0))),"",INDEX(Summary_FR!$A$3:$R$157,MATCH($C42,Summary_FR!$E$3:$E$157,0),MATCH(F$3,Summary_FR!$A$3:$R$3,0)))</f>
        <v>Government</v>
      </c>
      <c r="G42" s="106" t="s">
        <v>1312</v>
      </c>
      <c r="H42" s="110"/>
      <c r="I42" s="110"/>
      <c r="J42" s="106"/>
      <c r="K42" s="106"/>
      <c r="L42" s="106"/>
      <c r="M42" s="106"/>
    </row>
    <row r="43" spans="1:13" ht="26" hidden="1" x14ac:dyDescent="0.15">
      <c r="A43" s="106"/>
      <c r="B43" s="106" t="s">
        <v>32</v>
      </c>
      <c r="C43" s="106" t="s">
        <v>293</v>
      </c>
      <c r="D43" s="109">
        <v>45679</v>
      </c>
      <c r="E43" s="106" t="str">
        <f>IF(ISERROR(INDEX(Summary_FR!$A$3:$R$157,MATCH($C43,Summary_FR!$E$3:$E$157,0),MATCH(E$3,Summary_FR!$A$3:$R$3,0))),"",INDEX(Summary_FR!$A$3:$R$157,MATCH($C43,Summary_FR!$E$3:$E$157,0),MATCH(E$3,Summary_FR!$A$3:$R$3,0)))</f>
        <v>K. Ganapathy Subramanian</v>
      </c>
      <c r="F43" s="106" t="str">
        <f>IF(ISERROR(INDEX(Summary_FR!$A$3:$R$157,MATCH($C43,Summary_FR!$E$3:$E$157,0),MATCH(F$3,Summary_FR!$A$3:$R$3,0))),"",INDEX(Summary_FR!$A$3:$R$157,MATCH($C43,Summary_FR!$E$3:$E$157,0),MATCH(F$3,Summary_FR!$A$3:$R$3,0)))</f>
        <v>Propreitory</v>
      </c>
      <c r="G43" s="106" t="s">
        <v>1312</v>
      </c>
      <c r="H43" s="110">
        <f>D43+7</f>
        <v>45686</v>
      </c>
      <c r="I43" s="110"/>
      <c r="J43" s="106" t="s">
        <v>3558</v>
      </c>
      <c r="K43" s="106"/>
      <c r="L43" s="106"/>
      <c r="M43" s="106"/>
    </row>
    <row r="44" spans="1:13" ht="13" hidden="1" x14ac:dyDescent="0.15">
      <c r="A44" s="106"/>
      <c r="B44" s="106"/>
      <c r="C44" s="106"/>
      <c r="D44" s="109"/>
      <c r="E44" s="106" t="str">
        <f>IF(ISERROR(INDEX(Summary_FR!$A$3:$R$157,MATCH($C44,Summary_FR!$E$3:$E$157,0),MATCH(E$3,Summary_FR!$A$3:$R$3,0))),"",INDEX(Summary_FR!$A$3:$R$157,MATCH($C44,Summary_FR!$E$3:$E$157,0),MATCH(E$3,Summary_FR!$A$3:$R$3,0)))</f>
        <v/>
      </c>
      <c r="F44" s="106" t="str">
        <f>IF(ISERROR(INDEX(Summary_FR!$A$3:$R$157,MATCH($C44,Summary_FR!$E$3:$E$157,0),MATCH(F$3,Summary_FR!$A$3:$R$3,0))),"",INDEX(Summary_FR!$A$3:$R$157,MATCH($C44,Summary_FR!$E$3:$E$157,0),MATCH(F$3,Summary_FR!$A$3:$R$3,0)))</f>
        <v/>
      </c>
      <c r="G44" s="106"/>
      <c r="H44" s="110"/>
      <c r="I44" s="110"/>
      <c r="J44" s="106"/>
      <c r="K44" s="106"/>
      <c r="L44" s="106"/>
      <c r="M44" s="106"/>
    </row>
    <row r="45" spans="1:13" ht="13" hidden="1" x14ac:dyDescent="0.15">
      <c r="A45" s="106"/>
      <c r="B45" s="106"/>
      <c r="C45" s="106"/>
      <c r="D45" s="109"/>
      <c r="E45" s="106" t="str">
        <f>IF(ISERROR(INDEX(Summary_FR!$A$3:$R$157,MATCH($C45,Summary_FR!$E$3:$E$157,0),MATCH(E$3,Summary_FR!$A$3:$R$3,0))),"",INDEX(Summary_FR!$A$3:$R$157,MATCH($C45,Summary_FR!$E$3:$E$157,0),MATCH(E$3,Summary_FR!$A$3:$R$3,0)))</f>
        <v/>
      </c>
      <c r="F45" s="106" t="str">
        <f>IF(ISERROR(INDEX(Summary_FR!$A$3:$R$157,MATCH($C45,Summary_FR!$E$3:$E$157,0),MATCH(F$3,Summary_FR!$A$3:$R$3,0))),"",INDEX(Summary_FR!$A$3:$R$157,MATCH($C45,Summary_FR!$E$3:$E$157,0),MATCH(F$3,Summary_FR!$A$3:$R$3,0)))</f>
        <v/>
      </c>
      <c r="G45" s="106"/>
      <c r="H45" s="110"/>
      <c r="I45" s="110"/>
      <c r="J45" s="106"/>
      <c r="K45" s="106"/>
      <c r="L45" s="106"/>
      <c r="M45" s="106"/>
    </row>
    <row r="46" spans="1:13" ht="13" hidden="1" x14ac:dyDescent="0.15">
      <c r="A46" s="106"/>
      <c r="B46" s="106"/>
      <c r="C46" s="106"/>
      <c r="D46" s="109"/>
      <c r="E46" s="106" t="str">
        <f>IF(ISERROR(INDEX(Summary_FR!$A$3:$R$157,MATCH($C46,Summary_FR!$E$3:$E$157,0),MATCH(E$3,Summary_FR!$A$3:$R$3,0))),"",INDEX(Summary_FR!$A$3:$R$157,MATCH($C46,Summary_FR!$E$3:$E$157,0),MATCH(E$3,Summary_FR!$A$3:$R$3,0)))</f>
        <v/>
      </c>
      <c r="F46" s="106" t="str">
        <f>IF(ISERROR(INDEX(Summary_FR!$A$3:$R$157,MATCH($C46,Summary_FR!$E$3:$E$157,0),MATCH(F$3,Summary_FR!$A$3:$R$3,0))),"",INDEX(Summary_FR!$A$3:$R$157,MATCH($C46,Summary_FR!$E$3:$E$157,0),MATCH(F$3,Summary_FR!$A$3:$R$3,0)))</f>
        <v/>
      </c>
      <c r="G46" s="106"/>
      <c r="H46" s="110"/>
      <c r="I46" s="110"/>
      <c r="J46" s="106"/>
      <c r="K46" s="106"/>
      <c r="L46" s="106"/>
      <c r="M46" s="106"/>
    </row>
    <row r="47" spans="1:13" ht="13" hidden="1" x14ac:dyDescent="0.15">
      <c r="A47" s="106"/>
      <c r="B47" s="106"/>
      <c r="C47" s="106"/>
      <c r="D47" s="109"/>
      <c r="E47" s="106" t="str">
        <f>IF(ISERROR(INDEX(Summary_FR!$A$3:$R$157,MATCH($C47,Summary_FR!$E$3:$E$157,0),MATCH(E$3,Summary_FR!$A$3:$R$3,0))),"",INDEX(Summary_FR!$A$3:$R$157,MATCH($C47,Summary_FR!$E$3:$E$157,0),MATCH(E$3,Summary_FR!$A$3:$R$3,0)))</f>
        <v/>
      </c>
      <c r="F47" s="106" t="str">
        <f>IF(ISERROR(INDEX(Summary_FR!$A$3:$R$157,MATCH($C47,Summary_FR!$E$3:$E$157,0),MATCH(F$3,Summary_FR!$A$3:$R$3,0))),"",INDEX(Summary_FR!$A$3:$R$157,MATCH($C47,Summary_FR!$E$3:$E$157,0),MATCH(F$3,Summary_FR!$A$3:$R$3,0)))</f>
        <v/>
      </c>
      <c r="G47" s="106"/>
      <c r="H47" s="110"/>
      <c r="I47" s="110"/>
      <c r="J47" s="106"/>
      <c r="K47" s="106"/>
      <c r="L47" s="106"/>
      <c r="M47" s="106"/>
    </row>
    <row r="48" spans="1:13" ht="13" hidden="1" x14ac:dyDescent="0.15">
      <c r="A48" s="106"/>
      <c r="B48" s="106"/>
      <c r="C48" s="106"/>
      <c r="D48" s="109"/>
      <c r="E48" s="106" t="str">
        <f>IF(ISERROR(INDEX(Summary_FR!$A$3:$R$157,MATCH($C48,Summary_FR!$E$3:$E$157,0),MATCH(E$3,Summary_FR!$A$3:$R$3,0))),"",INDEX(Summary_FR!$A$3:$R$157,MATCH($C48,Summary_FR!$E$3:$E$157,0),MATCH(E$3,Summary_FR!$A$3:$R$3,0)))</f>
        <v/>
      </c>
      <c r="F48" s="106" t="str">
        <f>IF(ISERROR(INDEX(Summary_FR!$A$3:$R$157,MATCH($C48,Summary_FR!$E$3:$E$157,0),MATCH(F$3,Summary_FR!$A$3:$R$3,0))),"",INDEX(Summary_FR!$A$3:$R$157,MATCH($C48,Summary_FR!$E$3:$E$157,0),MATCH(F$3,Summary_FR!$A$3:$R$3,0)))</f>
        <v/>
      </c>
      <c r="G48" s="106"/>
      <c r="H48" s="110"/>
      <c r="I48" s="110"/>
      <c r="J48" s="106"/>
      <c r="K48" s="106"/>
      <c r="L48" s="106"/>
      <c r="M48" s="106"/>
    </row>
    <row r="49" spans="1:13" ht="13" hidden="1" x14ac:dyDescent="0.15">
      <c r="A49" s="106"/>
      <c r="B49" s="106"/>
      <c r="C49" s="106"/>
      <c r="D49" s="109"/>
      <c r="E49" s="106" t="str">
        <f>IF(ISERROR(INDEX(Summary_FR!$A$3:$R$157,MATCH($C49,Summary_FR!$E$3:$E$157,0),MATCH(E$3,Summary_FR!$A$3:$R$3,0))),"",INDEX(Summary_FR!$A$3:$R$157,MATCH($C49,Summary_FR!$E$3:$E$157,0),MATCH(E$3,Summary_FR!$A$3:$R$3,0)))</f>
        <v/>
      </c>
      <c r="F49" s="106" t="str">
        <f>IF(ISERROR(INDEX(Summary_FR!$A$3:$R$157,MATCH($C49,Summary_FR!$E$3:$E$157,0),MATCH(F$3,Summary_FR!$A$3:$R$3,0))),"",INDEX(Summary_FR!$A$3:$R$157,MATCH($C49,Summary_FR!$E$3:$E$157,0),MATCH(F$3,Summary_FR!$A$3:$R$3,0)))</f>
        <v/>
      </c>
      <c r="G49" s="106"/>
      <c r="H49" s="110"/>
      <c r="I49" s="110"/>
      <c r="J49" s="106"/>
      <c r="K49" s="106"/>
      <c r="L49" s="106"/>
      <c r="M49" s="106"/>
    </row>
    <row r="50" spans="1:13" ht="13" hidden="1" x14ac:dyDescent="0.15">
      <c r="A50" s="106"/>
      <c r="B50" s="106"/>
      <c r="C50" s="106"/>
      <c r="D50" s="109"/>
      <c r="E50" s="106" t="str">
        <f>IF(ISERROR(INDEX(Summary_FR!$A$3:$R$157,MATCH($C50,Summary_FR!$E$3:$E$157,0),MATCH(E$3,Summary_FR!$A$3:$R$3,0))),"",INDEX(Summary_FR!$A$3:$R$157,MATCH($C50,Summary_FR!$E$3:$E$157,0),MATCH(E$3,Summary_FR!$A$3:$R$3,0)))</f>
        <v/>
      </c>
      <c r="F50" s="106" t="str">
        <f>IF(ISERROR(INDEX(Summary_FR!$A$3:$R$157,MATCH($C50,Summary_FR!$E$3:$E$157,0),MATCH(F$3,Summary_FR!$A$3:$R$3,0))),"",INDEX(Summary_FR!$A$3:$R$157,MATCH($C50,Summary_FR!$E$3:$E$157,0),MATCH(F$3,Summary_FR!$A$3:$R$3,0)))</f>
        <v/>
      </c>
      <c r="G50" s="106"/>
      <c r="H50" s="110"/>
      <c r="I50" s="110"/>
      <c r="J50" s="106"/>
      <c r="K50" s="106"/>
      <c r="L50" s="106"/>
      <c r="M50" s="106"/>
    </row>
    <row r="51" spans="1:13" ht="13" hidden="1" x14ac:dyDescent="0.15">
      <c r="A51" s="106"/>
      <c r="B51" s="106"/>
      <c r="C51" s="106"/>
      <c r="D51" s="109"/>
      <c r="E51" s="106" t="str">
        <f>IF(ISERROR(INDEX(Summary_FR!$A$3:$R$157,MATCH($C51,Summary_FR!$E$3:$E$157,0),MATCH(E$3,Summary_FR!$A$3:$R$3,0))),"",INDEX(Summary_FR!$A$3:$R$157,MATCH($C51,Summary_FR!$E$3:$E$157,0),MATCH(E$3,Summary_FR!$A$3:$R$3,0)))</f>
        <v/>
      </c>
      <c r="F51" s="106" t="str">
        <f>IF(ISERROR(INDEX(Summary_FR!$A$3:$R$157,MATCH($C51,Summary_FR!$E$3:$E$157,0),MATCH(F$3,Summary_FR!$A$3:$R$3,0))),"",INDEX(Summary_FR!$A$3:$R$157,MATCH($C51,Summary_FR!$E$3:$E$157,0),MATCH(F$3,Summary_FR!$A$3:$R$3,0)))</f>
        <v/>
      </c>
      <c r="G51" s="106"/>
      <c r="H51" s="110"/>
      <c r="I51" s="110"/>
      <c r="J51" s="106"/>
      <c r="K51" s="106"/>
      <c r="L51" s="106"/>
      <c r="M51" s="106"/>
    </row>
    <row r="52" spans="1:13" ht="13" hidden="1" x14ac:dyDescent="0.15">
      <c r="A52" s="106"/>
      <c r="B52" s="106" t="s">
        <v>3557</v>
      </c>
      <c r="C52" s="106"/>
      <c r="D52" s="109"/>
      <c r="E52" s="106" t="str">
        <f>IF(ISERROR(INDEX(Summary_FR!$A$3:$R$157,MATCH($C52,Summary_FR!$E$3:$E$157,0),MATCH(E$3,Summary_FR!$A$3:$R$3,0))),"",INDEX(Summary_FR!$A$3:$R$157,MATCH($C52,Summary_FR!$E$3:$E$157,0),MATCH(E$3,Summary_FR!$A$3:$R$3,0)))</f>
        <v/>
      </c>
      <c r="F52" s="106"/>
      <c r="G52" s="106"/>
      <c r="H52" s="110"/>
      <c r="I52" s="110"/>
      <c r="J52" s="106"/>
      <c r="K52" s="106"/>
      <c r="L52" s="106"/>
      <c r="M52" s="106"/>
    </row>
    <row r="53" spans="1:13" ht="13" x14ac:dyDescent="0.15">
      <c r="A53" s="106"/>
      <c r="B53" s="106"/>
      <c r="C53" s="106"/>
      <c r="D53" s="109"/>
      <c r="E53" s="106" t="str">
        <f>IF(ISERROR(INDEX(Summary_FR!$A$3:$R$157,MATCH($C53,Summary_FR!$E$3:$E$157,0),MATCH(E$3,Summary_FR!$A$3:$R$3,0))),"",INDEX(Summary_FR!$A$3:$R$157,MATCH($C53,Summary_FR!$E$3:$E$157,0),MATCH(E$3,Summary_FR!$A$3:$R$3,0)))</f>
        <v/>
      </c>
      <c r="F53" s="106"/>
      <c r="G53" s="106"/>
      <c r="H53" s="110"/>
      <c r="I53" s="110"/>
      <c r="J53" s="106"/>
      <c r="K53" s="106"/>
      <c r="L53" s="106"/>
      <c r="M53" s="106"/>
    </row>
    <row r="54" spans="1:13" ht="13" x14ac:dyDescent="0.15">
      <c r="A54" s="106"/>
      <c r="B54" s="106"/>
      <c r="C54" s="106"/>
      <c r="D54" s="109"/>
      <c r="E54" s="106" t="str">
        <f>IF(ISERROR(INDEX(Summary_FR!$A$3:$R$157,MATCH($C54,Summary_FR!$E$3:$E$157,0),MATCH(E$3,Summary_FR!$A$3:$R$3,0))),"",INDEX(Summary_FR!$A$3:$R$157,MATCH($C54,Summary_FR!$E$3:$E$157,0),MATCH(E$3,Summary_FR!$A$3:$R$3,0)))</f>
        <v/>
      </c>
      <c r="F54" s="106"/>
      <c r="G54" s="106"/>
      <c r="H54" s="110"/>
      <c r="I54" s="110"/>
      <c r="J54" s="106"/>
      <c r="K54" s="106"/>
      <c r="L54" s="106"/>
      <c r="M54" s="106"/>
    </row>
    <row r="55" spans="1:13" ht="13" x14ac:dyDescent="0.15">
      <c r="A55" s="106"/>
      <c r="B55" s="106"/>
      <c r="C55" s="106"/>
      <c r="D55" s="109"/>
      <c r="E55" s="106" t="str">
        <f>IF(ISERROR(INDEX(Summary_FR!$A$3:$R$157,MATCH($C55,Summary_FR!$E$3:$E$157,0),MATCH(E$3,Summary_FR!$A$3:$R$3,0))),"",INDEX(Summary_FR!$A$3:$R$157,MATCH($C55,Summary_FR!$E$3:$E$157,0),MATCH(E$3,Summary_FR!$A$3:$R$3,0)))</f>
        <v/>
      </c>
      <c r="F55" s="106"/>
      <c r="G55" s="106"/>
      <c r="H55" s="110"/>
      <c r="I55" s="110"/>
      <c r="J55" s="106"/>
      <c r="K55" s="106"/>
      <c r="L55" s="106"/>
      <c r="M55" s="106"/>
    </row>
    <row r="56" spans="1:13" ht="13" x14ac:dyDescent="0.15">
      <c r="A56" s="106"/>
      <c r="B56" s="106"/>
      <c r="C56" s="106"/>
      <c r="D56" s="109"/>
      <c r="E56" s="106" t="str">
        <f>IF(ISERROR(INDEX(Summary_FR!$A$3:$R$157,MATCH($C56,Summary_FR!$E$3:$E$157,0),MATCH(E$3,Summary_FR!$A$3:$R$3,0))),"",INDEX(Summary_FR!$A$3:$R$157,MATCH($C56,Summary_FR!$E$3:$E$157,0),MATCH(E$3,Summary_FR!$A$3:$R$3,0)))</f>
        <v/>
      </c>
      <c r="F56" s="106"/>
      <c r="G56" s="106"/>
      <c r="H56" s="110"/>
      <c r="I56" s="110"/>
      <c r="J56" s="106"/>
      <c r="K56" s="106"/>
      <c r="L56" s="106"/>
      <c r="M56" s="106"/>
    </row>
    <row r="57" spans="1:13" ht="13" x14ac:dyDescent="0.15">
      <c r="A57" s="106"/>
      <c r="B57" s="106"/>
      <c r="C57" s="106"/>
      <c r="D57" s="109"/>
      <c r="E57" s="106" t="str">
        <f>IF(ISERROR(INDEX(Summary_FR!$A$3:$R$157,MATCH($C57,Summary_FR!$E$3:$E$157,0),MATCH(E$3,Summary_FR!$A$3:$R$3,0))),"",INDEX(Summary_FR!$A$3:$R$157,MATCH($C57,Summary_FR!$E$3:$E$157,0),MATCH(E$3,Summary_FR!$A$3:$R$3,0)))</f>
        <v/>
      </c>
      <c r="F57" s="106"/>
      <c r="G57" s="106"/>
      <c r="H57" s="110"/>
      <c r="I57" s="110"/>
      <c r="J57" s="106"/>
      <c r="K57" s="106"/>
      <c r="L57" s="106"/>
      <c r="M57" s="106"/>
    </row>
    <row r="58" spans="1:13" ht="13" x14ac:dyDescent="0.15">
      <c r="A58" s="106"/>
      <c r="B58" s="106"/>
      <c r="C58" s="106"/>
      <c r="D58" s="109"/>
      <c r="E58" s="106" t="str">
        <f>IF(ISERROR(INDEX(Summary_FR!$A$3:$R$157,MATCH($C58,Summary_FR!$E$3:$E$157,0),MATCH(E$3,Summary_FR!$A$3:$R$3,0))),"",INDEX(Summary_FR!$A$3:$R$157,MATCH($C58,Summary_FR!$E$3:$E$157,0),MATCH(E$3,Summary_FR!$A$3:$R$3,0)))</f>
        <v/>
      </c>
      <c r="F58" s="106"/>
      <c r="G58" s="106"/>
      <c r="H58" s="110"/>
      <c r="I58" s="110"/>
      <c r="J58" s="106"/>
      <c r="K58" s="106"/>
      <c r="L58" s="106"/>
      <c r="M58" s="106"/>
    </row>
    <row r="59" spans="1:13" ht="13" x14ac:dyDescent="0.15">
      <c r="A59" s="106"/>
      <c r="B59" s="106"/>
      <c r="C59" s="106"/>
      <c r="D59" s="109"/>
      <c r="E59" s="106" t="str">
        <f>IF(ISERROR(INDEX(Summary_FR!$A$3:$R$157,MATCH($C59,Summary_FR!$E$3:$E$157,0),MATCH(E$3,Summary_FR!$A$3:$R$3,0))),"",INDEX(Summary_FR!$A$3:$R$157,MATCH($C59,Summary_FR!$E$3:$E$157,0),MATCH(E$3,Summary_FR!$A$3:$R$3,0)))</f>
        <v/>
      </c>
      <c r="F59" s="106"/>
      <c r="G59" s="106"/>
      <c r="H59" s="110"/>
      <c r="I59" s="110"/>
      <c r="J59" s="106"/>
      <c r="K59" s="106"/>
      <c r="L59" s="106"/>
      <c r="M59" s="106"/>
    </row>
    <row r="60" spans="1:13" ht="13" x14ac:dyDescent="0.15">
      <c r="A60" s="106"/>
      <c r="B60" s="106"/>
      <c r="C60" s="106"/>
      <c r="D60" s="109"/>
      <c r="E60" s="106" t="str">
        <f>IF(ISERROR(INDEX(Summary_FR!$A$3:$R$157,MATCH($C60,Summary_FR!$E$3:$E$157,0),MATCH(E$3,Summary_FR!$A$3:$R$3,0))),"",INDEX(Summary_FR!$A$3:$R$157,MATCH($C60,Summary_FR!$E$3:$E$157,0),MATCH(E$3,Summary_FR!$A$3:$R$3,0)))</f>
        <v/>
      </c>
      <c r="F60" s="106"/>
      <c r="G60" s="106"/>
      <c r="H60" s="110"/>
      <c r="I60" s="110"/>
      <c r="J60" s="106"/>
      <c r="K60" s="106"/>
      <c r="L60" s="106"/>
      <c r="M60" s="106"/>
    </row>
    <row r="61" spans="1:13" ht="13" x14ac:dyDescent="0.15">
      <c r="A61" s="106"/>
      <c r="B61" s="106"/>
      <c r="C61" s="106"/>
      <c r="D61" s="109"/>
      <c r="E61" s="106" t="str">
        <f>IF(ISERROR(INDEX(Summary_FR!$A$3:$R$157,MATCH($C61,Summary_FR!$E$3:$E$157,0),MATCH(E$3,Summary_FR!$A$3:$R$3,0))),"",INDEX(Summary_FR!$A$3:$R$157,MATCH($C61,Summary_FR!$E$3:$E$157,0),MATCH(E$3,Summary_FR!$A$3:$R$3,0)))</f>
        <v/>
      </c>
      <c r="F61" s="106"/>
      <c r="G61" s="106"/>
      <c r="H61" s="110"/>
      <c r="I61" s="110"/>
      <c r="J61" s="106"/>
      <c r="K61" s="106"/>
      <c r="L61" s="106"/>
      <c r="M61" s="106"/>
    </row>
    <row r="62" spans="1:13" ht="13" x14ac:dyDescent="0.15">
      <c r="A62" s="106"/>
      <c r="B62" s="106"/>
      <c r="C62" s="106"/>
      <c r="D62" s="109"/>
      <c r="E62" s="106" t="str">
        <f>IF(ISERROR(INDEX(Summary_FR!$A$3:$R$157,MATCH($C62,Summary_FR!$E$3:$E$157,0),MATCH(E$3,Summary_FR!$A$3:$R$3,0))),"",INDEX(Summary_FR!$A$3:$R$157,MATCH($C62,Summary_FR!$E$3:$E$157,0),MATCH(E$3,Summary_FR!$A$3:$R$3,0)))</f>
        <v/>
      </c>
      <c r="F62" s="106"/>
      <c r="G62" s="106"/>
      <c r="H62" s="110"/>
      <c r="I62" s="110"/>
      <c r="J62" s="106"/>
      <c r="K62" s="106"/>
      <c r="L62" s="106"/>
      <c r="M62" s="106"/>
    </row>
    <row r="63" spans="1:13" ht="13" x14ac:dyDescent="0.15">
      <c r="A63" s="106"/>
      <c r="B63" s="106"/>
      <c r="C63" s="106"/>
      <c r="D63" s="109"/>
      <c r="E63" s="106" t="str">
        <f>IF(ISERROR(INDEX(Summary_FR!$A$3:$R$157,MATCH($C63,Summary_FR!$E$3:$E$157,0),MATCH(E$3,Summary_FR!$A$3:$R$3,0))),"",INDEX(Summary_FR!$A$3:$R$157,MATCH($C63,Summary_FR!$E$3:$E$157,0),MATCH(E$3,Summary_FR!$A$3:$R$3,0)))</f>
        <v/>
      </c>
      <c r="F63" s="106"/>
      <c r="G63" s="106"/>
      <c r="H63" s="110"/>
      <c r="I63" s="110"/>
      <c r="J63" s="106"/>
      <c r="K63" s="106"/>
      <c r="L63" s="106"/>
      <c r="M63" s="106"/>
    </row>
    <row r="64" spans="1:13" ht="13" x14ac:dyDescent="0.15">
      <c r="A64" s="106"/>
      <c r="B64" s="106"/>
      <c r="C64" s="106"/>
      <c r="D64" s="109"/>
      <c r="E64" s="106" t="str">
        <f>IF(ISERROR(INDEX(Summary_FR!$A$3:$R$157,MATCH($C64,Summary_FR!$E$3:$E$157,0),MATCH(E$3,Summary_FR!$A$3:$R$3,0))),"",INDEX(Summary_FR!$A$3:$R$157,MATCH($C64,Summary_FR!$E$3:$E$157,0),MATCH(E$3,Summary_FR!$A$3:$R$3,0)))</f>
        <v/>
      </c>
      <c r="F64" s="106"/>
      <c r="G64" s="106"/>
      <c r="H64" s="110"/>
      <c r="I64" s="110"/>
      <c r="J64" s="106"/>
      <c r="K64" s="106"/>
      <c r="L64" s="106"/>
      <c r="M64" s="106"/>
    </row>
    <row r="65" spans="1:13" ht="13" x14ac:dyDescent="0.15">
      <c r="A65" s="106"/>
      <c r="B65" s="106"/>
      <c r="C65" s="106"/>
      <c r="D65" s="109"/>
      <c r="E65" s="106" t="str">
        <f>IF(ISERROR(INDEX(Summary_FR!$A$3:$R$157,MATCH($C65,Summary_FR!$E$3:$E$157,0),MATCH(E$3,Summary_FR!$A$3:$R$3,0))),"",INDEX(Summary_FR!$A$3:$R$157,MATCH($C65,Summary_FR!$E$3:$E$157,0),MATCH(E$3,Summary_FR!$A$3:$R$3,0)))</f>
        <v/>
      </c>
      <c r="F65" s="106"/>
      <c r="G65" s="106"/>
      <c r="H65" s="110"/>
      <c r="I65" s="110"/>
      <c r="J65" s="106"/>
      <c r="K65" s="106"/>
      <c r="L65" s="106"/>
      <c r="M65" s="106"/>
    </row>
    <row r="66" spans="1:13" ht="13" x14ac:dyDescent="0.15">
      <c r="A66" s="106"/>
      <c r="B66" s="106"/>
      <c r="C66" s="106"/>
      <c r="D66" s="109"/>
      <c r="E66" s="106" t="str">
        <f>IF(ISERROR(INDEX(Summary_FR!$A$3:$R$157,MATCH($C66,Summary_FR!$E$3:$E$157,0),MATCH(E$3,Summary_FR!$A$3:$R$3,0))),"",INDEX(Summary_FR!$A$3:$R$157,MATCH($C66,Summary_FR!$E$3:$E$157,0),MATCH(E$3,Summary_FR!$A$3:$R$3,0)))</f>
        <v/>
      </c>
      <c r="F66" s="106"/>
      <c r="G66" s="106"/>
      <c r="H66" s="110"/>
      <c r="I66" s="110"/>
      <c r="J66" s="106"/>
      <c r="K66" s="106"/>
      <c r="L66" s="106"/>
      <c r="M66" s="106"/>
    </row>
    <row r="67" spans="1:13" ht="13" x14ac:dyDescent="0.15">
      <c r="A67" s="106"/>
      <c r="B67" s="106"/>
      <c r="C67" s="106"/>
      <c r="D67" s="109"/>
      <c r="E67" s="106" t="str">
        <f>IF(ISERROR(INDEX(Summary_FR!$A$3:$R$157,MATCH($C67,Summary_FR!$E$3:$E$157,0),MATCH(E$3,Summary_FR!$A$3:$R$3,0))),"",INDEX(Summary_FR!$A$3:$R$157,MATCH($C67,Summary_FR!$E$3:$E$157,0),MATCH(E$3,Summary_FR!$A$3:$R$3,0)))</f>
        <v/>
      </c>
      <c r="F67" s="106"/>
      <c r="G67" s="106"/>
      <c r="H67" s="110"/>
      <c r="I67" s="110"/>
      <c r="J67" s="106"/>
      <c r="K67" s="106"/>
      <c r="L67" s="106"/>
      <c r="M67" s="106"/>
    </row>
    <row r="68" spans="1:13" ht="13" x14ac:dyDescent="0.15">
      <c r="A68" s="106"/>
      <c r="B68" s="106"/>
      <c r="C68" s="106"/>
      <c r="D68" s="109"/>
      <c r="E68" s="106" t="str">
        <f>IF(ISERROR(INDEX(Summary_FR!$A$3:$R$157,MATCH($C68,Summary_FR!$E$3:$E$157,0),MATCH(E$3,Summary_FR!$A$3:$R$3,0))),"",INDEX(Summary_FR!$A$3:$R$157,MATCH($C68,Summary_FR!$E$3:$E$157,0),MATCH(E$3,Summary_FR!$A$3:$R$3,0)))</f>
        <v/>
      </c>
      <c r="F68" s="106"/>
      <c r="G68" s="106"/>
      <c r="H68" s="110"/>
      <c r="I68" s="110"/>
      <c r="J68" s="106"/>
      <c r="K68" s="106"/>
      <c r="L68" s="106"/>
      <c r="M68" s="106"/>
    </row>
    <row r="69" spans="1:13" ht="13" x14ac:dyDescent="0.15">
      <c r="A69" s="106"/>
      <c r="B69" s="106"/>
      <c r="C69" s="106"/>
      <c r="D69" s="109"/>
      <c r="E69" s="106" t="str">
        <f>IF(ISERROR(INDEX(Summary_FR!$A$3:$R$157,MATCH($C69,Summary_FR!$E$3:$E$157,0),MATCH(E$3,Summary_FR!$A$3:$R$3,0))),"",INDEX(Summary_FR!$A$3:$R$157,MATCH($C69,Summary_FR!$E$3:$E$157,0),MATCH(E$3,Summary_FR!$A$3:$R$3,0)))</f>
        <v/>
      </c>
      <c r="F69" s="106"/>
      <c r="G69" s="106"/>
      <c r="H69" s="110"/>
      <c r="I69" s="110"/>
      <c r="J69" s="106"/>
      <c r="K69" s="106"/>
      <c r="L69" s="106"/>
      <c r="M69" s="106"/>
    </row>
    <row r="70" spans="1:13" ht="13" x14ac:dyDescent="0.15">
      <c r="A70" s="106"/>
      <c r="B70" s="106"/>
      <c r="C70" s="106"/>
      <c r="D70" s="109"/>
      <c r="E70" s="106" t="str">
        <f>IF(ISERROR(INDEX(Summary_FR!$A$3:$R$157,MATCH($C70,Summary_FR!$E$3:$E$157,0),MATCH(E$3,Summary_FR!$A$3:$R$3,0))),"",INDEX(Summary_FR!$A$3:$R$157,MATCH($C70,Summary_FR!$E$3:$E$157,0),MATCH(E$3,Summary_FR!$A$3:$R$3,0)))</f>
        <v/>
      </c>
      <c r="F70" s="106"/>
      <c r="G70" s="106"/>
      <c r="H70" s="110"/>
      <c r="I70" s="110"/>
      <c r="J70" s="106"/>
      <c r="K70" s="106"/>
      <c r="L70" s="106"/>
      <c r="M70" s="106"/>
    </row>
    <row r="71" spans="1:13" ht="13" x14ac:dyDescent="0.15">
      <c r="A71" s="106"/>
      <c r="B71" s="106"/>
      <c r="C71" s="106"/>
      <c r="D71" s="109"/>
      <c r="E71" s="106" t="str">
        <f>IF(ISERROR(INDEX(Summary_FR!$A$3:$R$157,MATCH($C71,Summary_FR!$E$3:$E$157,0),MATCH(E$3,Summary_FR!$A$3:$R$3,0))),"",INDEX(Summary_FR!$A$3:$R$157,MATCH($C71,Summary_FR!$E$3:$E$157,0),MATCH(E$3,Summary_FR!$A$3:$R$3,0)))</f>
        <v/>
      </c>
      <c r="F71" s="106"/>
      <c r="G71" s="106"/>
      <c r="H71" s="110"/>
      <c r="I71" s="110"/>
      <c r="J71" s="106"/>
      <c r="K71" s="106"/>
      <c r="L71" s="106"/>
      <c r="M71" s="106"/>
    </row>
    <row r="72" spans="1:13" ht="13" x14ac:dyDescent="0.15">
      <c r="A72" s="106"/>
      <c r="B72" s="106"/>
      <c r="C72" s="106"/>
      <c r="D72" s="109"/>
      <c r="E72" s="106" t="str">
        <f>IF(ISERROR(INDEX(Summary_FR!$A$3:$R$157,MATCH($C72,Summary_FR!$E$3:$E$157,0),MATCH(E$3,Summary_FR!$A$3:$R$3,0))),"",INDEX(Summary_FR!$A$3:$R$157,MATCH($C72,Summary_FR!$E$3:$E$157,0),MATCH(E$3,Summary_FR!$A$3:$R$3,0)))</f>
        <v/>
      </c>
      <c r="F72" s="106"/>
      <c r="G72" s="106"/>
      <c r="H72" s="110"/>
      <c r="I72" s="110"/>
      <c r="J72" s="106"/>
      <c r="K72" s="106"/>
      <c r="L72" s="106"/>
      <c r="M72" s="106"/>
    </row>
    <row r="73" spans="1:13" ht="13" x14ac:dyDescent="0.15">
      <c r="A73" s="106"/>
      <c r="B73" s="106"/>
      <c r="C73" s="106"/>
      <c r="D73" s="109"/>
      <c r="E73" s="106" t="str">
        <f>IF(ISERROR(INDEX(Summary_FR!$A$3:$R$157,MATCH($C73,Summary_FR!$E$3:$E$157,0),MATCH(E$3,Summary_FR!$A$3:$R$3,0))),"",INDEX(Summary_FR!$A$3:$R$157,MATCH($C73,Summary_FR!$E$3:$E$157,0),MATCH(E$3,Summary_FR!$A$3:$R$3,0)))</f>
        <v/>
      </c>
      <c r="F73" s="106"/>
      <c r="G73" s="106"/>
      <c r="H73" s="110"/>
      <c r="I73" s="110"/>
      <c r="J73" s="106"/>
      <c r="K73" s="106"/>
      <c r="L73" s="106"/>
      <c r="M73" s="106"/>
    </row>
    <row r="74" spans="1:13" ht="13" x14ac:dyDescent="0.15">
      <c r="A74" s="106"/>
      <c r="B74" s="106"/>
      <c r="C74" s="106"/>
      <c r="D74" s="109"/>
      <c r="E74" s="106" t="str">
        <f>IF(ISERROR(INDEX(Summary_FR!$A$3:$R$157,MATCH($C74,Summary_FR!$E$3:$E$157,0),MATCH(E$3,Summary_FR!$A$3:$R$3,0))),"",INDEX(Summary_FR!$A$3:$R$157,MATCH($C74,Summary_FR!$E$3:$E$157,0),MATCH(E$3,Summary_FR!$A$3:$R$3,0)))</f>
        <v/>
      </c>
      <c r="F74" s="106"/>
      <c r="G74" s="106"/>
      <c r="H74" s="110"/>
      <c r="I74" s="110"/>
      <c r="J74" s="106"/>
      <c r="K74" s="106"/>
      <c r="L74" s="106"/>
      <c r="M74" s="106"/>
    </row>
    <row r="75" spans="1:13" ht="13" x14ac:dyDescent="0.15">
      <c r="A75" s="106"/>
      <c r="B75" s="106"/>
      <c r="C75" s="106"/>
      <c r="D75" s="109"/>
      <c r="E75" s="106" t="str">
        <f>IF(ISERROR(INDEX(Summary_FR!$A$3:$R$157,MATCH($C75,Summary_FR!$E$3:$E$157,0),MATCH(E$3,Summary_FR!$A$3:$R$3,0))),"",INDEX(Summary_FR!$A$3:$R$157,MATCH($C75,Summary_FR!$E$3:$E$157,0),MATCH(E$3,Summary_FR!$A$3:$R$3,0)))</f>
        <v/>
      </c>
      <c r="F75" s="106"/>
      <c r="G75" s="106"/>
      <c r="H75" s="110"/>
      <c r="I75" s="110"/>
      <c r="J75" s="106"/>
      <c r="K75" s="106"/>
      <c r="L75" s="106"/>
      <c r="M75" s="106"/>
    </row>
    <row r="76" spans="1:13" ht="13" x14ac:dyDescent="0.15">
      <c r="A76" s="106"/>
      <c r="B76" s="106"/>
      <c r="C76" s="106"/>
      <c r="D76" s="109"/>
      <c r="E76" s="106" t="str">
        <f>IF(ISERROR(INDEX(Summary_FR!$A$3:$R$157,MATCH($C76,Summary_FR!$E$3:$E$157,0),MATCH(E$3,Summary_FR!$A$3:$R$3,0))),"",INDEX(Summary_FR!$A$3:$R$157,MATCH($C76,Summary_FR!$E$3:$E$157,0),MATCH(E$3,Summary_FR!$A$3:$R$3,0)))</f>
        <v/>
      </c>
      <c r="F76" s="106"/>
      <c r="G76" s="106"/>
      <c r="H76" s="110"/>
      <c r="I76" s="110"/>
      <c r="J76" s="106"/>
      <c r="K76" s="106"/>
      <c r="L76" s="106"/>
      <c r="M76" s="106"/>
    </row>
    <row r="77" spans="1:13" ht="13" x14ac:dyDescent="0.15">
      <c r="A77" s="106"/>
      <c r="B77" s="106"/>
      <c r="C77" s="106"/>
      <c r="D77" s="109"/>
      <c r="E77" s="106" t="str">
        <f>IF(ISERROR(INDEX(Summary_FR!$A$3:$R$157,MATCH($C77,Summary_FR!$E$3:$E$157,0),MATCH(E$3,Summary_FR!$A$3:$R$3,0))),"",INDEX(Summary_FR!$A$3:$R$157,MATCH($C77,Summary_FR!$E$3:$E$157,0),MATCH(E$3,Summary_FR!$A$3:$R$3,0)))</f>
        <v/>
      </c>
      <c r="F77" s="106"/>
      <c r="G77" s="106"/>
      <c r="H77" s="110"/>
      <c r="I77" s="110"/>
      <c r="J77" s="106"/>
      <c r="K77" s="106"/>
      <c r="L77" s="106"/>
      <c r="M77" s="106"/>
    </row>
    <row r="78" spans="1:13" ht="13" x14ac:dyDescent="0.15">
      <c r="A78" s="106"/>
      <c r="B78" s="106"/>
      <c r="C78" s="106"/>
      <c r="D78" s="109"/>
      <c r="E78" s="106" t="str">
        <f>IF(ISERROR(INDEX(Summary_FR!$A$3:$R$157,MATCH($C78,Summary_FR!$E$3:$E$157,0),MATCH(E$3,Summary_FR!$A$3:$R$3,0))),"",INDEX(Summary_FR!$A$3:$R$157,MATCH($C78,Summary_FR!$E$3:$E$157,0),MATCH(E$3,Summary_FR!$A$3:$R$3,0)))</f>
        <v/>
      </c>
      <c r="F78" s="106"/>
      <c r="G78" s="106"/>
      <c r="H78" s="110"/>
      <c r="I78" s="110"/>
      <c r="J78" s="106"/>
      <c r="K78" s="106"/>
      <c r="L78" s="106"/>
      <c r="M78" s="106"/>
    </row>
    <row r="79" spans="1:13" ht="13" x14ac:dyDescent="0.15">
      <c r="A79" s="106"/>
      <c r="B79" s="106"/>
      <c r="C79" s="106"/>
      <c r="D79" s="109"/>
      <c r="E79" s="106" t="str">
        <f>IF(ISERROR(INDEX(Summary_FR!$A$3:$R$157,MATCH($C79,Summary_FR!$E$3:$E$157,0),MATCH(E$3,Summary_FR!$A$3:$R$3,0))),"",INDEX(Summary_FR!$A$3:$R$157,MATCH($C79,Summary_FR!$E$3:$E$157,0),MATCH(E$3,Summary_FR!$A$3:$R$3,0)))</f>
        <v/>
      </c>
      <c r="F79" s="106"/>
      <c r="G79" s="106"/>
      <c r="H79" s="110"/>
      <c r="I79" s="110"/>
      <c r="J79" s="106"/>
      <c r="K79" s="106"/>
      <c r="L79" s="106"/>
      <c r="M79" s="106"/>
    </row>
    <row r="80" spans="1:13" ht="13" x14ac:dyDescent="0.15">
      <c r="A80" s="106"/>
      <c r="B80" s="106"/>
      <c r="C80" s="106"/>
      <c r="D80" s="109"/>
      <c r="E80" s="106" t="str">
        <f>IF(ISERROR(INDEX(Summary_FR!$A$3:$R$157,MATCH($C80,Summary_FR!$E$3:$E$157,0),MATCH(E$3,Summary_FR!$A$3:$R$3,0))),"",INDEX(Summary_FR!$A$3:$R$157,MATCH($C80,Summary_FR!$E$3:$E$157,0),MATCH(E$3,Summary_FR!$A$3:$R$3,0)))</f>
        <v/>
      </c>
      <c r="F80" s="106"/>
      <c r="G80" s="106"/>
      <c r="H80" s="110"/>
      <c r="I80" s="110"/>
      <c r="J80" s="106"/>
      <c r="K80" s="106"/>
      <c r="L80" s="106"/>
      <c r="M80" s="106"/>
    </row>
    <row r="81" spans="1:13" ht="13" x14ac:dyDescent="0.15">
      <c r="A81" s="106"/>
      <c r="B81" s="106"/>
      <c r="C81" s="106"/>
      <c r="D81" s="109"/>
      <c r="E81" s="106" t="str">
        <f>IF(ISERROR(INDEX(Summary_FR!$A$3:$R$157,MATCH($C81,Summary_FR!$E$3:$E$157,0),MATCH(E$3,Summary_FR!$A$3:$R$3,0))),"",INDEX(Summary_FR!$A$3:$R$157,MATCH($C81,Summary_FR!$E$3:$E$157,0),MATCH(E$3,Summary_FR!$A$3:$R$3,0)))</f>
        <v/>
      </c>
      <c r="F81" s="106"/>
      <c r="G81" s="106"/>
      <c r="H81" s="110"/>
      <c r="I81" s="110"/>
      <c r="J81" s="106"/>
      <c r="K81" s="106"/>
      <c r="L81" s="106"/>
      <c r="M81" s="106"/>
    </row>
    <row r="82" spans="1:13" ht="13" x14ac:dyDescent="0.15">
      <c r="A82" s="106"/>
      <c r="B82" s="106"/>
      <c r="C82" s="106"/>
      <c r="D82" s="109"/>
      <c r="E82" s="106" t="str">
        <f>IF(ISERROR(INDEX(Summary_FR!$A$3:$R$157,MATCH($C82,Summary_FR!$E$3:$E$157,0),MATCH(E$3,Summary_FR!$A$3:$R$3,0))),"",INDEX(Summary_FR!$A$3:$R$157,MATCH($C82,Summary_FR!$E$3:$E$157,0),MATCH(E$3,Summary_FR!$A$3:$R$3,0)))</f>
        <v/>
      </c>
      <c r="F82" s="106"/>
      <c r="G82" s="106"/>
      <c r="H82" s="110"/>
      <c r="I82" s="110"/>
      <c r="J82" s="106"/>
      <c r="K82" s="106"/>
      <c r="L82" s="106"/>
      <c r="M82" s="106"/>
    </row>
    <row r="83" spans="1:13" ht="13" x14ac:dyDescent="0.15">
      <c r="A83" s="106"/>
      <c r="B83" s="106"/>
      <c r="C83" s="106"/>
      <c r="D83" s="109"/>
      <c r="E83" s="106" t="str">
        <f>IF(ISERROR(INDEX(Summary_FR!$A$3:$R$157,MATCH($C83,Summary_FR!$E$3:$E$157,0),MATCH(E$3,Summary_FR!$A$3:$R$3,0))),"",INDEX(Summary_FR!$A$3:$R$157,MATCH($C83,Summary_FR!$E$3:$E$157,0),MATCH(E$3,Summary_FR!$A$3:$R$3,0)))</f>
        <v/>
      </c>
      <c r="F83" s="106"/>
      <c r="G83" s="106"/>
      <c r="H83" s="110"/>
      <c r="I83" s="110"/>
      <c r="J83" s="106"/>
      <c r="K83" s="106"/>
      <c r="L83" s="106"/>
      <c r="M83" s="106"/>
    </row>
    <row r="84" spans="1:13" ht="13" x14ac:dyDescent="0.15">
      <c r="A84" s="106"/>
      <c r="B84" s="106"/>
      <c r="C84" s="106"/>
      <c r="D84" s="109"/>
      <c r="E84" s="106" t="str">
        <f>IF(ISERROR(INDEX(Summary_FR!$A$3:$R$157,MATCH($C84,Summary_FR!$E$3:$E$157,0),MATCH(E$3,Summary_FR!$A$3:$R$3,0))),"",INDEX(Summary_FR!$A$3:$R$157,MATCH($C84,Summary_FR!$E$3:$E$157,0),MATCH(E$3,Summary_FR!$A$3:$R$3,0)))</f>
        <v/>
      </c>
      <c r="F84" s="106"/>
      <c r="G84" s="106"/>
      <c r="H84" s="110"/>
      <c r="I84" s="110"/>
      <c r="J84" s="106"/>
      <c r="K84" s="106"/>
      <c r="L84" s="106"/>
      <c r="M84" s="106"/>
    </row>
    <row r="85" spans="1:13" ht="13" x14ac:dyDescent="0.15">
      <c r="A85" s="106"/>
      <c r="B85" s="106"/>
      <c r="C85" s="106"/>
      <c r="D85" s="109"/>
      <c r="E85" s="106" t="str">
        <f>IF(ISERROR(INDEX(Summary_FR!$A$3:$R$157,MATCH($C85,Summary_FR!$E$3:$E$157,0),MATCH(E$3,Summary_FR!$A$3:$R$3,0))),"",INDEX(Summary_FR!$A$3:$R$157,MATCH($C85,Summary_FR!$E$3:$E$157,0),MATCH(E$3,Summary_FR!$A$3:$R$3,0)))</f>
        <v/>
      </c>
      <c r="F85" s="106"/>
      <c r="G85" s="106"/>
      <c r="H85" s="110"/>
      <c r="I85" s="110"/>
      <c r="J85" s="106"/>
      <c r="K85" s="106"/>
      <c r="L85" s="106"/>
      <c r="M85" s="106"/>
    </row>
    <row r="86" spans="1:13" ht="13" x14ac:dyDescent="0.15">
      <c r="A86" s="106"/>
      <c r="B86" s="106"/>
      <c r="C86" s="106"/>
      <c r="D86" s="109"/>
      <c r="E86" s="106" t="str">
        <f>IF(ISERROR(INDEX(Summary_FR!$A$3:$R$157,MATCH($C86,Summary_FR!$E$3:$E$157,0),MATCH(E$3,Summary_FR!$A$3:$R$3,0))),"",INDEX(Summary_FR!$A$3:$R$157,MATCH($C86,Summary_FR!$E$3:$E$157,0),MATCH(E$3,Summary_FR!$A$3:$R$3,0)))</f>
        <v/>
      </c>
      <c r="F86" s="106"/>
      <c r="G86" s="106"/>
      <c r="H86" s="110"/>
      <c r="I86" s="110"/>
      <c r="J86" s="106"/>
      <c r="K86" s="106"/>
      <c r="L86" s="106"/>
      <c r="M86" s="106"/>
    </row>
    <row r="87" spans="1:13" ht="13" x14ac:dyDescent="0.15">
      <c r="A87" s="106"/>
      <c r="B87" s="106"/>
      <c r="C87" s="106"/>
      <c r="D87" s="109"/>
      <c r="E87" s="106" t="str">
        <f>IF(ISERROR(INDEX(Summary_FR!$A$3:$R$157,MATCH($C87,Summary_FR!$E$3:$E$157,0),MATCH(E$3,Summary_FR!$A$3:$R$3,0))),"",INDEX(Summary_FR!$A$3:$R$157,MATCH($C87,Summary_FR!$E$3:$E$157,0),MATCH(E$3,Summary_FR!$A$3:$R$3,0)))</f>
        <v/>
      </c>
      <c r="F87" s="106"/>
      <c r="G87" s="106"/>
      <c r="H87" s="110"/>
      <c r="I87" s="110"/>
      <c r="J87" s="106"/>
      <c r="K87" s="106"/>
      <c r="L87" s="106"/>
      <c r="M87" s="106"/>
    </row>
    <row r="88" spans="1:13" ht="13" x14ac:dyDescent="0.15">
      <c r="A88" s="106"/>
      <c r="B88" s="106"/>
      <c r="C88" s="106"/>
      <c r="D88" s="109"/>
      <c r="E88" s="106" t="str">
        <f>IF(ISERROR(INDEX(Summary_FR!$A$3:$R$157,MATCH($C88,Summary_FR!$E$3:$E$157,0),MATCH(E$3,Summary_FR!$A$3:$R$3,0))),"",INDEX(Summary_FR!$A$3:$R$157,MATCH($C88,Summary_FR!$E$3:$E$157,0),MATCH(E$3,Summary_FR!$A$3:$R$3,0)))</f>
        <v/>
      </c>
      <c r="F88" s="106"/>
      <c r="G88" s="106"/>
      <c r="H88" s="110"/>
      <c r="I88" s="110"/>
      <c r="J88" s="106"/>
      <c r="K88" s="106"/>
      <c r="L88" s="106"/>
      <c r="M88" s="106"/>
    </row>
    <row r="89" spans="1:13" ht="13" x14ac:dyDescent="0.15">
      <c r="A89" s="106"/>
      <c r="B89" s="106"/>
      <c r="C89" s="106"/>
      <c r="D89" s="109"/>
      <c r="E89" s="106" t="str">
        <f>IF(ISERROR(INDEX(Summary_FR!$A$3:$R$157,MATCH($C89,Summary_FR!$E$3:$E$157,0),MATCH(E$3,Summary_FR!$A$3:$R$3,0))),"",INDEX(Summary_FR!$A$3:$R$157,MATCH($C89,Summary_FR!$E$3:$E$157,0),MATCH(E$3,Summary_FR!$A$3:$R$3,0)))</f>
        <v/>
      </c>
      <c r="F89" s="106"/>
      <c r="G89" s="106"/>
      <c r="H89" s="110"/>
      <c r="I89" s="110"/>
      <c r="J89" s="106"/>
      <c r="K89" s="106"/>
      <c r="L89" s="106"/>
      <c r="M89" s="106"/>
    </row>
    <row r="90" spans="1:13" ht="13" x14ac:dyDescent="0.15">
      <c r="A90" s="106"/>
      <c r="B90" s="106"/>
      <c r="C90" s="106"/>
      <c r="D90" s="109"/>
      <c r="E90" s="106" t="str">
        <f>IF(ISERROR(INDEX(Summary_FR!$A$3:$R$157,MATCH($C90,Summary_FR!$E$3:$E$157,0),MATCH(E$3,Summary_FR!$A$3:$R$3,0))),"",INDEX(Summary_FR!$A$3:$R$157,MATCH($C90,Summary_FR!$E$3:$E$157,0),MATCH(E$3,Summary_FR!$A$3:$R$3,0)))</f>
        <v/>
      </c>
      <c r="F90" s="106"/>
      <c r="G90" s="106"/>
      <c r="H90" s="110"/>
      <c r="I90" s="110"/>
      <c r="J90" s="106"/>
      <c r="K90" s="106"/>
      <c r="L90" s="106"/>
      <c r="M90" s="106"/>
    </row>
    <row r="91" spans="1:13" ht="13" x14ac:dyDescent="0.15">
      <c r="A91" s="106"/>
      <c r="B91" s="106"/>
      <c r="C91" s="106"/>
      <c r="D91" s="109"/>
      <c r="E91" s="106" t="str">
        <f>IF(ISERROR(INDEX(Summary_FR!$A$3:$R$157,MATCH($C91,Summary_FR!$E$3:$E$157,0),MATCH(E$3,Summary_FR!$A$3:$R$3,0))),"",INDEX(Summary_FR!$A$3:$R$157,MATCH($C91,Summary_FR!$E$3:$E$157,0),MATCH(E$3,Summary_FR!$A$3:$R$3,0)))</f>
        <v/>
      </c>
      <c r="F91" s="106"/>
      <c r="G91" s="106"/>
      <c r="H91" s="110"/>
      <c r="I91" s="110"/>
      <c r="J91" s="106"/>
      <c r="K91" s="106"/>
      <c r="L91" s="106"/>
      <c r="M91" s="106"/>
    </row>
    <row r="92" spans="1:13" ht="13" x14ac:dyDescent="0.15">
      <c r="A92" s="106"/>
      <c r="B92" s="106"/>
      <c r="C92" s="106"/>
      <c r="D92" s="109"/>
      <c r="E92" s="106" t="str">
        <f>IF(ISERROR(INDEX(Summary_FR!$A$3:$R$157,MATCH($C92,Summary_FR!$E$3:$E$157,0),MATCH(E$3,Summary_FR!$A$3:$R$3,0))),"",INDEX(Summary_FR!$A$3:$R$157,MATCH($C92,Summary_FR!$E$3:$E$157,0),MATCH(E$3,Summary_FR!$A$3:$R$3,0)))</f>
        <v/>
      </c>
      <c r="F92" s="106"/>
      <c r="G92" s="106"/>
      <c r="H92" s="110"/>
      <c r="I92" s="110"/>
      <c r="J92" s="106"/>
      <c r="K92" s="106"/>
      <c r="L92" s="106"/>
      <c r="M92" s="106"/>
    </row>
    <row r="93" spans="1:13" ht="13" x14ac:dyDescent="0.15">
      <c r="A93" s="106"/>
      <c r="B93" s="106"/>
      <c r="C93" s="106"/>
      <c r="D93" s="109"/>
      <c r="E93" s="106" t="str">
        <f>IF(ISERROR(INDEX(Summary_FR!$A$3:$R$157,MATCH($C93,Summary_FR!$E$3:$E$157,0),MATCH(E$3,Summary_FR!$A$3:$R$3,0))),"",INDEX(Summary_FR!$A$3:$R$157,MATCH($C93,Summary_FR!$E$3:$E$157,0),MATCH(E$3,Summary_FR!$A$3:$R$3,0)))</f>
        <v/>
      </c>
      <c r="F93" s="106"/>
      <c r="G93" s="106"/>
      <c r="H93" s="110"/>
      <c r="I93" s="110"/>
      <c r="J93" s="106"/>
      <c r="K93" s="106"/>
      <c r="L93" s="106"/>
      <c r="M93" s="106"/>
    </row>
    <row r="94" spans="1:13" ht="13" x14ac:dyDescent="0.15">
      <c r="A94" s="106"/>
      <c r="B94" s="106"/>
      <c r="C94" s="106"/>
      <c r="D94" s="109"/>
      <c r="E94" s="106" t="str">
        <f>IF(ISERROR(INDEX(Summary_FR!$A$3:$R$157,MATCH($C94,Summary_FR!$E$3:$E$157,0),MATCH(E$3,Summary_FR!$A$3:$R$3,0))),"",INDEX(Summary_FR!$A$3:$R$157,MATCH($C94,Summary_FR!$E$3:$E$157,0),MATCH(E$3,Summary_FR!$A$3:$R$3,0)))</f>
        <v/>
      </c>
      <c r="F94" s="106"/>
      <c r="G94" s="106"/>
      <c r="H94" s="110"/>
      <c r="I94" s="110"/>
      <c r="J94" s="106"/>
      <c r="K94" s="106"/>
      <c r="L94" s="106"/>
      <c r="M94" s="106"/>
    </row>
    <row r="95" spans="1:13" ht="13" x14ac:dyDescent="0.15">
      <c r="A95" s="106"/>
      <c r="B95" s="106"/>
      <c r="C95" s="106"/>
      <c r="D95" s="109"/>
      <c r="E95" s="106" t="str">
        <f>IF(ISERROR(INDEX(Summary_FR!$A$3:$R$157,MATCH($C95,Summary_FR!$E$3:$E$157,0),MATCH(E$3,Summary_FR!$A$3:$R$3,0))),"",INDEX(Summary_FR!$A$3:$R$157,MATCH($C95,Summary_FR!$E$3:$E$157,0),MATCH(E$3,Summary_FR!$A$3:$R$3,0)))</f>
        <v/>
      </c>
      <c r="F95" s="106"/>
      <c r="G95" s="106"/>
      <c r="H95" s="110"/>
      <c r="I95" s="110"/>
      <c r="J95" s="106"/>
      <c r="K95" s="106"/>
      <c r="L95" s="106"/>
      <c r="M95" s="106"/>
    </row>
    <row r="96" spans="1:13" ht="13" x14ac:dyDescent="0.15">
      <c r="A96" s="106"/>
      <c r="B96" s="106"/>
      <c r="C96" s="106"/>
      <c r="D96" s="109"/>
      <c r="E96" s="106" t="str">
        <f>IF(ISERROR(INDEX(Summary_FR!$A$3:$R$157,MATCH($C96,Summary_FR!$E$3:$E$157,0),MATCH(E$3,Summary_FR!$A$3:$R$3,0))),"",INDEX(Summary_FR!$A$3:$R$157,MATCH($C96,Summary_FR!$E$3:$E$157,0),MATCH(E$3,Summary_FR!$A$3:$R$3,0)))</f>
        <v/>
      </c>
      <c r="F96" s="106"/>
      <c r="G96" s="106"/>
      <c r="H96" s="110"/>
      <c r="I96" s="110"/>
      <c r="J96" s="106"/>
      <c r="K96" s="106"/>
      <c r="L96" s="106"/>
      <c r="M96" s="106"/>
    </row>
    <row r="97" spans="1:13" ht="13" x14ac:dyDescent="0.15">
      <c r="A97" s="106"/>
      <c r="B97" s="106"/>
      <c r="C97" s="106"/>
      <c r="D97" s="109"/>
      <c r="E97" s="106" t="str">
        <f>IF(ISERROR(INDEX(Summary_FR!$A$3:$R$157,MATCH($C97,Summary_FR!$E$3:$E$157,0),MATCH(E$3,Summary_FR!$A$3:$R$3,0))),"",INDEX(Summary_FR!$A$3:$R$157,MATCH($C97,Summary_FR!$E$3:$E$157,0),MATCH(E$3,Summary_FR!$A$3:$R$3,0)))</f>
        <v/>
      </c>
      <c r="F97" s="106"/>
      <c r="G97" s="106"/>
      <c r="H97" s="110"/>
      <c r="I97" s="110"/>
      <c r="J97" s="106"/>
      <c r="K97" s="106"/>
      <c r="L97" s="106"/>
      <c r="M97" s="106"/>
    </row>
    <row r="98" spans="1:13" ht="13" x14ac:dyDescent="0.15">
      <c r="A98" s="106"/>
      <c r="B98" s="106"/>
      <c r="C98" s="106"/>
      <c r="D98" s="109"/>
      <c r="E98" s="106" t="str">
        <f>IF(ISERROR(INDEX(Summary_FR!$A$3:$R$157,MATCH($C98,Summary_FR!$E$3:$E$157,0),MATCH(E$3,Summary_FR!$A$3:$R$3,0))),"",INDEX(Summary_FR!$A$3:$R$157,MATCH($C98,Summary_FR!$E$3:$E$157,0),MATCH(E$3,Summary_FR!$A$3:$R$3,0)))</f>
        <v/>
      </c>
      <c r="F98" s="106"/>
      <c r="G98" s="106"/>
      <c r="H98" s="110"/>
      <c r="I98" s="110"/>
      <c r="J98" s="106"/>
      <c r="K98" s="106"/>
      <c r="L98" s="106"/>
      <c r="M98" s="106"/>
    </row>
    <row r="99" spans="1:13" ht="13" x14ac:dyDescent="0.15">
      <c r="A99" s="106"/>
      <c r="B99" s="106"/>
      <c r="C99" s="106"/>
      <c r="D99" s="109"/>
      <c r="E99" s="106" t="str">
        <f>IF(ISERROR(INDEX(Summary_FR!$A$3:$R$157,MATCH($C99,Summary_FR!$E$3:$E$157,0),MATCH(E$3,Summary_FR!$A$3:$R$3,0))),"",INDEX(Summary_FR!$A$3:$R$157,MATCH($C99,Summary_FR!$E$3:$E$157,0),MATCH(E$3,Summary_FR!$A$3:$R$3,0)))</f>
        <v/>
      </c>
      <c r="F99" s="106"/>
      <c r="G99" s="106"/>
      <c r="H99" s="110"/>
      <c r="I99" s="110"/>
      <c r="J99" s="106"/>
      <c r="K99" s="106"/>
      <c r="L99" s="106"/>
      <c r="M99" s="106"/>
    </row>
    <row r="100" spans="1:13" ht="13" x14ac:dyDescent="0.15">
      <c r="A100" s="106"/>
      <c r="B100" s="106"/>
      <c r="C100" s="114"/>
      <c r="D100" s="109"/>
      <c r="E100" s="106" t="str">
        <f>IF(ISERROR(INDEX(Summary_FR!$A$3:$R$157,MATCH($C100,Summary_FR!$E$3:$E$157,0),MATCH(E$3,Summary_FR!$A$3:$R$3,0))),"",INDEX(Summary_FR!$A$3:$R$157,MATCH($C100,Summary_FR!$E$3:$E$157,0),MATCH(E$3,Summary_FR!$A$3:$R$3,0)))</f>
        <v/>
      </c>
      <c r="F100" s="106"/>
      <c r="G100" s="106"/>
      <c r="H100" s="110"/>
      <c r="I100" s="110"/>
      <c r="J100" s="106"/>
      <c r="K100" s="106"/>
      <c r="L100" s="106"/>
      <c r="M100" s="106"/>
    </row>
  </sheetData>
  <autoFilter ref="B3:M52" xr:uid="{00000000-0001-0000-0400-000000000000}">
    <filterColumn colId="1">
      <filters>
        <filter val="ADB - PSOD"/>
      </filters>
    </filterColumn>
    <sortState xmlns:xlrd2="http://schemas.microsoft.com/office/spreadsheetml/2017/richdata2" ref="B4:M51">
      <sortCondition ref="D3:D51"/>
    </sortState>
  </autoFilter>
  <conditionalFormatting sqref="J7:J10 K8:M9 E4:F16 D8:I18 D4:M7 C4:C1048576 J10:M18 D19:M23 B4:B100 E24:M100">
    <cfRule type="expression" dxfId="17" priority="14">
      <formula>$B4="Open"</formula>
    </cfRule>
    <cfRule type="expression" dxfId="16" priority="15">
      <formula>$B4="In-Process"</formula>
    </cfRule>
    <cfRule type="expression" dxfId="15" priority="17">
      <formula>$B4="Closed"</formula>
    </cfRule>
  </conditionalFormatting>
  <conditionalFormatting sqref="D27:D100">
    <cfRule type="expression" dxfId="14" priority="11">
      <formula>$B27="Open"</formula>
    </cfRule>
    <cfRule type="expression" dxfId="13" priority="12">
      <formula>$B27="In-Process"</formula>
    </cfRule>
    <cfRule type="expression" dxfId="12" priority="13">
      <formula>$B27="Closed"</formula>
    </cfRule>
  </conditionalFormatting>
  <conditionalFormatting sqref="C1:C2">
    <cfRule type="expression" dxfId="11" priority="8">
      <formula>$B1="Open"</formula>
    </cfRule>
    <cfRule type="expression" dxfId="10" priority="9">
      <formula>$B1="In-Process"</formula>
    </cfRule>
    <cfRule type="expression" dxfId="9" priority="10">
      <formula>$B1="Closed"</formula>
    </cfRule>
  </conditionalFormatting>
  <conditionalFormatting sqref="D24:D26">
    <cfRule type="expression" dxfId="8" priority="5">
      <formula>$B24="Open"</formula>
    </cfRule>
    <cfRule type="expression" dxfId="7" priority="6">
      <formula>$B24="In-Process"</formula>
    </cfRule>
    <cfRule type="expression" dxfId="6" priority="7">
      <formula>$B24="Closed"</formula>
    </cfRule>
  </conditionalFormatting>
  <conditionalFormatting sqref="A4">
    <cfRule type="expression" dxfId="5" priority="1">
      <formula>$H4&gt;TODAY()</formula>
    </cfRule>
  </conditionalFormatting>
  <dataValidations count="4">
    <dataValidation type="list" allowBlank="1" showInputMessage="1" showErrorMessage="1" sqref="B4:B51" xr:uid="{2C08F8CD-0263-4C5D-8397-C9F4451DD4AB}">
      <formula1>"Open,In-Process,Closed"</formula1>
    </dataValidation>
    <dataValidation type="list" allowBlank="1" showInputMessage="1" showErrorMessage="1" sqref="G4:G51" xr:uid="{D386615E-8EF1-458D-ADEA-4BD778018505}">
      <formula1>Task_Classification</formula1>
    </dataValidation>
    <dataValidation type="list" allowBlank="1" showInputMessage="1" showErrorMessage="1" sqref="C4:C100" xr:uid="{8D0B36C5-007C-4A36-B964-170FC160F5C5}">
      <formula1>Contact_Co</formula1>
    </dataValidation>
    <dataValidation type="list" allowBlank="1" showInputMessage="1" showErrorMessage="1" sqref="E4:E100" xr:uid="{055E93C5-EB4B-4D6E-BFA0-624C77461AEF}">
      <formula1>FR_Team</formula1>
    </dataValidation>
  </dataValidations>
  <pageMargins left="0.70866141732283472" right="0.70866141732283472" top="0.74803149606299213" bottom="0.74803149606299213" header="0.31496062992125984" footer="0.31496062992125984"/>
  <pageSetup paperSize="8" scale="73" fitToHeight="14" orientation="landscape" r:id="rId1"/>
  <headerFooter>
    <oddHeader>&amp;A</oddHeader>
    <oddFooter>&amp;L&amp;B Confidential&amp;B&amp;C&amp;D&amp;RPage &amp;P</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AB42"/>
  <sheetViews>
    <sheetView topLeftCell="K1" zoomScaleNormal="100" workbookViewId="0">
      <selection activeCell="T32" sqref="T32"/>
    </sheetView>
  </sheetViews>
  <sheetFormatPr baseColWidth="10" defaultColWidth="12.6640625" defaultRowHeight="15.75" customHeight="1" x14ac:dyDescent="0.2"/>
  <cols>
    <col min="1" max="1" width="28.5" style="35" customWidth="1"/>
    <col min="2" max="2" width="23.6640625" style="35" bestFit="1" customWidth="1"/>
    <col min="3" max="3" width="28.6640625" style="35" customWidth="1"/>
    <col min="4" max="4" width="29.5" style="35" bestFit="1" customWidth="1"/>
    <col min="5" max="5" width="23.6640625" style="35" customWidth="1"/>
    <col min="6" max="6" width="30" style="35" customWidth="1"/>
    <col min="7" max="9" width="12.6640625" style="35"/>
    <col min="10" max="10" width="41.5" style="35" bestFit="1" customWidth="1"/>
    <col min="11" max="11" width="12.6640625" style="35"/>
    <col min="12" max="12" width="19.33203125" style="35" bestFit="1" customWidth="1"/>
    <col min="13" max="13" width="12.6640625" style="35"/>
    <col min="14" max="14" width="19.33203125" style="35" bestFit="1" customWidth="1"/>
    <col min="15" max="15" width="12.6640625" style="35"/>
    <col min="16" max="16" width="14.5" style="35" customWidth="1"/>
    <col min="17" max="17" width="12.6640625" style="35"/>
    <col min="18" max="18" width="17.5" style="35" bestFit="1" customWidth="1"/>
    <col min="19" max="19" width="12.6640625" style="35"/>
    <col min="20" max="20" width="15" style="35" bestFit="1" customWidth="1"/>
    <col min="21" max="16384" width="12.6640625" style="35"/>
  </cols>
  <sheetData>
    <row r="1" spans="1:28" ht="14" x14ac:dyDescent="0.2">
      <c r="A1" s="34" t="s">
        <v>1359</v>
      </c>
    </row>
    <row r="2" spans="1:28" ht="33" thickBot="1" x14ac:dyDescent="0.25">
      <c r="A2" s="36" t="s">
        <v>140</v>
      </c>
      <c r="B2" s="36" t="s">
        <v>1360</v>
      </c>
      <c r="C2" s="36" t="s">
        <v>896</v>
      </c>
      <c r="D2" s="36" t="s">
        <v>897</v>
      </c>
      <c r="E2" s="36" t="s">
        <v>899</v>
      </c>
      <c r="F2" s="37" t="s">
        <v>901</v>
      </c>
      <c r="G2" s="38" t="s">
        <v>906</v>
      </c>
      <c r="J2" s="34" t="s">
        <v>1361</v>
      </c>
      <c r="L2" s="39" t="s">
        <v>1362</v>
      </c>
      <c r="N2" s="39" t="s">
        <v>1363</v>
      </c>
      <c r="P2" s="39" t="s">
        <v>1364</v>
      </c>
      <c r="R2" s="39" t="s">
        <v>1365</v>
      </c>
      <c r="T2" s="40" t="s">
        <v>903</v>
      </c>
      <c r="V2" s="40" t="s">
        <v>1366</v>
      </c>
      <c r="W2" s="41"/>
      <c r="X2" s="40" t="s">
        <v>905</v>
      </c>
      <c r="Z2" s="40" t="s">
        <v>1367</v>
      </c>
      <c r="AB2" s="40" t="s">
        <v>1368</v>
      </c>
    </row>
    <row r="3" spans="1:28" ht="16" thickBot="1" x14ac:dyDescent="0.25">
      <c r="A3" s="42" t="s">
        <v>1369</v>
      </c>
      <c r="B3" s="42" t="s">
        <v>1370</v>
      </c>
      <c r="C3" s="42" t="s">
        <v>1371</v>
      </c>
      <c r="D3" s="42" t="s">
        <v>1372</v>
      </c>
      <c r="E3" s="43" t="s">
        <v>1373</v>
      </c>
      <c r="F3" s="44">
        <v>9941476214</v>
      </c>
      <c r="G3" s="42"/>
      <c r="I3" s="45">
        <v>1</v>
      </c>
      <c r="J3" s="45" t="s">
        <v>2</v>
      </c>
      <c r="L3" s="45" t="s">
        <v>1374</v>
      </c>
      <c r="N3" s="45" t="s">
        <v>32</v>
      </c>
      <c r="P3" s="35" t="s">
        <v>149</v>
      </c>
      <c r="R3" s="35" t="s">
        <v>1312</v>
      </c>
      <c r="T3" s="35" t="s">
        <v>1063</v>
      </c>
      <c r="V3" s="41" t="s">
        <v>948</v>
      </c>
      <c r="W3" s="41"/>
      <c r="X3" s="41" t="s">
        <v>1375</v>
      </c>
      <c r="Z3" s="35" t="s">
        <v>28</v>
      </c>
      <c r="AB3" s="35" t="str">
        <f>C4</f>
        <v>K. Ganapathy Subramanian</v>
      </c>
    </row>
    <row r="4" spans="1:28" ht="17" thickBot="1" x14ac:dyDescent="0.25">
      <c r="A4" s="42" t="s">
        <v>1369</v>
      </c>
      <c r="B4" s="42" t="s">
        <v>1370</v>
      </c>
      <c r="C4" s="42" t="s">
        <v>146</v>
      </c>
      <c r="D4" s="42" t="s">
        <v>1376</v>
      </c>
      <c r="E4" s="43" t="s">
        <v>1377</v>
      </c>
      <c r="F4" s="46">
        <v>9945197681</v>
      </c>
      <c r="G4" s="42"/>
      <c r="I4" s="45">
        <v>2</v>
      </c>
      <c r="J4" s="45" t="s">
        <v>13</v>
      </c>
      <c r="L4" s="45" t="s">
        <v>1378</v>
      </c>
      <c r="N4" s="45" t="s">
        <v>176</v>
      </c>
      <c r="P4" s="35" t="s">
        <v>147</v>
      </c>
      <c r="R4" s="35" t="s">
        <v>1301</v>
      </c>
      <c r="T4" s="35" t="s">
        <v>1213</v>
      </c>
      <c r="V4" s="41" t="s">
        <v>1214</v>
      </c>
      <c r="W4" s="41"/>
      <c r="X4" s="41" t="s">
        <v>949</v>
      </c>
      <c r="Z4" s="35" t="s">
        <v>31</v>
      </c>
      <c r="AB4" s="35" t="str">
        <f>C5</f>
        <v>K. Janardhan</v>
      </c>
    </row>
    <row r="5" spans="1:28" ht="15" x14ac:dyDescent="0.2">
      <c r="A5" s="42" t="s">
        <v>1369</v>
      </c>
      <c r="B5" s="42" t="s">
        <v>1370</v>
      </c>
      <c r="C5" s="42" t="s">
        <v>1311</v>
      </c>
      <c r="D5" s="42" t="s">
        <v>1379</v>
      </c>
      <c r="E5" s="47" t="s">
        <v>1380</v>
      </c>
      <c r="F5" s="44">
        <v>9677176538</v>
      </c>
      <c r="G5" s="42"/>
      <c r="I5" s="45">
        <v>3</v>
      </c>
      <c r="J5" s="45" t="s">
        <v>8</v>
      </c>
      <c r="L5" s="45" t="s">
        <v>27</v>
      </c>
      <c r="N5" s="45" t="s">
        <v>197</v>
      </c>
      <c r="P5" s="35" t="s">
        <v>145</v>
      </c>
      <c r="R5" s="35" t="s">
        <v>1283</v>
      </c>
      <c r="T5" s="35" t="s">
        <v>1381</v>
      </c>
      <c r="V5" s="41" t="s">
        <v>1064</v>
      </c>
      <c r="W5" s="41"/>
      <c r="X5" s="41" t="s">
        <v>1382</v>
      </c>
      <c r="AB5" s="35" t="str">
        <f>C7</f>
        <v>Krishna Chaitanya K</v>
      </c>
    </row>
    <row r="6" spans="1:28" ht="16" x14ac:dyDescent="0.2">
      <c r="A6" s="42" t="s">
        <v>1369</v>
      </c>
      <c r="B6" s="42" t="s">
        <v>1370</v>
      </c>
      <c r="C6" s="42" t="s">
        <v>1383</v>
      </c>
      <c r="D6" s="42" t="s">
        <v>1384</v>
      </c>
      <c r="E6" s="48" t="s">
        <v>1385</v>
      </c>
      <c r="F6" s="49">
        <v>9600166860</v>
      </c>
      <c r="G6" s="42"/>
      <c r="I6" s="45">
        <v>4</v>
      </c>
      <c r="J6" s="45" t="s">
        <v>225</v>
      </c>
      <c r="L6" s="45" t="s">
        <v>58</v>
      </c>
      <c r="N6" s="35" t="s">
        <v>40</v>
      </c>
      <c r="P6" s="35" t="s">
        <v>187</v>
      </c>
      <c r="R6" s="35" t="s">
        <v>1280</v>
      </c>
      <c r="T6" s="35" t="s">
        <v>1225</v>
      </c>
      <c r="V6" s="41" t="s">
        <v>959</v>
      </c>
      <c r="W6" s="41"/>
      <c r="X6" s="41" t="s">
        <v>1386</v>
      </c>
      <c r="AB6" s="35" t="str">
        <f>C15</f>
        <v>Satish S</v>
      </c>
    </row>
    <row r="7" spans="1:28" ht="15" x14ac:dyDescent="0.2">
      <c r="A7" s="42" t="s">
        <v>1369</v>
      </c>
      <c r="B7" s="42" t="s">
        <v>1370</v>
      </c>
      <c r="C7" s="42" t="s">
        <v>148</v>
      </c>
      <c r="D7" s="42" t="s">
        <v>1387</v>
      </c>
      <c r="E7" s="50" t="s">
        <v>1388</v>
      </c>
      <c r="F7" s="51" t="s">
        <v>1389</v>
      </c>
      <c r="G7" s="42"/>
      <c r="I7" s="45">
        <v>5</v>
      </c>
      <c r="J7" s="45" t="s">
        <v>12</v>
      </c>
      <c r="L7" s="45" t="s">
        <v>69</v>
      </c>
      <c r="N7" s="35" t="s">
        <v>179</v>
      </c>
      <c r="P7" s="35" t="s">
        <v>4</v>
      </c>
      <c r="R7" s="35" t="s">
        <v>4</v>
      </c>
      <c r="T7" s="35" t="s">
        <v>1390</v>
      </c>
      <c r="V7" s="41" t="s">
        <v>1391</v>
      </c>
      <c r="W7" s="41"/>
      <c r="X7" s="41" t="s">
        <v>995</v>
      </c>
      <c r="AB7" s="35" t="str">
        <f>C14</f>
        <v>Sathanbabu Mathankumar</v>
      </c>
    </row>
    <row r="8" spans="1:28" ht="16" x14ac:dyDescent="0.2">
      <c r="A8" s="42" t="s">
        <v>1369</v>
      </c>
      <c r="B8" s="42" t="s">
        <v>1370</v>
      </c>
      <c r="C8" s="42" t="s">
        <v>1392</v>
      </c>
      <c r="D8" s="42" t="s">
        <v>1393</v>
      </c>
      <c r="E8" s="50" t="s">
        <v>1394</v>
      </c>
      <c r="F8" s="49">
        <v>9944113381</v>
      </c>
      <c r="G8" s="42"/>
      <c r="I8" s="45">
        <v>6</v>
      </c>
      <c r="J8" s="45" t="s">
        <v>256</v>
      </c>
      <c r="L8" s="45" t="s">
        <v>1395</v>
      </c>
      <c r="P8" s="35" t="s">
        <v>1396</v>
      </c>
      <c r="T8" s="35" t="s">
        <v>1397</v>
      </c>
      <c r="V8" s="35" t="s">
        <v>1243</v>
      </c>
      <c r="W8" s="41"/>
      <c r="X8" s="41" t="s">
        <v>1398</v>
      </c>
    </row>
    <row r="9" spans="1:28" ht="15" x14ac:dyDescent="0.2">
      <c r="A9" s="42" t="s">
        <v>1399</v>
      </c>
      <c r="B9" s="42" t="s">
        <v>1400</v>
      </c>
      <c r="C9" s="42" t="s">
        <v>1401</v>
      </c>
      <c r="D9" s="42" t="s">
        <v>1402</v>
      </c>
      <c r="E9" s="50" t="s">
        <v>1403</v>
      </c>
      <c r="F9" s="52">
        <v>9480826552</v>
      </c>
      <c r="G9" s="42"/>
      <c r="I9" s="45">
        <v>7</v>
      </c>
      <c r="J9" s="45" t="s">
        <v>4</v>
      </c>
      <c r="L9" s="45" t="s">
        <v>1404</v>
      </c>
      <c r="P9" s="35" t="s">
        <v>192</v>
      </c>
      <c r="T9" s="35" t="s">
        <v>1405</v>
      </c>
      <c r="V9" s="41" t="s">
        <v>1406</v>
      </c>
      <c r="W9" s="41"/>
      <c r="X9" s="41" t="s">
        <v>1407</v>
      </c>
    </row>
    <row r="10" spans="1:28" ht="15" x14ac:dyDescent="0.2">
      <c r="A10" s="42" t="s">
        <v>1369</v>
      </c>
      <c r="B10" s="42" t="s">
        <v>1370</v>
      </c>
      <c r="C10" s="42" t="s">
        <v>1408</v>
      </c>
      <c r="D10" s="42" t="s">
        <v>1409</v>
      </c>
      <c r="E10" s="50" t="s">
        <v>1410</v>
      </c>
      <c r="F10" s="52">
        <v>8489387537</v>
      </c>
      <c r="G10" s="42"/>
      <c r="I10" s="45">
        <v>8</v>
      </c>
      <c r="J10" s="45" t="s">
        <v>11</v>
      </c>
      <c r="L10" s="45" t="s">
        <v>1411</v>
      </c>
      <c r="P10" s="35" t="s">
        <v>182</v>
      </c>
      <c r="V10" s="35" t="s">
        <v>1412</v>
      </c>
      <c r="W10" s="41"/>
      <c r="X10" s="41" t="s">
        <v>1413</v>
      </c>
    </row>
    <row r="11" spans="1:28" ht="15" x14ac:dyDescent="0.2">
      <c r="A11" s="42" t="s">
        <v>1369</v>
      </c>
      <c r="B11" s="42" t="s">
        <v>1400</v>
      </c>
      <c r="C11" s="42" t="s">
        <v>1414</v>
      </c>
      <c r="D11" s="42" t="s">
        <v>1415</v>
      </c>
      <c r="E11" s="50" t="s">
        <v>1416</v>
      </c>
      <c r="F11" s="51" t="s">
        <v>1417</v>
      </c>
      <c r="G11" s="42"/>
      <c r="I11" s="45">
        <v>9</v>
      </c>
      <c r="J11" s="45" t="s">
        <v>4</v>
      </c>
      <c r="V11" s="41" t="s">
        <v>1418</v>
      </c>
      <c r="W11" s="41"/>
      <c r="X11" s="41" t="s">
        <v>1419</v>
      </c>
    </row>
    <row r="12" spans="1:28" ht="15" x14ac:dyDescent="0.2">
      <c r="A12" s="42" t="s">
        <v>1369</v>
      </c>
      <c r="B12" s="42" t="s">
        <v>1370</v>
      </c>
      <c r="C12" s="42" t="s">
        <v>1420</v>
      </c>
      <c r="D12" s="42" t="s">
        <v>1421</v>
      </c>
      <c r="E12" s="48" t="s">
        <v>1422</v>
      </c>
      <c r="F12" s="52">
        <v>8500055554</v>
      </c>
      <c r="G12" s="42"/>
      <c r="I12" s="45">
        <v>10</v>
      </c>
      <c r="J12" s="45" t="s">
        <v>168</v>
      </c>
      <c r="V12" s="41" t="s">
        <v>1423</v>
      </c>
      <c r="W12" s="41"/>
      <c r="X12" s="41" t="s">
        <v>1424</v>
      </c>
    </row>
    <row r="13" spans="1:28" ht="16" thickBot="1" x14ac:dyDescent="0.25">
      <c r="A13" s="42" t="s">
        <v>1369</v>
      </c>
      <c r="B13" s="42" t="s">
        <v>1370</v>
      </c>
      <c r="C13" s="42" t="s">
        <v>1425</v>
      </c>
      <c r="D13" s="42" t="s">
        <v>1426</v>
      </c>
      <c r="E13" s="48" t="s">
        <v>1427</v>
      </c>
      <c r="F13" s="52">
        <v>8754571103</v>
      </c>
      <c r="G13" s="42"/>
      <c r="I13" s="35">
        <v>11</v>
      </c>
      <c r="J13" s="35" t="s">
        <v>6</v>
      </c>
      <c r="V13" s="41" t="s">
        <v>1428</v>
      </c>
      <c r="W13" s="41"/>
      <c r="X13" s="41" t="s">
        <v>1065</v>
      </c>
    </row>
    <row r="14" spans="1:28" ht="15.75" customHeight="1" thickBot="1" x14ac:dyDescent="0.25">
      <c r="A14" s="42" t="s">
        <v>1369</v>
      </c>
      <c r="B14" s="42" t="s">
        <v>1370</v>
      </c>
      <c r="C14" s="42" t="s">
        <v>417</v>
      </c>
      <c r="D14" s="42" t="s">
        <v>1429</v>
      </c>
      <c r="E14" s="43" t="s">
        <v>1430</v>
      </c>
      <c r="F14" s="51">
        <v>9176988338</v>
      </c>
      <c r="G14" s="42"/>
      <c r="I14" s="35">
        <v>12</v>
      </c>
      <c r="J14" s="35" t="s">
        <v>188</v>
      </c>
      <c r="V14" s="41" t="s">
        <v>1431</v>
      </c>
      <c r="W14" s="41"/>
      <c r="X14" s="41"/>
    </row>
    <row r="15" spans="1:28" ht="15.75" customHeight="1" x14ac:dyDescent="0.2">
      <c r="A15" s="42" t="s">
        <v>1369</v>
      </c>
      <c r="B15" s="42" t="s">
        <v>1370</v>
      </c>
      <c r="C15" s="42" t="s">
        <v>171</v>
      </c>
      <c r="D15" s="42" t="s">
        <v>1432</v>
      </c>
      <c r="E15" s="48" t="s">
        <v>1433</v>
      </c>
      <c r="F15" s="51">
        <v>9566775861</v>
      </c>
      <c r="G15" s="42"/>
      <c r="V15" s="41" t="s">
        <v>934</v>
      </c>
      <c r="W15" s="41"/>
      <c r="X15" s="41"/>
    </row>
    <row r="16" spans="1:28" ht="15.75" customHeight="1" x14ac:dyDescent="0.2">
      <c r="A16" s="42" t="s">
        <v>1369</v>
      </c>
      <c r="B16" s="42" t="s">
        <v>1370</v>
      </c>
      <c r="C16" s="42" t="s">
        <v>1434</v>
      </c>
      <c r="D16" s="42" t="s">
        <v>1384</v>
      </c>
      <c r="E16" s="53" t="s">
        <v>1435</v>
      </c>
      <c r="F16" s="54">
        <v>9159263418</v>
      </c>
      <c r="G16" s="42"/>
      <c r="V16" s="41" t="s">
        <v>1436</v>
      </c>
      <c r="W16" s="41"/>
      <c r="X16" s="41"/>
    </row>
    <row r="17" spans="1:24" ht="15.75" customHeight="1" x14ac:dyDescent="0.2">
      <c r="A17" s="42" t="s">
        <v>1399</v>
      </c>
      <c r="B17" s="42" t="s">
        <v>1400</v>
      </c>
      <c r="C17" s="42" t="s">
        <v>1437</v>
      </c>
      <c r="D17" s="42" t="s">
        <v>1438</v>
      </c>
      <c r="E17" s="50" t="s">
        <v>1439</v>
      </c>
      <c r="F17" s="52">
        <v>9445670835</v>
      </c>
      <c r="G17" s="42"/>
      <c r="V17" s="41" t="s">
        <v>1440</v>
      </c>
      <c r="W17" s="41"/>
      <c r="X17" s="41"/>
    </row>
    <row r="18" spans="1:24" ht="15" x14ac:dyDescent="0.2">
      <c r="A18" s="42" t="s">
        <v>1369</v>
      </c>
      <c r="B18" s="42" t="s">
        <v>1400</v>
      </c>
      <c r="C18" s="42" t="s">
        <v>1441</v>
      </c>
      <c r="D18" s="42" t="s">
        <v>1442</v>
      </c>
      <c r="E18" s="55" t="s">
        <v>1443</v>
      </c>
      <c r="F18" s="52">
        <v>9884668789</v>
      </c>
      <c r="G18" s="42"/>
      <c r="V18" s="41" t="s">
        <v>1256</v>
      </c>
      <c r="W18" s="41"/>
      <c r="X18" s="41"/>
    </row>
    <row r="19" spans="1:24" ht="15" x14ac:dyDescent="0.2">
      <c r="A19" s="42" t="s">
        <v>1369</v>
      </c>
      <c r="B19" s="42" t="s">
        <v>1444</v>
      </c>
      <c r="C19" s="42" t="s">
        <v>1445</v>
      </c>
      <c r="D19" s="42" t="s">
        <v>1444</v>
      </c>
      <c r="E19" s="53"/>
      <c r="F19" s="44"/>
      <c r="G19" s="42"/>
      <c r="V19" s="41" t="s">
        <v>1446</v>
      </c>
      <c r="W19" s="41"/>
      <c r="X19" s="41"/>
    </row>
    <row r="20" spans="1:24" ht="15" x14ac:dyDescent="0.2">
      <c r="A20" s="42" t="s">
        <v>1369</v>
      </c>
      <c r="B20" s="42" t="s">
        <v>1444</v>
      </c>
      <c r="C20" s="42" t="s">
        <v>1447</v>
      </c>
      <c r="D20" s="42" t="s">
        <v>1444</v>
      </c>
      <c r="E20" s="55"/>
      <c r="F20" s="44"/>
      <c r="G20" s="42"/>
      <c r="V20" s="41" t="s">
        <v>1448</v>
      </c>
      <c r="W20" s="41"/>
      <c r="X20" s="41"/>
    </row>
    <row r="21" spans="1:24" ht="14" x14ac:dyDescent="0.2">
      <c r="A21" s="42" t="s">
        <v>1369</v>
      </c>
      <c r="B21" s="42" t="s">
        <v>1449</v>
      </c>
      <c r="C21" s="42" t="s">
        <v>1450</v>
      </c>
      <c r="D21" s="42" t="s">
        <v>1449</v>
      </c>
      <c r="E21" s="55"/>
      <c r="F21" s="44"/>
      <c r="G21" s="42"/>
      <c r="V21" s="35" t="s">
        <v>1451</v>
      </c>
      <c r="X21" s="45"/>
    </row>
    <row r="22" spans="1:24" ht="14" x14ac:dyDescent="0.2">
      <c r="A22" s="42" t="s">
        <v>1369</v>
      </c>
      <c r="B22" s="42" t="s">
        <v>1452</v>
      </c>
      <c r="C22" s="42" t="s">
        <v>1453</v>
      </c>
      <c r="D22" s="42" t="s">
        <v>1452</v>
      </c>
      <c r="E22" s="55"/>
      <c r="F22" s="52"/>
      <c r="G22" s="42"/>
      <c r="V22" s="35" t="s">
        <v>1454</v>
      </c>
      <c r="X22" s="45"/>
    </row>
    <row r="23" spans="1:24" ht="14" x14ac:dyDescent="0.2">
      <c r="A23" s="42" t="s">
        <v>1369</v>
      </c>
      <c r="B23" s="42" t="s">
        <v>1452</v>
      </c>
      <c r="C23" s="42" t="s">
        <v>1455</v>
      </c>
      <c r="D23" s="42" t="s">
        <v>1452</v>
      </c>
      <c r="E23" s="55"/>
      <c r="F23" s="52"/>
      <c r="G23" s="42"/>
      <c r="V23" s="35" t="s">
        <v>1456</v>
      </c>
      <c r="X23" s="45"/>
    </row>
    <row r="24" spans="1:24" ht="15.75" customHeight="1" x14ac:dyDescent="0.2">
      <c r="A24" s="42" t="s">
        <v>1369</v>
      </c>
      <c r="B24" s="42" t="s">
        <v>1457</v>
      </c>
      <c r="C24" s="42" t="s">
        <v>1458</v>
      </c>
      <c r="D24" s="42" t="s">
        <v>1457</v>
      </c>
      <c r="E24" s="55"/>
      <c r="F24" s="44"/>
      <c r="G24" s="42"/>
      <c r="V24" s="35" t="s">
        <v>1459</v>
      </c>
    </row>
    <row r="25" spans="1:24" ht="15.75" customHeight="1" x14ac:dyDescent="0.2">
      <c r="A25" s="42" t="s">
        <v>1369</v>
      </c>
      <c r="B25" s="42" t="s">
        <v>1460</v>
      </c>
      <c r="C25" s="42" t="s">
        <v>1461</v>
      </c>
      <c r="D25" s="42" t="s">
        <v>1460</v>
      </c>
      <c r="E25" s="55"/>
      <c r="F25" s="44"/>
      <c r="G25" s="42"/>
    </row>
    <row r="26" spans="1:24" ht="15.75" customHeight="1" x14ac:dyDescent="0.2">
      <c r="A26" s="42" t="s">
        <v>1369</v>
      </c>
      <c r="B26" s="42" t="s">
        <v>1460</v>
      </c>
      <c r="C26" s="42" t="s">
        <v>1462</v>
      </c>
      <c r="D26" s="42" t="s">
        <v>1460</v>
      </c>
      <c r="E26" s="55"/>
      <c r="F26" s="52"/>
      <c r="G26" s="42"/>
    </row>
    <row r="27" spans="1:24" ht="15.75" customHeight="1" x14ac:dyDescent="0.2">
      <c r="A27" s="42" t="s">
        <v>1369</v>
      </c>
      <c r="B27" s="42" t="s">
        <v>1460</v>
      </c>
      <c r="C27" s="42" t="s">
        <v>1463</v>
      </c>
      <c r="D27" s="42" t="s">
        <v>1460</v>
      </c>
      <c r="E27" s="55"/>
      <c r="F27" s="52"/>
      <c r="G27" s="42"/>
    </row>
    <row r="28" spans="1:24" ht="15.75" customHeight="1" x14ac:dyDescent="0.2">
      <c r="A28" s="42" t="s">
        <v>1369</v>
      </c>
      <c r="B28" s="42" t="s">
        <v>1460</v>
      </c>
      <c r="C28" s="42" t="s">
        <v>1464</v>
      </c>
      <c r="D28" s="42" t="s">
        <v>1460</v>
      </c>
      <c r="E28" s="55"/>
      <c r="F28" s="52"/>
      <c r="G28" s="42"/>
    </row>
    <row r="29" spans="1:24" ht="15.75" customHeight="1" x14ac:dyDescent="0.2">
      <c r="A29" s="42" t="s">
        <v>1369</v>
      </c>
      <c r="B29" s="42" t="s">
        <v>1460</v>
      </c>
      <c r="C29" s="42" t="s">
        <v>1465</v>
      </c>
      <c r="D29" s="42" t="s">
        <v>1460</v>
      </c>
      <c r="E29" s="55"/>
      <c r="F29" s="52"/>
      <c r="G29" s="42"/>
    </row>
    <row r="30" spans="1:24" ht="15.75" customHeight="1" x14ac:dyDescent="0.2">
      <c r="A30" s="42" t="s">
        <v>1369</v>
      </c>
      <c r="B30" s="42" t="s">
        <v>1460</v>
      </c>
      <c r="C30" s="42" t="s">
        <v>1466</v>
      </c>
      <c r="D30" s="42" t="s">
        <v>1460</v>
      </c>
      <c r="E30" s="55"/>
      <c r="F30" s="52"/>
      <c r="G30" s="42"/>
    </row>
    <row r="31" spans="1:24" ht="15.75" customHeight="1" x14ac:dyDescent="0.2">
      <c r="A31" s="42"/>
      <c r="B31" s="42"/>
      <c r="C31" s="42"/>
      <c r="D31" s="42"/>
      <c r="E31" s="55"/>
      <c r="F31" s="52"/>
      <c r="G31" s="42"/>
    </row>
    <row r="32" spans="1:24" ht="15.75" customHeight="1" x14ac:dyDescent="0.2">
      <c r="A32" s="42"/>
      <c r="B32" s="42"/>
      <c r="C32" s="42"/>
      <c r="D32" s="42"/>
      <c r="E32" s="55"/>
      <c r="F32" s="52"/>
      <c r="G32" s="42"/>
    </row>
    <row r="33" spans="1:7" ht="15.75" customHeight="1" x14ac:dyDescent="0.2">
      <c r="A33" s="42"/>
      <c r="B33" s="42"/>
      <c r="C33" s="42"/>
      <c r="D33" s="42"/>
      <c r="E33" s="55"/>
      <c r="F33" s="52"/>
      <c r="G33" s="42"/>
    </row>
    <row r="37" spans="1:7" ht="14" x14ac:dyDescent="0.2"/>
    <row r="38" spans="1:7" ht="14" x14ac:dyDescent="0.2"/>
    <row r="39" spans="1:7" ht="14" x14ac:dyDescent="0.2"/>
    <row r="40" spans="1:7" ht="14" x14ac:dyDescent="0.2"/>
    <row r="41" spans="1:7" ht="14" x14ac:dyDescent="0.2"/>
    <row r="42" spans="1:7" ht="14" x14ac:dyDescent="0.2"/>
  </sheetData>
  <sheetProtection selectLockedCells="1" selectUnlockedCells="1"/>
  <autoFilter ref="A2:G25" xr:uid="{00000000-0001-0000-0500-000000000000}">
    <sortState xmlns:xlrd2="http://schemas.microsoft.com/office/spreadsheetml/2017/richdata2" ref="A3:G25">
      <sortCondition ref="C2:C25"/>
    </sortState>
  </autoFilter>
  <hyperlinks>
    <hyperlink ref="E10" r:id="rId1" display="mailto:monishaS@tnifmc.com" xr:uid="{CD78390B-3DCD-4448-885B-98E3F9478FA9}"/>
    <hyperlink ref="E7" r:id="rId2" xr:uid="{251E6BD8-2EBB-4DB6-92D9-AC5589C5C705}"/>
    <hyperlink ref="E15" r:id="rId3" display="mailto:SSatish@tnifmc.com" xr:uid="{E60036E5-30F9-4E34-B97F-31C39A070B92}"/>
    <hyperlink ref="E4" r:id="rId4" display="mailto:gana.sk@tnifmc.com" xr:uid="{8E94B228-C11B-43A7-904F-DCC29ACFF1F7}"/>
    <hyperlink ref="E3" r:id="rId5" display="mailto:prashanthi.j@tnifmc.com" xr:uid="{9C414669-A733-4A69-9622-B6199B14A838}"/>
    <hyperlink ref="E17" r:id="rId6" xr:uid="{125736F9-4D92-4E11-8304-2451F44CF9E6}"/>
    <hyperlink ref="E9" r:id="rId7" xr:uid="{BEAC6368-D5EF-4FB0-98CA-9B4F5C8747EE}"/>
    <hyperlink ref="E5" r:id="rId8" xr:uid="{42D9F8E5-3484-4D09-B545-4E90805AC5CE}"/>
    <hyperlink ref="E13" r:id="rId9" xr:uid="{05456B70-2C88-46BC-92A8-7A345296589A}"/>
    <hyperlink ref="E12" r:id="rId10" xr:uid="{8E10AF3F-E700-4E9B-94C8-C03E97909EB0}"/>
    <hyperlink ref="E14" r:id="rId11" xr:uid="{33376D6A-B113-4457-90E9-3F077E970EE7}"/>
    <hyperlink ref="E16" r:id="rId12" xr:uid="{AF00BF8E-06CA-4E63-ABB2-325101CC765D}"/>
    <hyperlink ref="E6" r:id="rId13" xr:uid="{CD0D2642-D102-441C-92D8-CE7CB2CB13DD}"/>
    <hyperlink ref="E8" r:id="rId14" xr:uid="{7068458C-42A7-48BA-89A8-2E46DACD6F4A}"/>
    <hyperlink ref="E18" r:id="rId15" xr:uid="{C8D9A136-4FF8-4A10-8578-1E76F9FE885B}"/>
    <hyperlink ref="E11" r:id="rId16" xr:uid="{FF74C9CA-3E2D-4EB6-BB9E-350DE6A88A67}"/>
  </hyperlinks>
  <pageMargins left="0.7" right="0.7" top="0.75" bottom="0.75" header="0.3" footer="0.3"/>
  <pageSetup paperSize="9" orientation="portrait" verticalDpi="0" r:id="rId1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6D6F-CF54-4CA7-9569-6A36ACDC3394}">
  <sheetPr codeName="Sheet9"/>
  <dimension ref="B4:K453"/>
  <sheetViews>
    <sheetView topLeftCell="B1" zoomScaleNormal="100" workbookViewId="0">
      <selection activeCell="F53" sqref="F53:F428"/>
    </sheetView>
  </sheetViews>
  <sheetFormatPr baseColWidth="10" defaultColWidth="8.83203125" defaultRowHeight="13" x14ac:dyDescent="0.15"/>
  <cols>
    <col min="2" max="2" width="24.33203125" customWidth="1"/>
    <col min="5" max="5" width="55.33203125" bestFit="1" customWidth="1"/>
    <col min="6" max="6" width="28.33203125" bestFit="1" customWidth="1"/>
    <col min="7" max="7" width="11.6640625" bestFit="1" customWidth="1"/>
    <col min="9" max="9" width="10.6640625" bestFit="1" customWidth="1"/>
  </cols>
  <sheetData>
    <row r="4" spans="2:11" x14ac:dyDescent="0.15">
      <c r="B4" s="3" t="s">
        <v>1467</v>
      </c>
    </row>
    <row r="5" spans="2:11" x14ac:dyDescent="0.15">
      <c r="B5" t="s">
        <v>60</v>
      </c>
      <c r="E5" s="3" t="s">
        <v>1468</v>
      </c>
      <c r="G5" s="3" t="s">
        <v>1469</v>
      </c>
      <c r="I5" s="3" t="s">
        <v>1470</v>
      </c>
      <c r="K5" s="3" t="s">
        <v>1471</v>
      </c>
    </row>
    <row r="6" spans="2:11" ht="15" x14ac:dyDescent="0.2">
      <c r="B6" s="17" t="s">
        <v>84</v>
      </c>
      <c r="E6" s="1" t="s">
        <v>1472</v>
      </c>
      <c r="G6" t="s">
        <v>1473</v>
      </c>
    </row>
    <row r="7" spans="2:11" ht="15" x14ac:dyDescent="0.2">
      <c r="B7" s="17" t="s">
        <v>1474</v>
      </c>
      <c r="E7" s="1" t="s">
        <v>1475</v>
      </c>
      <c r="I7" t="s">
        <v>1476</v>
      </c>
    </row>
    <row r="8" spans="2:11" ht="15" x14ac:dyDescent="0.2">
      <c r="B8" s="17" t="s">
        <v>281</v>
      </c>
      <c r="E8" s="1" t="s">
        <v>1477</v>
      </c>
      <c r="I8" t="s">
        <v>108</v>
      </c>
    </row>
    <row r="9" spans="2:11" ht="15" x14ac:dyDescent="0.2">
      <c r="B9" s="17" t="s">
        <v>1478</v>
      </c>
      <c r="E9" s="1" t="s">
        <v>1479</v>
      </c>
      <c r="I9" s="2" t="s">
        <v>57</v>
      </c>
    </row>
    <row r="10" spans="2:11" ht="15" x14ac:dyDescent="0.2">
      <c r="B10" s="17" t="s">
        <v>293</v>
      </c>
      <c r="E10" s="1" t="s">
        <v>1480</v>
      </c>
      <c r="I10" s="2" t="s">
        <v>224</v>
      </c>
    </row>
    <row r="11" spans="2:11" ht="15" x14ac:dyDescent="0.2">
      <c r="B11" s="17" t="s">
        <v>1478</v>
      </c>
      <c r="E11" s="1" t="s">
        <v>1481</v>
      </c>
    </row>
    <row r="12" spans="2:11" x14ac:dyDescent="0.15">
      <c r="B12" t="s">
        <v>1482</v>
      </c>
      <c r="E12" s="1" t="s">
        <v>1483</v>
      </c>
    </row>
    <row r="13" spans="2:11" x14ac:dyDescent="0.15">
      <c r="B13" s="2" t="s">
        <v>1484</v>
      </c>
      <c r="E13" s="1" t="s">
        <v>1485</v>
      </c>
    </row>
    <row r="14" spans="2:11" x14ac:dyDescent="0.15">
      <c r="B14" t="s">
        <v>70</v>
      </c>
      <c r="E14" s="1" t="s">
        <v>1486</v>
      </c>
    </row>
    <row r="15" spans="2:11" x14ac:dyDescent="0.15">
      <c r="B15" t="s">
        <v>71</v>
      </c>
      <c r="E15" s="1" t="s">
        <v>1487</v>
      </c>
    </row>
    <row r="16" spans="2:11" x14ac:dyDescent="0.15">
      <c r="B16" t="s">
        <v>72</v>
      </c>
      <c r="E16" s="1" t="s">
        <v>1488</v>
      </c>
    </row>
    <row r="17" spans="2:6" x14ac:dyDescent="0.15">
      <c r="B17" t="s">
        <v>73</v>
      </c>
      <c r="E17" s="1" t="s">
        <v>1489</v>
      </c>
    </row>
    <row r="18" spans="2:6" x14ac:dyDescent="0.15">
      <c r="B18" t="s">
        <v>74</v>
      </c>
      <c r="E18" s="1" t="s">
        <v>1490</v>
      </c>
    </row>
    <row r="19" spans="2:6" x14ac:dyDescent="0.15">
      <c r="B19" t="s">
        <v>75</v>
      </c>
      <c r="E19" s="1" t="s">
        <v>1150</v>
      </c>
    </row>
    <row r="20" spans="2:6" x14ac:dyDescent="0.15">
      <c r="B20" t="s">
        <v>76</v>
      </c>
      <c r="E20" s="1" t="s">
        <v>1491</v>
      </c>
    </row>
    <row r="21" spans="2:6" x14ac:dyDescent="0.15">
      <c r="B21" t="s">
        <v>77</v>
      </c>
      <c r="E21" s="1" t="s">
        <v>1492</v>
      </c>
    </row>
    <row r="22" spans="2:6" x14ac:dyDescent="0.15">
      <c r="B22" t="s">
        <v>78</v>
      </c>
      <c r="E22" s="1" t="s">
        <v>1493</v>
      </c>
    </row>
    <row r="23" spans="2:6" x14ac:dyDescent="0.15">
      <c r="B23" s="2" t="s">
        <v>59</v>
      </c>
      <c r="E23" s="1" t="s">
        <v>1494</v>
      </c>
    </row>
    <row r="24" spans="2:6" x14ac:dyDescent="0.15">
      <c r="B24" s="2" t="s">
        <v>117</v>
      </c>
      <c r="E24" s="1" t="s">
        <v>1495</v>
      </c>
    </row>
    <row r="25" spans="2:6" x14ac:dyDescent="0.15">
      <c r="B25" s="2" t="s">
        <v>1496</v>
      </c>
      <c r="E25" s="1" t="s">
        <v>1497</v>
      </c>
    </row>
    <row r="26" spans="2:6" x14ac:dyDescent="0.15">
      <c r="B26" s="2" t="s">
        <v>82</v>
      </c>
      <c r="E26" s="1" t="s">
        <v>1498</v>
      </c>
      <c r="F26" s="2" t="s">
        <v>1499</v>
      </c>
    </row>
    <row r="27" spans="2:6" x14ac:dyDescent="0.15">
      <c r="E27" s="1" t="s">
        <v>1500</v>
      </c>
      <c r="F27" s="2" t="s">
        <v>1501</v>
      </c>
    </row>
    <row r="28" spans="2:6" x14ac:dyDescent="0.15">
      <c r="E28" s="1" t="s">
        <v>1502</v>
      </c>
      <c r="F28" s="2" t="s">
        <v>1503</v>
      </c>
    </row>
    <row r="29" spans="2:6" x14ac:dyDescent="0.15">
      <c r="E29" s="1" t="s">
        <v>1504</v>
      </c>
      <c r="F29" s="2" t="s">
        <v>1505</v>
      </c>
    </row>
    <row r="30" spans="2:6" x14ac:dyDescent="0.15">
      <c r="E30" s="1" t="s">
        <v>1506</v>
      </c>
      <c r="F30" s="2" t="s">
        <v>1507</v>
      </c>
    </row>
    <row r="31" spans="2:6" x14ac:dyDescent="0.15">
      <c r="E31" s="1" t="s">
        <v>1508</v>
      </c>
      <c r="F31" s="2" t="s">
        <v>1509</v>
      </c>
    </row>
    <row r="32" spans="2:6" x14ac:dyDescent="0.15">
      <c r="E32" s="1" t="s">
        <v>1510</v>
      </c>
      <c r="F32" s="2" t="s">
        <v>1511</v>
      </c>
    </row>
    <row r="33" spans="5:6" x14ac:dyDescent="0.15">
      <c r="E33" s="66" t="s">
        <v>1512</v>
      </c>
      <c r="F33" s="66" t="s">
        <v>1513</v>
      </c>
    </row>
    <row r="38" spans="5:6" ht="28" x14ac:dyDescent="0.15">
      <c r="E38" s="67" t="s">
        <v>1514</v>
      </c>
    </row>
    <row r="39" spans="5:6" x14ac:dyDescent="0.15">
      <c r="E39" t="s">
        <v>1515</v>
      </c>
    </row>
    <row r="53" spans="6:6" x14ac:dyDescent="0.15">
      <c r="F53" s="100" t="s">
        <v>436</v>
      </c>
    </row>
    <row r="54" spans="6:6" x14ac:dyDescent="0.15">
      <c r="F54" s="100" t="s">
        <v>438</v>
      </c>
    </row>
    <row r="55" spans="6:6" x14ac:dyDescent="0.15">
      <c r="F55" s="100" t="s">
        <v>354</v>
      </c>
    </row>
    <row r="56" spans="6:6" x14ac:dyDescent="0.15">
      <c r="F56" s="100" t="s">
        <v>1516</v>
      </c>
    </row>
    <row r="57" spans="6:6" x14ac:dyDescent="0.15">
      <c r="F57" s="100" t="s">
        <v>440</v>
      </c>
    </row>
    <row r="58" spans="6:6" ht="15" x14ac:dyDescent="0.15">
      <c r="F58" s="78" t="s">
        <v>93</v>
      </c>
    </row>
    <row r="59" spans="6:6" x14ac:dyDescent="0.15">
      <c r="F59" s="100" t="s">
        <v>442</v>
      </c>
    </row>
    <row r="60" spans="6:6" x14ac:dyDescent="0.15">
      <c r="F60" s="100" t="s">
        <v>1517</v>
      </c>
    </row>
    <row r="61" spans="6:6" x14ac:dyDescent="0.15">
      <c r="F61" s="100" t="s">
        <v>444</v>
      </c>
    </row>
    <row r="62" spans="6:6" x14ac:dyDescent="0.15">
      <c r="F62" s="100" t="s">
        <v>1399</v>
      </c>
    </row>
    <row r="63" spans="6:6" x14ac:dyDescent="0.15">
      <c r="F63" s="100" t="s">
        <v>251</v>
      </c>
    </row>
    <row r="64" spans="6:6" x14ac:dyDescent="0.15">
      <c r="F64" s="100" t="s">
        <v>446</v>
      </c>
    </row>
    <row r="65" spans="6:6" x14ac:dyDescent="0.15">
      <c r="F65" s="100" t="s">
        <v>448</v>
      </c>
    </row>
    <row r="66" spans="6:6" x14ac:dyDescent="0.15">
      <c r="F66" s="100" t="s">
        <v>450</v>
      </c>
    </row>
    <row r="67" spans="6:6" ht="15" x14ac:dyDescent="0.15">
      <c r="F67" s="78" t="s">
        <v>54</v>
      </c>
    </row>
    <row r="68" spans="6:6" x14ac:dyDescent="0.15">
      <c r="F68" s="100" t="s">
        <v>358</v>
      </c>
    </row>
    <row r="69" spans="6:6" x14ac:dyDescent="0.15">
      <c r="F69" s="100" t="s">
        <v>452</v>
      </c>
    </row>
    <row r="70" spans="6:6" x14ac:dyDescent="0.15">
      <c r="F70" s="100" t="s">
        <v>454</v>
      </c>
    </row>
    <row r="71" spans="6:6" x14ac:dyDescent="0.15">
      <c r="F71" s="100" t="s">
        <v>456</v>
      </c>
    </row>
    <row r="72" spans="6:6" x14ac:dyDescent="0.15">
      <c r="F72" s="100" t="s">
        <v>458</v>
      </c>
    </row>
    <row r="73" spans="6:6" ht="15" x14ac:dyDescent="0.15">
      <c r="F73" s="78" t="s">
        <v>94</v>
      </c>
    </row>
    <row r="74" spans="6:6" x14ac:dyDescent="0.15">
      <c r="F74" s="100" t="s">
        <v>361</v>
      </c>
    </row>
    <row r="75" spans="6:6" x14ac:dyDescent="0.15">
      <c r="F75" s="100" t="s">
        <v>460</v>
      </c>
    </row>
    <row r="76" spans="6:6" x14ac:dyDescent="0.15">
      <c r="F76" s="100" t="s">
        <v>255</v>
      </c>
    </row>
    <row r="77" spans="6:6" ht="30" x14ac:dyDescent="0.15">
      <c r="F77" s="78" t="s">
        <v>95</v>
      </c>
    </row>
    <row r="78" spans="6:6" x14ac:dyDescent="0.15">
      <c r="F78" s="100" t="s">
        <v>463</v>
      </c>
    </row>
    <row r="79" spans="6:6" x14ac:dyDescent="0.15">
      <c r="F79" s="100" t="s">
        <v>465</v>
      </c>
    </row>
    <row r="80" spans="6:6" x14ac:dyDescent="0.15">
      <c r="F80" s="100" t="s">
        <v>467</v>
      </c>
    </row>
    <row r="81" spans="6:6" x14ac:dyDescent="0.15">
      <c r="F81" s="100" t="s">
        <v>469</v>
      </c>
    </row>
    <row r="82" spans="6:6" x14ac:dyDescent="0.15">
      <c r="F82" s="100" t="s">
        <v>471</v>
      </c>
    </row>
    <row r="83" spans="6:6" x14ac:dyDescent="0.15">
      <c r="F83" s="100" t="s">
        <v>473</v>
      </c>
    </row>
    <row r="84" spans="6:6" x14ac:dyDescent="0.15">
      <c r="F84" s="100" t="s">
        <v>475</v>
      </c>
    </row>
    <row r="85" spans="6:6" ht="15" x14ac:dyDescent="0.15">
      <c r="F85" s="78" t="s">
        <v>96</v>
      </c>
    </row>
    <row r="86" spans="6:6" x14ac:dyDescent="0.15">
      <c r="F86" s="100" t="s">
        <v>364</v>
      </c>
    </row>
    <row r="87" spans="6:6" x14ac:dyDescent="0.15">
      <c r="F87" s="100" t="s">
        <v>477</v>
      </c>
    </row>
    <row r="88" spans="6:6" x14ac:dyDescent="0.15">
      <c r="F88" s="100" t="s">
        <v>479</v>
      </c>
    </row>
    <row r="89" spans="6:6" x14ac:dyDescent="0.15">
      <c r="F89" s="100" t="s">
        <v>481</v>
      </c>
    </row>
    <row r="90" spans="6:6" x14ac:dyDescent="0.15">
      <c r="F90" s="100" t="s">
        <v>483</v>
      </c>
    </row>
    <row r="91" spans="6:6" x14ac:dyDescent="0.15">
      <c r="F91" s="100" t="s">
        <v>485</v>
      </c>
    </row>
    <row r="92" spans="6:6" x14ac:dyDescent="0.15">
      <c r="F92" s="100" t="s">
        <v>487</v>
      </c>
    </row>
    <row r="93" spans="6:6" x14ac:dyDescent="0.15">
      <c r="F93" s="100" t="s">
        <v>489</v>
      </c>
    </row>
    <row r="94" spans="6:6" x14ac:dyDescent="0.15">
      <c r="F94" s="100" t="s">
        <v>491</v>
      </c>
    </row>
    <row r="95" spans="6:6" x14ac:dyDescent="0.15">
      <c r="F95" s="100" t="s">
        <v>493</v>
      </c>
    </row>
    <row r="96" spans="6:6" x14ac:dyDescent="0.15">
      <c r="F96" s="100" t="s">
        <v>495</v>
      </c>
    </row>
    <row r="97" spans="6:6" x14ac:dyDescent="0.15">
      <c r="F97" s="100" t="s">
        <v>497</v>
      </c>
    </row>
    <row r="98" spans="6:6" x14ac:dyDescent="0.15">
      <c r="F98" s="100" t="s">
        <v>499</v>
      </c>
    </row>
    <row r="99" spans="6:6" x14ac:dyDescent="0.15">
      <c r="F99" s="100" t="s">
        <v>501</v>
      </c>
    </row>
    <row r="100" spans="6:6" x14ac:dyDescent="0.15">
      <c r="F100" s="100" t="s">
        <v>503</v>
      </c>
    </row>
    <row r="101" spans="6:6" x14ac:dyDescent="0.15">
      <c r="F101" s="100" t="s">
        <v>505</v>
      </c>
    </row>
    <row r="102" spans="6:6" x14ac:dyDescent="0.15">
      <c r="F102" s="100" t="s">
        <v>507</v>
      </c>
    </row>
    <row r="103" spans="6:6" x14ac:dyDescent="0.15">
      <c r="F103" s="100" t="s">
        <v>509</v>
      </c>
    </row>
    <row r="104" spans="6:6" x14ac:dyDescent="0.15">
      <c r="F104" s="100" t="s">
        <v>511</v>
      </c>
    </row>
    <row r="105" spans="6:6" ht="15" x14ac:dyDescent="0.15">
      <c r="F105" s="78" t="s">
        <v>38</v>
      </c>
    </row>
    <row r="106" spans="6:6" x14ac:dyDescent="0.15">
      <c r="F106" s="100" t="s">
        <v>513</v>
      </c>
    </row>
    <row r="107" spans="6:6" x14ac:dyDescent="0.15">
      <c r="F107" s="100" t="s">
        <v>515</v>
      </c>
    </row>
    <row r="108" spans="6:6" x14ac:dyDescent="0.15">
      <c r="F108" s="100" t="s">
        <v>517</v>
      </c>
    </row>
    <row r="109" spans="6:6" x14ac:dyDescent="0.15">
      <c r="F109" s="100" t="s">
        <v>519</v>
      </c>
    </row>
    <row r="110" spans="6:6" ht="30" x14ac:dyDescent="0.15">
      <c r="F110" s="78" t="s">
        <v>367</v>
      </c>
    </row>
    <row r="111" spans="6:6" x14ac:dyDescent="0.15">
      <c r="F111" s="100" t="s">
        <v>369</v>
      </c>
    </row>
    <row r="112" spans="6:6" x14ac:dyDescent="0.15">
      <c r="F112" s="100" t="s">
        <v>521</v>
      </c>
    </row>
    <row r="113" spans="6:6" x14ac:dyDescent="0.15">
      <c r="F113" s="100" t="s">
        <v>523</v>
      </c>
    </row>
    <row r="114" spans="6:6" x14ac:dyDescent="0.15">
      <c r="F114" s="100" t="s">
        <v>98</v>
      </c>
    </row>
    <row r="115" spans="6:6" x14ac:dyDescent="0.15">
      <c r="F115" s="100" t="s">
        <v>525</v>
      </c>
    </row>
    <row r="116" spans="6:6" ht="15" x14ac:dyDescent="0.15">
      <c r="F116" s="78" t="s">
        <v>87</v>
      </c>
    </row>
    <row r="117" spans="6:6" x14ac:dyDescent="0.15">
      <c r="F117" s="100" t="s">
        <v>1518</v>
      </c>
    </row>
    <row r="118" spans="6:6" x14ac:dyDescent="0.15">
      <c r="F118" s="100" t="s">
        <v>530</v>
      </c>
    </row>
    <row r="119" spans="6:6" x14ac:dyDescent="0.15">
      <c r="F119" s="100" t="s">
        <v>532</v>
      </c>
    </row>
    <row r="120" spans="6:6" x14ac:dyDescent="0.15">
      <c r="F120" s="100" t="s">
        <v>534</v>
      </c>
    </row>
    <row r="121" spans="6:6" ht="15" x14ac:dyDescent="0.15">
      <c r="F121" s="78" t="s">
        <v>44</v>
      </c>
    </row>
    <row r="122" spans="6:6" ht="15" x14ac:dyDescent="0.15">
      <c r="F122" s="78" t="s">
        <v>99</v>
      </c>
    </row>
    <row r="123" spans="6:6" x14ac:dyDescent="0.15">
      <c r="F123" s="100" t="s">
        <v>536</v>
      </c>
    </row>
    <row r="124" spans="6:6" x14ac:dyDescent="0.15">
      <c r="F124" s="100" t="s">
        <v>538</v>
      </c>
    </row>
    <row r="125" spans="6:6" x14ac:dyDescent="0.15">
      <c r="F125" s="100" t="s">
        <v>540</v>
      </c>
    </row>
    <row r="126" spans="6:6" x14ac:dyDescent="0.15">
      <c r="F126" s="100" t="s">
        <v>542</v>
      </c>
    </row>
    <row r="127" spans="6:6" x14ac:dyDescent="0.15">
      <c r="F127" s="100" t="s">
        <v>544</v>
      </c>
    </row>
    <row r="128" spans="6:6" x14ac:dyDescent="0.15">
      <c r="F128" s="100" t="s">
        <v>546</v>
      </c>
    </row>
    <row r="129" spans="6:6" x14ac:dyDescent="0.15">
      <c r="F129" s="100" t="s">
        <v>548</v>
      </c>
    </row>
    <row r="130" spans="6:6" x14ac:dyDescent="0.15">
      <c r="F130" s="100" t="s">
        <v>46</v>
      </c>
    </row>
    <row r="131" spans="6:6" x14ac:dyDescent="0.15">
      <c r="F131" s="100" t="s">
        <v>550</v>
      </c>
    </row>
    <row r="132" spans="6:6" x14ac:dyDescent="0.15">
      <c r="F132" s="100" t="s">
        <v>552</v>
      </c>
    </row>
    <row r="133" spans="6:6" x14ac:dyDescent="0.15">
      <c r="F133" s="100" t="s">
        <v>1519</v>
      </c>
    </row>
    <row r="134" spans="6:6" x14ac:dyDescent="0.15">
      <c r="F134" s="100" t="s">
        <v>554</v>
      </c>
    </row>
    <row r="135" spans="6:6" x14ac:dyDescent="0.15">
      <c r="F135" s="100" t="s">
        <v>556</v>
      </c>
    </row>
    <row r="136" spans="6:6" x14ac:dyDescent="0.15">
      <c r="F136" s="100" t="s">
        <v>558</v>
      </c>
    </row>
    <row r="137" spans="6:6" ht="15" x14ac:dyDescent="0.15">
      <c r="F137" s="78" t="s">
        <v>100</v>
      </c>
    </row>
    <row r="138" spans="6:6" ht="15" x14ac:dyDescent="0.15">
      <c r="F138" s="78" t="s">
        <v>101</v>
      </c>
    </row>
    <row r="139" spans="6:6" x14ac:dyDescent="0.15">
      <c r="F139" s="100" t="s">
        <v>561</v>
      </c>
    </row>
    <row r="140" spans="6:6" x14ac:dyDescent="0.15">
      <c r="F140" s="100" t="s">
        <v>563</v>
      </c>
    </row>
    <row r="141" spans="6:6" x14ac:dyDescent="0.15">
      <c r="F141" s="100" t="s">
        <v>371</v>
      </c>
    </row>
    <row r="142" spans="6:6" x14ac:dyDescent="0.15">
      <c r="F142" s="100" t="s">
        <v>565</v>
      </c>
    </row>
    <row r="143" spans="6:6" x14ac:dyDescent="0.15">
      <c r="F143" s="100" t="s">
        <v>567</v>
      </c>
    </row>
    <row r="144" spans="6:6" x14ac:dyDescent="0.15">
      <c r="F144" s="100" t="s">
        <v>569</v>
      </c>
    </row>
    <row r="145" spans="6:6" x14ac:dyDescent="0.15">
      <c r="F145" s="100" t="s">
        <v>1520</v>
      </c>
    </row>
    <row r="146" spans="6:6" ht="15" x14ac:dyDescent="0.15">
      <c r="F146" s="78" t="s">
        <v>102</v>
      </c>
    </row>
    <row r="147" spans="6:6" x14ac:dyDescent="0.15">
      <c r="F147" s="100" t="s">
        <v>103</v>
      </c>
    </row>
    <row r="148" spans="6:6" x14ac:dyDescent="0.15">
      <c r="F148" s="100" t="s">
        <v>571</v>
      </c>
    </row>
    <row r="149" spans="6:6" x14ac:dyDescent="0.15">
      <c r="F149" s="100" t="s">
        <v>573</v>
      </c>
    </row>
    <row r="150" spans="6:6" x14ac:dyDescent="0.15">
      <c r="F150" s="100" t="s">
        <v>575</v>
      </c>
    </row>
    <row r="151" spans="6:6" x14ac:dyDescent="0.15">
      <c r="F151" s="100" t="s">
        <v>1521</v>
      </c>
    </row>
    <row r="152" spans="6:6" x14ac:dyDescent="0.15">
      <c r="F152" s="100" t="s">
        <v>577</v>
      </c>
    </row>
    <row r="153" spans="6:6" x14ac:dyDescent="0.15">
      <c r="F153" s="100" t="s">
        <v>579</v>
      </c>
    </row>
    <row r="154" spans="6:6" ht="15" x14ac:dyDescent="0.15">
      <c r="F154" s="78" t="s">
        <v>84</v>
      </c>
    </row>
    <row r="155" spans="6:6" x14ac:dyDescent="0.15">
      <c r="F155" s="100" t="s">
        <v>581</v>
      </c>
    </row>
    <row r="156" spans="6:6" x14ac:dyDescent="0.15">
      <c r="F156" s="100" t="s">
        <v>583</v>
      </c>
    </row>
    <row r="157" spans="6:6" x14ac:dyDescent="0.15">
      <c r="F157" s="100" t="s">
        <v>585</v>
      </c>
    </row>
    <row r="158" spans="6:6" x14ac:dyDescent="0.15">
      <c r="F158" s="100" t="s">
        <v>587</v>
      </c>
    </row>
    <row r="159" spans="6:6" x14ac:dyDescent="0.15">
      <c r="F159" s="100" t="s">
        <v>589</v>
      </c>
    </row>
    <row r="160" spans="6:6" x14ac:dyDescent="0.15">
      <c r="F160" s="100" t="s">
        <v>591</v>
      </c>
    </row>
    <row r="161" spans="6:6" ht="15" x14ac:dyDescent="0.15">
      <c r="F161" s="78" t="s">
        <v>49</v>
      </c>
    </row>
    <row r="162" spans="6:6" x14ac:dyDescent="0.15">
      <c r="F162" s="100" t="s">
        <v>593</v>
      </c>
    </row>
    <row r="163" spans="6:6" ht="15" x14ac:dyDescent="0.15">
      <c r="F163" s="78" t="s">
        <v>104</v>
      </c>
    </row>
    <row r="164" spans="6:6" x14ac:dyDescent="0.15">
      <c r="F164" s="100" t="s">
        <v>595</v>
      </c>
    </row>
    <row r="165" spans="6:6" ht="15" x14ac:dyDescent="0.15">
      <c r="F165" s="78" t="s">
        <v>105</v>
      </c>
    </row>
    <row r="166" spans="6:6" x14ac:dyDescent="0.15">
      <c r="F166" s="100" t="s">
        <v>597</v>
      </c>
    </row>
    <row r="167" spans="6:6" x14ac:dyDescent="0.15">
      <c r="F167" s="100" t="s">
        <v>205</v>
      </c>
    </row>
    <row r="168" spans="6:6" x14ac:dyDescent="0.15">
      <c r="F168" s="100" t="s">
        <v>312</v>
      </c>
    </row>
    <row r="169" spans="6:6" x14ac:dyDescent="0.15">
      <c r="F169" s="100" t="s">
        <v>599</v>
      </c>
    </row>
    <row r="170" spans="6:6" x14ac:dyDescent="0.15">
      <c r="F170" s="100" t="s">
        <v>379</v>
      </c>
    </row>
    <row r="171" spans="6:6" x14ac:dyDescent="0.15">
      <c r="F171" s="100" t="s">
        <v>601</v>
      </c>
    </row>
    <row r="172" spans="6:6" ht="15" x14ac:dyDescent="0.15">
      <c r="F172" s="78" t="s">
        <v>106</v>
      </c>
    </row>
    <row r="173" spans="6:6" x14ac:dyDescent="0.15">
      <c r="F173" s="100" t="s">
        <v>603</v>
      </c>
    </row>
    <row r="174" spans="6:6" x14ac:dyDescent="0.15">
      <c r="F174" s="100" t="s">
        <v>605</v>
      </c>
    </row>
    <row r="175" spans="6:6" x14ac:dyDescent="0.15">
      <c r="F175" s="100" t="s">
        <v>607</v>
      </c>
    </row>
    <row r="176" spans="6:6" x14ac:dyDescent="0.15">
      <c r="F176" s="100" t="s">
        <v>314</v>
      </c>
    </row>
    <row r="177" spans="6:6" x14ac:dyDescent="0.15">
      <c r="F177" s="100" t="s">
        <v>1522</v>
      </c>
    </row>
    <row r="178" spans="6:6" x14ac:dyDescent="0.15">
      <c r="F178" s="100" t="s">
        <v>609</v>
      </c>
    </row>
    <row r="179" spans="6:6" x14ac:dyDescent="0.15">
      <c r="F179" s="100" t="s">
        <v>316</v>
      </c>
    </row>
    <row r="180" spans="6:6" x14ac:dyDescent="0.15">
      <c r="F180" s="100" t="s">
        <v>611</v>
      </c>
    </row>
    <row r="181" spans="6:6" x14ac:dyDescent="0.15">
      <c r="F181" s="100" t="s">
        <v>613</v>
      </c>
    </row>
    <row r="182" spans="6:6" x14ac:dyDescent="0.15">
      <c r="F182" s="100" t="s">
        <v>615</v>
      </c>
    </row>
    <row r="183" spans="6:6" x14ac:dyDescent="0.15">
      <c r="F183" s="100" t="s">
        <v>617</v>
      </c>
    </row>
    <row r="184" spans="6:6" x14ac:dyDescent="0.15">
      <c r="F184" s="100" t="s">
        <v>619</v>
      </c>
    </row>
    <row r="185" spans="6:6" x14ac:dyDescent="0.15">
      <c r="F185" s="100" t="s">
        <v>621</v>
      </c>
    </row>
    <row r="186" spans="6:6" x14ac:dyDescent="0.15">
      <c r="F186" s="100" t="s">
        <v>623</v>
      </c>
    </row>
    <row r="187" spans="6:6" x14ac:dyDescent="0.15">
      <c r="F187" s="100" t="s">
        <v>625</v>
      </c>
    </row>
    <row r="188" spans="6:6" x14ac:dyDescent="0.15">
      <c r="F188" s="100" t="s">
        <v>627</v>
      </c>
    </row>
    <row r="189" spans="6:6" ht="15" x14ac:dyDescent="0.15">
      <c r="F189" s="78" t="s">
        <v>107</v>
      </c>
    </row>
    <row r="190" spans="6:6" x14ac:dyDescent="0.15">
      <c r="F190" s="100" t="s">
        <v>383</v>
      </c>
    </row>
    <row r="191" spans="6:6" ht="15" x14ac:dyDescent="0.15">
      <c r="F191" s="78" t="s">
        <v>108</v>
      </c>
    </row>
    <row r="192" spans="6:6" ht="15" x14ac:dyDescent="0.15">
      <c r="F192" s="78" t="s">
        <v>53</v>
      </c>
    </row>
    <row r="193" spans="6:6" x14ac:dyDescent="0.15">
      <c r="F193" s="100" t="s">
        <v>629</v>
      </c>
    </row>
    <row r="194" spans="6:6" x14ac:dyDescent="0.15">
      <c r="F194" s="100" t="s">
        <v>631</v>
      </c>
    </row>
    <row r="195" spans="6:6" x14ac:dyDescent="0.15">
      <c r="F195" s="100" t="s">
        <v>633</v>
      </c>
    </row>
    <row r="196" spans="6:6" x14ac:dyDescent="0.15">
      <c r="F196" s="100" t="s">
        <v>109</v>
      </c>
    </row>
    <row r="197" spans="6:6" x14ac:dyDescent="0.15">
      <c r="F197" s="100" t="s">
        <v>1523</v>
      </c>
    </row>
    <row r="198" spans="6:6" x14ac:dyDescent="0.15">
      <c r="F198" s="100" t="s">
        <v>636</v>
      </c>
    </row>
    <row r="199" spans="6:6" ht="30" x14ac:dyDescent="0.15">
      <c r="F199" s="78" t="s">
        <v>211</v>
      </c>
    </row>
    <row r="200" spans="6:6" x14ac:dyDescent="0.15">
      <c r="F200" s="100" t="s">
        <v>638</v>
      </c>
    </row>
    <row r="201" spans="6:6" ht="15" x14ac:dyDescent="0.15">
      <c r="F201" s="78" t="s">
        <v>86</v>
      </c>
    </row>
    <row r="202" spans="6:6" x14ac:dyDescent="0.15">
      <c r="F202" s="100" t="s">
        <v>640</v>
      </c>
    </row>
    <row r="203" spans="6:6" x14ac:dyDescent="0.15">
      <c r="F203" s="100" t="s">
        <v>642</v>
      </c>
    </row>
    <row r="204" spans="6:6" x14ac:dyDescent="0.15">
      <c r="F204" s="100" t="s">
        <v>644</v>
      </c>
    </row>
    <row r="205" spans="6:6" ht="15" x14ac:dyDescent="0.15">
      <c r="F205" s="78" t="s">
        <v>73</v>
      </c>
    </row>
    <row r="206" spans="6:6" x14ac:dyDescent="0.15">
      <c r="F206" s="100" t="s">
        <v>646</v>
      </c>
    </row>
    <row r="207" spans="6:6" x14ac:dyDescent="0.15">
      <c r="F207" s="100" t="s">
        <v>648</v>
      </c>
    </row>
    <row r="208" spans="6:6" x14ac:dyDescent="0.15">
      <c r="F208" s="100" t="s">
        <v>318</v>
      </c>
    </row>
    <row r="209" spans="6:6" x14ac:dyDescent="0.15">
      <c r="F209" s="100" t="s">
        <v>266</v>
      </c>
    </row>
    <row r="210" spans="6:6" x14ac:dyDescent="0.15">
      <c r="F210" s="100" t="s">
        <v>650</v>
      </c>
    </row>
    <row r="211" spans="6:6" x14ac:dyDescent="0.15">
      <c r="F211" s="100" t="s">
        <v>652</v>
      </c>
    </row>
    <row r="212" spans="6:6" x14ac:dyDescent="0.15">
      <c r="F212" s="100" t="s">
        <v>654</v>
      </c>
    </row>
    <row r="213" spans="6:6" x14ac:dyDescent="0.15">
      <c r="F213" s="100" t="s">
        <v>656</v>
      </c>
    </row>
    <row r="214" spans="6:6" x14ac:dyDescent="0.15">
      <c r="F214" s="100" t="s">
        <v>658</v>
      </c>
    </row>
    <row r="215" spans="6:6" x14ac:dyDescent="0.15">
      <c r="F215" s="100" t="s">
        <v>111</v>
      </c>
    </row>
    <row r="216" spans="6:6" x14ac:dyDescent="0.15">
      <c r="F216" s="100" t="s">
        <v>661</v>
      </c>
    </row>
    <row r="217" spans="6:6" x14ac:dyDescent="0.15">
      <c r="F217" s="100" t="s">
        <v>663</v>
      </c>
    </row>
    <row r="218" spans="6:6" x14ac:dyDescent="0.15">
      <c r="F218" s="100" t="s">
        <v>322</v>
      </c>
    </row>
    <row r="219" spans="6:6" x14ac:dyDescent="0.15">
      <c r="F219" s="100" t="s">
        <v>665</v>
      </c>
    </row>
    <row r="220" spans="6:6" x14ac:dyDescent="0.15">
      <c r="F220" s="100" t="s">
        <v>667</v>
      </c>
    </row>
    <row r="221" spans="6:6" x14ac:dyDescent="0.15">
      <c r="F221" s="100" t="s">
        <v>387</v>
      </c>
    </row>
    <row r="222" spans="6:6" x14ac:dyDescent="0.15">
      <c r="F222" s="100" t="s">
        <v>669</v>
      </c>
    </row>
    <row r="223" spans="6:6" x14ac:dyDescent="0.15">
      <c r="F223" s="100" t="s">
        <v>671</v>
      </c>
    </row>
    <row r="224" spans="6:6" x14ac:dyDescent="0.15">
      <c r="F224" s="100" t="s">
        <v>217</v>
      </c>
    </row>
    <row r="225" spans="6:6" x14ac:dyDescent="0.15">
      <c r="F225" s="100" t="s">
        <v>673</v>
      </c>
    </row>
    <row r="226" spans="6:6" x14ac:dyDescent="0.15">
      <c r="F226" s="100" t="s">
        <v>675</v>
      </c>
    </row>
    <row r="227" spans="6:6" x14ac:dyDescent="0.15">
      <c r="F227" s="100" t="s">
        <v>677</v>
      </c>
    </row>
    <row r="228" spans="6:6" x14ac:dyDescent="0.15">
      <c r="F228" s="100" t="s">
        <v>679</v>
      </c>
    </row>
    <row r="229" spans="6:6" x14ac:dyDescent="0.15">
      <c r="F229" s="100" t="s">
        <v>1524</v>
      </c>
    </row>
    <row r="230" spans="6:6" x14ac:dyDescent="0.15">
      <c r="F230" s="100" t="s">
        <v>681</v>
      </c>
    </row>
    <row r="231" spans="6:6" x14ac:dyDescent="0.15">
      <c r="F231" s="100" t="s">
        <v>683</v>
      </c>
    </row>
    <row r="232" spans="6:6" x14ac:dyDescent="0.15">
      <c r="F232" s="100" t="s">
        <v>268</v>
      </c>
    </row>
    <row r="233" spans="6:6" x14ac:dyDescent="0.15">
      <c r="F233" s="100" t="s">
        <v>685</v>
      </c>
    </row>
    <row r="234" spans="6:6" x14ac:dyDescent="0.15">
      <c r="F234" s="100" t="s">
        <v>687</v>
      </c>
    </row>
    <row r="235" spans="6:6" x14ac:dyDescent="0.15">
      <c r="F235" s="100" t="s">
        <v>689</v>
      </c>
    </row>
    <row r="236" spans="6:6" x14ac:dyDescent="0.15">
      <c r="F236" s="100" t="s">
        <v>691</v>
      </c>
    </row>
    <row r="237" spans="6:6" ht="15" x14ac:dyDescent="0.15">
      <c r="F237" s="78" t="s">
        <v>70</v>
      </c>
    </row>
    <row r="238" spans="6:6" x14ac:dyDescent="0.15">
      <c r="F238" s="100" t="s">
        <v>693</v>
      </c>
    </row>
    <row r="239" spans="6:6" ht="15" x14ac:dyDescent="0.15">
      <c r="F239" s="78" t="s">
        <v>41</v>
      </c>
    </row>
    <row r="240" spans="6:6" x14ac:dyDescent="0.15">
      <c r="F240" s="100" t="s">
        <v>113</v>
      </c>
    </row>
    <row r="241" spans="6:6" x14ac:dyDescent="0.15">
      <c r="F241" s="100" t="s">
        <v>695</v>
      </c>
    </row>
    <row r="242" spans="6:6" ht="15" x14ac:dyDescent="0.15">
      <c r="F242" s="78" t="s">
        <v>114</v>
      </c>
    </row>
    <row r="243" spans="6:6" x14ac:dyDescent="0.15">
      <c r="F243" s="100" t="s">
        <v>389</v>
      </c>
    </row>
    <row r="244" spans="6:6" x14ac:dyDescent="0.15">
      <c r="F244" s="100" t="s">
        <v>59</v>
      </c>
    </row>
    <row r="245" spans="6:6" x14ac:dyDescent="0.15">
      <c r="F245" s="100" t="s">
        <v>34</v>
      </c>
    </row>
    <row r="246" spans="6:6" ht="15" x14ac:dyDescent="0.15">
      <c r="F246" s="78" t="s">
        <v>72</v>
      </c>
    </row>
    <row r="247" spans="6:6" x14ac:dyDescent="0.15">
      <c r="F247" s="100" t="s">
        <v>697</v>
      </c>
    </row>
    <row r="248" spans="6:6" x14ac:dyDescent="0.15">
      <c r="F248" s="100" t="s">
        <v>60</v>
      </c>
    </row>
    <row r="249" spans="6:6" x14ac:dyDescent="0.15">
      <c r="F249" s="100" t="s">
        <v>699</v>
      </c>
    </row>
    <row r="250" spans="6:6" x14ac:dyDescent="0.15">
      <c r="F250" s="100" t="s">
        <v>701</v>
      </c>
    </row>
    <row r="251" spans="6:6" x14ac:dyDescent="0.15">
      <c r="F251" s="100" t="s">
        <v>703</v>
      </c>
    </row>
    <row r="252" spans="6:6" x14ac:dyDescent="0.15">
      <c r="F252" s="100" t="s">
        <v>392</v>
      </c>
    </row>
    <row r="253" spans="6:6" x14ac:dyDescent="0.15">
      <c r="F253" s="100" t="s">
        <v>705</v>
      </c>
    </row>
    <row r="254" spans="6:6" x14ac:dyDescent="0.15">
      <c r="F254" s="100" t="s">
        <v>707</v>
      </c>
    </row>
    <row r="255" spans="6:6" x14ac:dyDescent="0.15">
      <c r="F255" s="100" t="s">
        <v>26</v>
      </c>
    </row>
    <row r="256" spans="6:6" ht="15" x14ac:dyDescent="0.15">
      <c r="F256" s="78" t="s">
        <v>117</v>
      </c>
    </row>
    <row r="257" spans="6:6" ht="15" x14ac:dyDescent="0.15">
      <c r="F257" s="78" t="s">
        <v>118</v>
      </c>
    </row>
    <row r="258" spans="6:6" x14ac:dyDescent="0.15">
      <c r="F258" s="100" t="s">
        <v>710</v>
      </c>
    </row>
    <row r="259" spans="6:6" x14ac:dyDescent="0.15">
      <c r="F259" s="100" t="s">
        <v>119</v>
      </c>
    </row>
    <row r="260" spans="6:6" x14ac:dyDescent="0.15">
      <c r="F260" s="100" t="s">
        <v>328</v>
      </c>
    </row>
    <row r="261" spans="6:6" x14ac:dyDescent="0.15">
      <c r="F261" s="100" t="s">
        <v>1525</v>
      </c>
    </row>
    <row r="262" spans="6:6" x14ac:dyDescent="0.15">
      <c r="F262" s="100" t="s">
        <v>224</v>
      </c>
    </row>
    <row r="263" spans="6:6" x14ac:dyDescent="0.15">
      <c r="F263" s="100" t="s">
        <v>57</v>
      </c>
    </row>
    <row r="264" spans="6:6" x14ac:dyDescent="0.15">
      <c r="F264" s="100" t="s">
        <v>331</v>
      </c>
    </row>
    <row r="265" spans="6:6" x14ac:dyDescent="0.15">
      <c r="F265" s="100" t="s">
        <v>712</v>
      </c>
    </row>
    <row r="266" spans="6:6" x14ac:dyDescent="0.15">
      <c r="F266" s="100" t="s">
        <v>120</v>
      </c>
    </row>
    <row r="267" spans="6:6" x14ac:dyDescent="0.15">
      <c r="F267" s="100" t="s">
        <v>714</v>
      </c>
    </row>
    <row r="268" spans="6:6" ht="15" x14ac:dyDescent="0.15">
      <c r="F268" s="78" t="s">
        <v>121</v>
      </c>
    </row>
    <row r="269" spans="6:6" x14ac:dyDescent="0.15">
      <c r="F269" s="100" t="s">
        <v>122</v>
      </c>
    </row>
    <row r="270" spans="6:6" x14ac:dyDescent="0.15">
      <c r="F270" s="100" t="s">
        <v>716</v>
      </c>
    </row>
    <row r="271" spans="6:6" x14ac:dyDescent="0.15">
      <c r="F271" s="100" t="s">
        <v>333</v>
      </c>
    </row>
    <row r="272" spans="6:6" x14ac:dyDescent="0.15">
      <c r="F272" s="100" t="s">
        <v>718</v>
      </c>
    </row>
    <row r="273" spans="6:6" x14ac:dyDescent="0.15">
      <c r="F273" s="100" t="s">
        <v>720</v>
      </c>
    </row>
    <row r="274" spans="6:6" x14ac:dyDescent="0.15">
      <c r="F274" s="100" t="s">
        <v>1526</v>
      </c>
    </row>
    <row r="275" spans="6:6" x14ac:dyDescent="0.15">
      <c r="F275" s="100" t="s">
        <v>722</v>
      </c>
    </row>
    <row r="276" spans="6:6" x14ac:dyDescent="0.15">
      <c r="F276" s="100" t="s">
        <v>335</v>
      </c>
    </row>
    <row r="277" spans="6:6" ht="15" x14ac:dyDescent="0.15">
      <c r="F277" s="78" t="s">
        <v>45</v>
      </c>
    </row>
    <row r="278" spans="6:6" x14ac:dyDescent="0.15">
      <c r="F278" s="100" t="s">
        <v>724</v>
      </c>
    </row>
    <row r="279" spans="6:6" x14ac:dyDescent="0.15">
      <c r="F279" s="100" t="s">
        <v>397</v>
      </c>
    </row>
    <row r="280" spans="6:6" ht="15" x14ac:dyDescent="0.15">
      <c r="F280" s="78" t="s">
        <v>62</v>
      </c>
    </row>
    <row r="281" spans="6:6" ht="15" x14ac:dyDescent="0.15">
      <c r="F281" s="78" t="s">
        <v>81</v>
      </c>
    </row>
    <row r="282" spans="6:6" ht="15" x14ac:dyDescent="0.15">
      <c r="F282" s="78" t="s">
        <v>61</v>
      </c>
    </row>
    <row r="283" spans="6:6" x14ac:dyDescent="0.15">
      <c r="F283" s="100" t="s">
        <v>726</v>
      </c>
    </row>
    <row r="284" spans="6:6" x14ac:dyDescent="0.15">
      <c r="F284" s="100" t="s">
        <v>728</v>
      </c>
    </row>
    <row r="285" spans="6:6" x14ac:dyDescent="0.15">
      <c r="F285" s="100" t="s">
        <v>730</v>
      </c>
    </row>
    <row r="286" spans="6:6" x14ac:dyDescent="0.15">
      <c r="F286" s="100" t="s">
        <v>732</v>
      </c>
    </row>
    <row r="287" spans="6:6" x14ac:dyDescent="0.15">
      <c r="F287" s="100" t="s">
        <v>734</v>
      </c>
    </row>
    <row r="288" spans="6:6" x14ac:dyDescent="0.15">
      <c r="F288" s="100" t="s">
        <v>736</v>
      </c>
    </row>
    <row r="289" spans="6:6" x14ac:dyDescent="0.15">
      <c r="F289" s="100" t="s">
        <v>738</v>
      </c>
    </row>
    <row r="290" spans="6:6" x14ac:dyDescent="0.15">
      <c r="F290" s="100" t="s">
        <v>399</v>
      </c>
    </row>
    <row r="291" spans="6:6" ht="15" x14ac:dyDescent="0.15">
      <c r="F291" s="78" t="s">
        <v>276</v>
      </c>
    </row>
    <row r="292" spans="6:6" x14ac:dyDescent="0.15">
      <c r="F292" s="100" t="s">
        <v>740</v>
      </c>
    </row>
    <row r="293" spans="6:6" x14ac:dyDescent="0.15">
      <c r="F293" s="100" t="s">
        <v>742</v>
      </c>
    </row>
    <row r="294" spans="6:6" x14ac:dyDescent="0.15">
      <c r="F294" s="100" t="s">
        <v>744</v>
      </c>
    </row>
    <row r="295" spans="6:6" x14ac:dyDescent="0.15">
      <c r="F295" s="100" t="s">
        <v>1527</v>
      </c>
    </row>
    <row r="296" spans="6:6" x14ac:dyDescent="0.15">
      <c r="F296" s="100" t="s">
        <v>278</v>
      </c>
    </row>
    <row r="297" spans="6:6" x14ac:dyDescent="0.15">
      <c r="F297" s="100" t="s">
        <v>746</v>
      </c>
    </row>
    <row r="298" spans="6:6" x14ac:dyDescent="0.15">
      <c r="F298" s="100" t="s">
        <v>748</v>
      </c>
    </row>
    <row r="299" spans="6:6" x14ac:dyDescent="0.15">
      <c r="F299" s="100" t="s">
        <v>750</v>
      </c>
    </row>
    <row r="300" spans="6:6" x14ac:dyDescent="0.15">
      <c r="F300" s="100" t="s">
        <v>752</v>
      </c>
    </row>
    <row r="301" spans="6:6" x14ac:dyDescent="0.15">
      <c r="F301" s="100" t="s">
        <v>754</v>
      </c>
    </row>
    <row r="302" spans="6:6" x14ac:dyDescent="0.15">
      <c r="F302" s="100" t="s">
        <v>756</v>
      </c>
    </row>
    <row r="303" spans="6:6" x14ac:dyDescent="0.15">
      <c r="F303" s="100" t="s">
        <v>758</v>
      </c>
    </row>
    <row r="304" spans="6:6" x14ac:dyDescent="0.15">
      <c r="F304" s="100" t="s">
        <v>401</v>
      </c>
    </row>
    <row r="305" spans="6:6" x14ac:dyDescent="0.15">
      <c r="F305" s="100" t="s">
        <v>760</v>
      </c>
    </row>
    <row r="306" spans="6:6" x14ac:dyDescent="0.15">
      <c r="F306" s="100" t="s">
        <v>762</v>
      </c>
    </row>
    <row r="307" spans="6:6" x14ac:dyDescent="0.15">
      <c r="F307" s="100" t="s">
        <v>764</v>
      </c>
    </row>
    <row r="308" spans="6:6" ht="15" x14ac:dyDescent="0.15">
      <c r="F308" s="78" t="s">
        <v>42</v>
      </c>
    </row>
    <row r="309" spans="6:6" ht="15" x14ac:dyDescent="0.15">
      <c r="F309" s="78" t="s">
        <v>235</v>
      </c>
    </row>
    <row r="310" spans="6:6" x14ac:dyDescent="0.15">
      <c r="F310" s="100" t="s">
        <v>766</v>
      </c>
    </row>
    <row r="311" spans="6:6" x14ac:dyDescent="0.15">
      <c r="F311" s="100" t="s">
        <v>1528</v>
      </c>
    </row>
    <row r="312" spans="6:6" ht="15" x14ac:dyDescent="0.15">
      <c r="F312" s="78" t="s">
        <v>80</v>
      </c>
    </row>
    <row r="313" spans="6:6" x14ac:dyDescent="0.15">
      <c r="F313" s="100" t="s">
        <v>771</v>
      </c>
    </row>
    <row r="314" spans="6:6" x14ac:dyDescent="0.15">
      <c r="F314" s="100" t="s">
        <v>772</v>
      </c>
    </row>
    <row r="315" spans="6:6" ht="28" x14ac:dyDescent="0.15">
      <c r="F315" s="86" t="s">
        <v>340</v>
      </c>
    </row>
    <row r="316" spans="6:6" x14ac:dyDescent="0.15">
      <c r="F316" s="100" t="s">
        <v>1529</v>
      </c>
    </row>
    <row r="317" spans="6:6" x14ac:dyDescent="0.15">
      <c r="F317" s="100" t="s">
        <v>776</v>
      </c>
    </row>
    <row r="318" spans="6:6" ht="15" x14ac:dyDescent="0.15">
      <c r="F318" s="78" t="s">
        <v>68</v>
      </c>
    </row>
    <row r="319" spans="6:6" ht="15" x14ac:dyDescent="0.15">
      <c r="F319" s="78" t="s">
        <v>75</v>
      </c>
    </row>
    <row r="320" spans="6:6" ht="15" x14ac:dyDescent="0.15">
      <c r="F320" s="78" t="s">
        <v>238</v>
      </c>
    </row>
    <row r="321" spans="6:6" x14ac:dyDescent="0.15">
      <c r="F321" s="100" t="s">
        <v>778</v>
      </c>
    </row>
    <row r="322" spans="6:6" x14ac:dyDescent="0.15">
      <c r="F322" s="100" t="s">
        <v>780</v>
      </c>
    </row>
    <row r="323" spans="6:6" ht="15" x14ac:dyDescent="0.15">
      <c r="F323" s="78" t="s">
        <v>76</v>
      </c>
    </row>
    <row r="324" spans="6:6" x14ac:dyDescent="0.15">
      <c r="F324" s="100" t="s">
        <v>782</v>
      </c>
    </row>
    <row r="325" spans="6:6" x14ac:dyDescent="0.15">
      <c r="F325" s="100" t="s">
        <v>405</v>
      </c>
    </row>
    <row r="326" spans="6:6" x14ac:dyDescent="0.15">
      <c r="F326" s="100" t="s">
        <v>407</v>
      </c>
    </row>
    <row r="327" spans="6:6" x14ac:dyDescent="0.15">
      <c r="F327" s="100" t="s">
        <v>55</v>
      </c>
    </row>
    <row r="328" spans="6:6" x14ac:dyDescent="0.15">
      <c r="F328" s="100" t="s">
        <v>126</v>
      </c>
    </row>
    <row r="329" spans="6:6" ht="15" x14ac:dyDescent="0.15">
      <c r="F329" s="78" t="s">
        <v>283</v>
      </c>
    </row>
    <row r="330" spans="6:6" x14ac:dyDescent="0.15">
      <c r="F330" s="100" t="s">
        <v>285</v>
      </c>
    </row>
    <row r="331" spans="6:6" ht="15" x14ac:dyDescent="0.15">
      <c r="F331" s="78" t="s">
        <v>74</v>
      </c>
    </row>
    <row r="332" spans="6:6" x14ac:dyDescent="0.15">
      <c r="F332" s="100" t="s">
        <v>784</v>
      </c>
    </row>
    <row r="333" spans="6:6" x14ac:dyDescent="0.15">
      <c r="F333" s="100" t="s">
        <v>786</v>
      </c>
    </row>
    <row r="334" spans="6:6" x14ac:dyDescent="0.15">
      <c r="F334" s="100" t="s">
        <v>788</v>
      </c>
    </row>
    <row r="335" spans="6:6" x14ac:dyDescent="0.15">
      <c r="F335" s="100" t="s">
        <v>790</v>
      </c>
    </row>
    <row r="336" spans="6:6" x14ac:dyDescent="0.15">
      <c r="F336" s="100" t="s">
        <v>792</v>
      </c>
    </row>
    <row r="337" spans="6:6" x14ac:dyDescent="0.15">
      <c r="F337" s="100" t="s">
        <v>794</v>
      </c>
    </row>
    <row r="338" spans="6:6" x14ac:dyDescent="0.15">
      <c r="F338" s="100" t="s">
        <v>127</v>
      </c>
    </row>
    <row r="339" spans="6:6" x14ac:dyDescent="0.15">
      <c r="F339" s="100" t="s">
        <v>796</v>
      </c>
    </row>
    <row r="340" spans="6:6" x14ac:dyDescent="0.15">
      <c r="F340" s="100" t="s">
        <v>798</v>
      </c>
    </row>
    <row r="341" spans="6:6" x14ac:dyDescent="0.15">
      <c r="F341" s="100" t="s">
        <v>342</v>
      </c>
    </row>
    <row r="342" spans="6:6" x14ac:dyDescent="0.15">
      <c r="F342" s="100" t="s">
        <v>800</v>
      </c>
    </row>
    <row r="343" spans="6:6" ht="15" x14ac:dyDescent="0.15">
      <c r="F343" s="78" t="s">
        <v>71</v>
      </c>
    </row>
    <row r="344" spans="6:6" x14ac:dyDescent="0.15">
      <c r="F344" s="100" t="s">
        <v>128</v>
      </c>
    </row>
    <row r="345" spans="6:6" x14ac:dyDescent="0.15">
      <c r="F345" s="100" t="s">
        <v>344</v>
      </c>
    </row>
    <row r="346" spans="6:6" x14ac:dyDescent="0.15">
      <c r="F346" s="100" t="s">
        <v>802</v>
      </c>
    </row>
    <row r="347" spans="6:6" x14ac:dyDescent="0.15">
      <c r="F347" s="100" t="s">
        <v>804</v>
      </c>
    </row>
    <row r="348" spans="6:6" x14ac:dyDescent="0.15">
      <c r="F348" s="100" t="s">
        <v>806</v>
      </c>
    </row>
    <row r="349" spans="6:6" x14ac:dyDescent="0.15">
      <c r="F349" s="100" t="s">
        <v>808</v>
      </c>
    </row>
    <row r="350" spans="6:6" x14ac:dyDescent="0.15">
      <c r="F350" s="100" t="s">
        <v>810</v>
      </c>
    </row>
    <row r="351" spans="6:6" x14ac:dyDescent="0.15">
      <c r="F351" s="100" t="s">
        <v>812</v>
      </c>
    </row>
    <row r="352" spans="6:6" ht="15" x14ac:dyDescent="0.15">
      <c r="F352" s="78" t="s">
        <v>78</v>
      </c>
    </row>
    <row r="353" spans="6:6" x14ac:dyDescent="0.15">
      <c r="F353" s="100" t="s">
        <v>814</v>
      </c>
    </row>
    <row r="354" spans="6:6" x14ac:dyDescent="0.15">
      <c r="F354" s="100" t="s">
        <v>816</v>
      </c>
    </row>
    <row r="355" spans="6:6" x14ac:dyDescent="0.15">
      <c r="F355" s="100" t="s">
        <v>818</v>
      </c>
    </row>
    <row r="356" spans="6:6" x14ac:dyDescent="0.15">
      <c r="F356" s="100" t="s">
        <v>52</v>
      </c>
    </row>
    <row r="357" spans="6:6" x14ac:dyDescent="0.15">
      <c r="F357" s="100" t="s">
        <v>820</v>
      </c>
    </row>
    <row r="358" spans="6:6" x14ac:dyDescent="0.15">
      <c r="F358" s="100" t="s">
        <v>822</v>
      </c>
    </row>
    <row r="359" spans="6:6" x14ac:dyDescent="0.15">
      <c r="F359" s="100" t="s">
        <v>824</v>
      </c>
    </row>
    <row r="360" spans="6:6" ht="15" x14ac:dyDescent="0.15">
      <c r="F360" s="78" t="s">
        <v>115</v>
      </c>
    </row>
    <row r="361" spans="6:6" ht="15" x14ac:dyDescent="0.15">
      <c r="F361" s="78" t="s">
        <v>129</v>
      </c>
    </row>
    <row r="362" spans="6:6" x14ac:dyDescent="0.15">
      <c r="F362" s="100" t="s">
        <v>826</v>
      </c>
    </row>
    <row r="363" spans="6:6" x14ac:dyDescent="0.15">
      <c r="F363" s="100" t="s">
        <v>828</v>
      </c>
    </row>
    <row r="364" spans="6:6" x14ac:dyDescent="0.15">
      <c r="F364" s="100" t="s">
        <v>82</v>
      </c>
    </row>
    <row r="365" spans="6:6" x14ac:dyDescent="0.15">
      <c r="F365" s="100" t="s">
        <v>830</v>
      </c>
    </row>
    <row r="366" spans="6:6" x14ac:dyDescent="0.15">
      <c r="F366" s="100" t="s">
        <v>832</v>
      </c>
    </row>
    <row r="367" spans="6:6" x14ac:dyDescent="0.15">
      <c r="F367" s="100" t="s">
        <v>834</v>
      </c>
    </row>
    <row r="368" spans="6:6" x14ac:dyDescent="0.15">
      <c r="F368" s="100" t="s">
        <v>836</v>
      </c>
    </row>
    <row r="369" spans="6:6" x14ac:dyDescent="0.15">
      <c r="F369" s="100" t="s">
        <v>838</v>
      </c>
    </row>
    <row r="370" spans="6:6" ht="15" x14ac:dyDescent="0.15">
      <c r="F370" s="78" t="s">
        <v>77</v>
      </c>
    </row>
    <row r="371" spans="6:6" x14ac:dyDescent="0.15">
      <c r="F371" s="100" t="s">
        <v>841</v>
      </c>
    </row>
    <row r="372" spans="6:6" x14ac:dyDescent="0.15">
      <c r="F372" s="100" t="s">
        <v>1530</v>
      </c>
    </row>
    <row r="373" spans="6:6" x14ac:dyDescent="0.15">
      <c r="F373" s="100" t="s">
        <v>130</v>
      </c>
    </row>
    <row r="374" spans="6:6" x14ac:dyDescent="0.15">
      <c r="F374" s="100" t="s">
        <v>415</v>
      </c>
    </row>
    <row r="375" spans="6:6" ht="15" x14ac:dyDescent="0.15">
      <c r="F375" s="78" t="s">
        <v>63</v>
      </c>
    </row>
    <row r="376" spans="6:6" x14ac:dyDescent="0.15">
      <c r="F376" s="100" t="s">
        <v>1531</v>
      </c>
    </row>
    <row r="377" spans="6:6" ht="15" x14ac:dyDescent="0.15">
      <c r="F377" s="78" t="s">
        <v>65</v>
      </c>
    </row>
    <row r="378" spans="6:6" ht="15" x14ac:dyDescent="0.15">
      <c r="F378" s="78" t="s">
        <v>66</v>
      </c>
    </row>
    <row r="379" spans="6:6" ht="15" x14ac:dyDescent="0.15">
      <c r="F379" s="78" t="s">
        <v>64</v>
      </c>
    </row>
    <row r="380" spans="6:6" ht="15" x14ac:dyDescent="0.15">
      <c r="F380" s="78" t="s">
        <v>1532</v>
      </c>
    </row>
    <row r="381" spans="6:6" x14ac:dyDescent="0.15">
      <c r="F381" s="100" t="s">
        <v>846</v>
      </c>
    </row>
    <row r="382" spans="6:6" ht="15" x14ac:dyDescent="0.15">
      <c r="F382" s="78" t="s">
        <v>132</v>
      </c>
    </row>
    <row r="383" spans="6:6" x14ac:dyDescent="0.15">
      <c r="F383" s="100" t="s">
        <v>848</v>
      </c>
    </row>
    <row r="384" spans="6:6" ht="15" x14ac:dyDescent="0.15">
      <c r="F384" s="78" t="s">
        <v>85</v>
      </c>
    </row>
    <row r="385" spans="6:6" ht="15" x14ac:dyDescent="0.15">
      <c r="F385" s="78" t="s">
        <v>419</v>
      </c>
    </row>
    <row r="386" spans="6:6" x14ac:dyDescent="0.15">
      <c r="F386" s="100" t="s">
        <v>36</v>
      </c>
    </row>
    <row r="387" spans="6:6" x14ac:dyDescent="0.15">
      <c r="F387" s="100" t="s">
        <v>850</v>
      </c>
    </row>
    <row r="388" spans="6:6" x14ac:dyDescent="0.15">
      <c r="F388" s="100" t="s">
        <v>852</v>
      </c>
    </row>
    <row r="389" spans="6:6" x14ac:dyDescent="0.15">
      <c r="F389" s="100" t="s">
        <v>133</v>
      </c>
    </row>
    <row r="390" spans="6:6" ht="15" x14ac:dyDescent="0.15">
      <c r="F390" s="78" t="s">
        <v>134</v>
      </c>
    </row>
    <row r="391" spans="6:6" x14ac:dyDescent="0.15">
      <c r="F391" s="100" t="s">
        <v>856</v>
      </c>
    </row>
    <row r="392" spans="6:6" x14ac:dyDescent="0.15">
      <c r="F392" s="100" t="s">
        <v>858</v>
      </c>
    </row>
    <row r="393" spans="6:6" ht="15" x14ac:dyDescent="0.15">
      <c r="F393" s="78" t="s">
        <v>43</v>
      </c>
    </row>
    <row r="394" spans="6:6" x14ac:dyDescent="0.15">
      <c r="F394" s="100" t="s">
        <v>422</v>
      </c>
    </row>
    <row r="395" spans="6:6" x14ac:dyDescent="0.15">
      <c r="F395" s="100" t="s">
        <v>860</v>
      </c>
    </row>
    <row r="396" spans="6:6" x14ac:dyDescent="0.15">
      <c r="F396" s="100" t="s">
        <v>862</v>
      </c>
    </row>
    <row r="397" spans="6:6" x14ac:dyDescent="0.15">
      <c r="F397" s="100" t="s">
        <v>864</v>
      </c>
    </row>
    <row r="398" spans="6:6" ht="15" x14ac:dyDescent="0.15">
      <c r="F398" s="78" t="s">
        <v>346</v>
      </c>
    </row>
    <row r="399" spans="6:6" ht="14" customHeight="1" x14ac:dyDescent="0.15">
      <c r="F399" s="100" t="s">
        <v>425</v>
      </c>
    </row>
    <row r="400" spans="6:6" x14ac:dyDescent="0.15">
      <c r="F400" s="100" t="s">
        <v>427</v>
      </c>
    </row>
    <row r="401" spans="6:6" x14ac:dyDescent="0.15">
      <c r="F401" s="100" t="s">
        <v>866</v>
      </c>
    </row>
    <row r="402" spans="6:6" x14ac:dyDescent="0.15">
      <c r="F402" s="100" t="s">
        <v>868</v>
      </c>
    </row>
    <row r="403" spans="6:6" x14ac:dyDescent="0.15">
      <c r="F403" s="100" t="s">
        <v>870</v>
      </c>
    </row>
    <row r="404" spans="6:6" x14ac:dyDescent="0.15">
      <c r="F404" s="100" t="s">
        <v>872</v>
      </c>
    </row>
    <row r="405" spans="6:6" ht="15" x14ac:dyDescent="0.15">
      <c r="F405" s="78" t="s">
        <v>135</v>
      </c>
    </row>
    <row r="406" spans="6:6" x14ac:dyDescent="0.15">
      <c r="F406" s="100" t="s">
        <v>136</v>
      </c>
    </row>
    <row r="407" spans="6:6" x14ac:dyDescent="0.15">
      <c r="F407" s="100" t="s">
        <v>874</v>
      </c>
    </row>
    <row r="408" spans="6:6" ht="15" x14ac:dyDescent="0.15">
      <c r="F408" s="78" t="s">
        <v>30</v>
      </c>
    </row>
    <row r="409" spans="6:6" x14ac:dyDescent="0.15">
      <c r="F409" s="100" t="s">
        <v>876</v>
      </c>
    </row>
    <row r="410" spans="6:6" x14ac:dyDescent="0.15">
      <c r="F410" s="100" t="s">
        <v>195</v>
      </c>
    </row>
    <row r="411" spans="6:6" x14ac:dyDescent="0.15">
      <c r="F411" s="100" t="s">
        <v>431</v>
      </c>
    </row>
    <row r="412" spans="6:6" x14ac:dyDescent="0.15">
      <c r="F412" s="100" t="s">
        <v>878</v>
      </c>
    </row>
    <row r="413" spans="6:6" ht="15" x14ac:dyDescent="0.15">
      <c r="F413" s="78" t="s">
        <v>56</v>
      </c>
    </row>
    <row r="414" spans="6:6" x14ac:dyDescent="0.15">
      <c r="F414" s="100" t="s">
        <v>1533</v>
      </c>
    </row>
    <row r="415" spans="6:6" ht="15" x14ac:dyDescent="0.15">
      <c r="F415" s="78" t="s">
        <v>137</v>
      </c>
    </row>
    <row r="416" spans="6:6" x14ac:dyDescent="0.15">
      <c r="F416" s="100" t="s">
        <v>882</v>
      </c>
    </row>
    <row r="417" spans="6:6" ht="27.5" customHeight="1" x14ac:dyDescent="0.2">
      <c r="F417" s="84" t="s">
        <v>83</v>
      </c>
    </row>
    <row r="418" spans="6:6" ht="15" x14ac:dyDescent="0.15">
      <c r="F418" s="78" t="s">
        <v>67</v>
      </c>
    </row>
    <row r="419" spans="6:6" x14ac:dyDescent="0.15">
      <c r="F419" s="100" t="s">
        <v>884</v>
      </c>
    </row>
    <row r="420" spans="6:6" x14ac:dyDescent="0.15">
      <c r="F420" s="100" t="s">
        <v>434</v>
      </c>
    </row>
    <row r="421" spans="6:6" x14ac:dyDescent="0.15">
      <c r="F421" s="100" t="s">
        <v>886</v>
      </c>
    </row>
    <row r="422" spans="6:6" x14ac:dyDescent="0.15">
      <c r="F422" s="100" t="s">
        <v>888</v>
      </c>
    </row>
    <row r="423" spans="6:6" x14ac:dyDescent="0.15">
      <c r="F423" t="s">
        <v>890</v>
      </c>
    </row>
    <row r="424" spans="6:6" x14ac:dyDescent="0.15">
      <c r="F424" s="100" t="s">
        <v>304</v>
      </c>
    </row>
    <row r="425" spans="6:6" x14ac:dyDescent="0.15">
      <c r="F425" s="100" t="s">
        <v>351</v>
      </c>
    </row>
    <row r="426" spans="6:6" ht="27.5" customHeight="1" x14ac:dyDescent="0.15">
      <c r="F426" s="100" t="s">
        <v>892</v>
      </c>
    </row>
    <row r="427" spans="6:6" ht="15" x14ac:dyDescent="0.15">
      <c r="F427" s="78" t="s">
        <v>138</v>
      </c>
    </row>
    <row r="428" spans="6:6" x14ac:dyDescent="0.15">
      <c r="F428" s="100"/>
    </row>
    <row r="432" spans="6:6" ht="14" customHeight="1" x14ac:dyDescent="0.15"/>
    <row r="439" ht="14" customHeight="1" x14ac:dyDescent="0.15"/>
    <row r="451" ht="14" customHeight="1" x14ac:dyDescent="0.15"/>
    <row r="453" ht="14" customHeight="1" x14ac:dyDescent="0.15"/>
  </sheetData>
  <sortState xmlns:xlrd2="http://schemas.microsoft.com/office/spreadsheetml/2017/richdata2" ref="F53:F428">
    <sortCondition ref="F53:F428"/>
  </sortState>
  <dataValidations count="1">
    <dataValidation type="list" allowBlank="1" showInputMessage="1" showErrorMessage="1" sqref="F187" xr:uid="{DD401276-D8C3-49AE-A22B-BA9BCEB0822D}">
      <formula1>Contact_Co</formula1>
    </dataValidation>
  </dataValidations>
  <hyperlinks>
    <hyperlink ref="E6" r:id="rId1" xr:uid="{71202419-22FD-4AF3-9B70-21FDC591A537}"/>
    <hyperlink ref="E7" r:id="rId2" xr:uid="{AF5162D3-EB1E-47B5-A79C-B7DE8FB8E8FA}"/>
    <hyperlink ref="E8" r:id="rId3" xr:uid="{55036FF5-F4C8-4F11-9F87-351BEA2AA683}"/>
    <hyperlink ref="E9" r:id="rId4" xr:uid="{23495D26-A5FF-4ADF-8B11-1EA464FD5E6A}"/>
    <hyperlink ref="E10" r:id="rId5" xr:uid="{C1B6A90F-7BA8-4719-B568-6CA4B667DA6D}"/>
    <hyperlink ref="E11" r:id="rId6" xr:uid="{6C620354-9463-4FD4-8993-598CCB04A59F}"/>
    <hyperlink ref="E12" r:id="rId7" xr:uid="{8C95236A-0E2F-4A52-9F78-BF1F94E74EFF}"/>
    <hyperlink ref="E13" r:id="rId8" xr:uid="{79AF3CF7-0DEF-47C2-AA3B-EE19ACC39AC0}"/>
    <hyperlink ref="E14" r:id="rId9" xr:uid="{036BF940-B774-4164-85D5-025CFB043102}"/>
    <hyperlink ref="E15" r:id="rId10" xr:uid="{417FFE3B-8605-4767-9DAE-2571529B501E}"/>
    <hyperlink ref="E16" r:id="rId11" xr:uid="{A51055E0-13F5-4C23-9EB3-31FE52125639}"/>
    <hyperlink ref="E17" r:id="rId12" xr:uid="{6B027FBE-B753-46A8-91C9-06406A40A538}"/>
    <hyperlink ref="E18" r:id="rId13" xr:uid="{1753AEB4-61C7-4B8F-B001-8CEFDA267AC3}"/>
    <hyperlink ref="E19" r:id="rId14" xr:uid="{07E08106-95DF-4CC9-9909-DDBBC59263FE}"/>
    <hyperlink ref="E20" r:id="rId15" xr:uid="{1ABE01BD-93E6-436D-B86F-C4AC610D65AC}"/>
    <hyperlink ref="E21" r:id="rId16" xr:uid="{98394E60-805E-48B6-B68D-77BAFD132918}"/>
    <hyperlink ref="E22" r:id="rId17" xr:uid="{075606C3-EC0B-4D3E-AC1A-95A88C570E73}"/>
    <hyperlink ref="E23" r:id="rId18" xr:uid="{F2787F44-17E0-4984-A896-C910BCB9D171}"/>
    <hyperlink ref="E24" r:id="rId19" xr:uid="{6C366E74-5A87-4D62-ADC4-5656C26EE29B}"/>
    <hyperlink ref="E25" r:id="rId20" xr:uid="{164F3726-2BF1-4319-A3B9-2927EC0E6649}"/>
    <hyperlink ref="E26" r:id="rId21" xr:uid="{48653DAF-52CB-4258-A1E9-F977A1679234}"/>
    <hyperlink ref="E27" r:id="rId22" xr:uid="{6FD0D9FB-5F9F-45CD-A739-70CEBA04C0FF}"/>
    <hyperlink ref="E28" r:id="rId23" xr:uid="{96D6D787-1E85-43F8-B7B8-7CA86BC937F4}"/>
    <hyperlink ref="E29" r:id="rId24" xr:uid="{E539BD29-B713-43DB-8768-3653EC61A888}"/>
    <hyperlink ref="E30" r:id="rId25" xr:uid="{6FF89817-52C0-495D-88A9-8A26013960E8}"/>
    <hyperlink ref="E31" r:id="rId26" xr:uid="{5F078D65-FF55-4A7D-945D-C36A45AE9236}"/>
    <hyperlink ref="E32" r:id="rId27" xr:uid="{EAC37BA7-5955-495D-8F2E-4EFE1A9A0CE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E01F8-24EE-47D5-9774-43CBD5B9E7DB}">
  <sheetPr codeName="Sheet10"/>
  <dimension ref="A1:K589"/>
  <sheetViews>
    <sheetView topLeftCell="A42" zoomScale="70" zoomScaleNormal="70" workbookViewId="0">
      <selection activeCell="C57" sqref="C57"/>
    </sheetView>
  </sheetViews>
  <sheetFormatPr baseColWidth="10" defaultColWidth="8.83203125" defaultRowHeight="14" x14ac:dyDescent="0.2"/>
  <cols>
    <col min="1" max="1" width="23.5" style="69" customWidth="1"/>
    <col min="2" max="2" width="16.33203125" style="69" customWidth="1"/>
    <col min="3" max="3" width="16.5" style="69" customWidth="1"/>
    <col min="4" max="4" width="15.5" style="69" customWidth="1"/>
    <col min="5" max="5" width="14.33203125" style="69" customWidth="1"/>
    <col min="6" max="6" width="22.83203125" style="69" customWidth="1"/>
    <col min="7" max="7" width="15" style="69" customWidth="1"/>
    <col min="8" max="8" width="14.6640625" style="69" customWidth="1"/>
    <col min="9" max="9" width="14.83203125" style="69" customWidth="1"/>
    <col min="10" max="10" width="13.6640625" style="69" customWidth="1"/>
    <col min="11" max="11" width="33.33203125" style="69" customWidth="1"/>
    <col min="12" max="16384" width="8.83203125" style="69"/>
  </cols>
  <sheetData>
    <row r="1" spans="1:11" ht="30" x14ac:dyDescent="0.2">
      <c r="A1" s="73" t="s">
        <v>88</v>
      </c>
      <c r="B1" s="73" t="s">
        <v>896</v>
      </c>
      <c r="C1" s="73" t="s">
        <v>897</v>
      </c>
      <c r="D1" s="73" t="s">
        <v>898</v>
      </c>
      <c r="E1" s="73" t="s">
        <v>899</v>
      </c>
      <c r="F1" s="73" t="s">
        <v>900</v>
      </c>
      <c r="G1" s="73" t="s">
        <v>901</v>
      </c>
      <c r="H1" s="73" t="s">
        <v>903</v>
      </c>
      <c r="I1" s="73" t="s">
        <v>904</v>
      </c>
      <c r="J1" s="73" t="s">
        <v>905</v>
      </c>
      <c r="K1" s="73" t="s">
        <v>906</v>
      </c>
    </row>
    <row r="2" spans="1:11" ht="30" x14ac:dyDescent="0.2">
      <c r="A2" s="71" t="s">
        <v>93</v>
      </c>
      <c r="B2" s="71" t="s">
        <v>907</v>
      </c>
      <c r="C2" s="71" t="s">
        <v>908</v>
      </c>
      <c r="D2" s="71"/>
      <c r="E2" s="71"/>
      <c r="F2" s="71"/>
      <c r="G2" s="72" t="s">
        <v>909</v>
      </c>
      <c r="H2" s="71" t="s">
        <v>1381</v>
      </c>
      <c r="I2" s="71" t="s">
        <v>1423</v>
      </c>
      <c r="J2" s="71" t="s">
        <v>1065</v>
      </c>
      <c r="K2" s="71"/>
    </row>
    <row r="3" spans="1:11" ht="15" x14ac:dyDescent="0.2">
      <c r="A3" s="71" t="s">
        <v>54</v>
      </c>
      <c r="B3" s="71" t="s">
        <v>910</v>
      </c>
      <c r="C3" s="71" t="s">
        <v>911</v>
      </c>
      <c r="D3" s="71"/>
      <c r="E3" s="71"/>
      <c r="F3" s="71"/>
      <c r="G3" s="71"/>
      <c r="H3" s="71" t="s">
        <v>1213</v>
      </c>
      <c r="I3" s="71" t="s">
        <v>1459</v>
      </c>
      <c r="J3" s="71" t="s">
        <v>1065</v>
      </c>
      <c r="K3" s="71" t="s">
        <v>912</v>
      </c>
    </row>
    <row r="4" spans="1:11" x14ac:dyDescent="0.2">
      <c r="A4" s="71"/>
      <c r="B4" s="71"/>
      <c r="C4" s="71"/>
      <c r="D4" s="71"/>
      <c r="E4" s="71"/>
      <c r="F4" s="71"/>
      <c r="G4" s="71"/>
      <c r="H4" s="71"/>
      <c r="I4" s="71"/>
      <c r="J4" s="71"/>
      <c r="K4" s="71"/>
    </row>
    <row r="5" spans="1:11" x14ac:dyDescent="0.2">
      <c r="A5" s="71"/>
      <c r="B5" s="71"/>
      <c r="C5" s="71"/>
      <c r="D5" s="71"/>
      <c r="E5" s="68"/>
      <c r="F5" s="71"/>
      <c r="G5" s="71"/>
      <c r="H5" s="71"/>
      <c r="I5" s="71"/>
      <c r="J5" s="71"/>
      <c r="K5" s="71"/>
    </row>
    <row r="6" spans="1:11" x14ac:dyDescent="0.2">
      <c r="A6" s="71"/>
      <c r="B6" s="71"/>
      <c r="C6" s="71"/>
      <c r="D6" s="71"/>
      <c r="E6" s="71"/>
      <c r="F6" s="71"/>
      <c r="G6" s="71"/>
      <c r="H6" s="71"/>
      <c r="I6" s="71"/>
      <c r="J6" s="71"/>
      <c r="K6" s="71"/>
    </row>
    <row r="7" spans="1:11" x14ac:dyDescent="0.2">
      <c r="A7" s="71"/>
      <c r="B7" s="71"/>
      <c r="C7" s="71"/>
      <c r="D7" s="71"/>
      <c r="E7" s="68"/>
      <c r="F7" s="71"/>
      <c r="G7" s="71"/>
      <c r="H7" s="71"/>
      <c r="I7" s="71"/>
      <c r="J7" s="71"/>
      <c r="K7" s="71"/>
    </row>
    <row r="8" spans="1:11" x14ac:dyDescent="0.2">
      <c r="A8" s="71"/>
      <c r="B8" s="71"/>
      <c r="C8" s="71"/>
      <c r="D8" s="71"/>
      <c r="E8" s="68"/>
      <c r="F8" s="71"/>
      <c r="G8" s="71"/>
      <c r="H8" s="71"/>
      <c r="I8" s="71"/>
      <c r="J8" s="71"/>
      <c r="K8" s="71"/>
    </row>
    <row r="9" spans="1:11" x14ac:dyDescent="0.2">
      <c r="A9" s="71"/>
      <c r="B9" s="71"/>
      <c r="C9" s="71"/>
      <c r="D9" s="71"/>
      <c r="E9" s="71"/>
      <c r="F9" s="71"/>
      <c r="G9" s="71"/>
      <c r="H9" s="71"/>
      <c r="I9" s="71"/>
      <c r="J9" s="71"/>
      <c r="K9" s="71"/>
    </row>
    <row r="10" spans="1:11" x14ac:dyDescent="0.2">
      <c r="A10" s="71"/>
      <c r="B10" s="71"/>
      <c r="C10" s="71"/>
      <c r="D10" s="71"/>
      <c r="E10" s="71"/>
      <c r="F10" s="71"/>
      <c r="G10" s="71"/>
      <c r="H10" s="71"/>
      <c r="I10" s="71"/>
      <c r="J10" s="71"/>
      <c r="K10" s="71"/>
    </row>
    <row r="11" spans="1:11" x14ac:dyDescent="0.2">
      <c r="A11" s="71"/>
      <c r="B11" s="71"/>
      <c r="C11" s="71"/>
      <c r="D11" s="71"/>
      <c r="E11" s="68"/>
      <c r="F11" s="71"/>
      <c r="G11" s="71"/>
      <c r="H11" s="71"/>
      <c r="I11" s="71"/>
      <c r="J11" s="71"/>
      <c r="K11" s="71"/>
    </row>
    <row r="12" spans="1:11" x14ac:dyDescent="0.2">
      <c r="A12" s="71"/>
      <c r="B12" s="71"/>
      <c r="C12" s="71"/>
      <c r="D12" s="71"/>
      <c r="E12" s="68"/>
      <c r="F12" s="71"/>
      <c r="G12" s="71"/>
      <c r="H12" s="71"/>
      <c r="I12" s="71"/>
      <c r="J12" s="71"/>
      <c r="K12" s="71"/>
    </row>
    <row r="13" spans="1:11" x14ac:dyDescent="0.2">
      <c r="A13" s="71"/>
      <c r="B13" s="71"/>
      <c r="C13" s="71"/>
      <c r="D13" s="71"/>
      <c r="E13" s="71"/>
      <c r="F13" s="71"/>
      <c r="G13" s="71"/>
      <c r="H13" s="71"/>
      <c r="I13" s="71"/>
      <c r="J13" s="71"/>
      <c r="K13" s="71"/>
    </row>
    <row r="14" spans="1:11" x14ac:dyDescent="0.2">
      <c r="A14" s="71"/>
      <c r="B14" s="71"/>
      <c r="C14" s="71"/>
      <c r="D14" s="71"/>
      <c r="E14" s="71"/>
      <c r="F14" s="71"/>
      <c r="G14" s="71"/>
      <c r="H14" s="71"/>
      <c r="I14" s="71"/>
      <c r="J14" s="71"/>
      <c r="K14" s="71"/>
    </row>
    <row r="15" spans="1:11" x14ac:dyDescent="0.2">
      <c r="A15" s="71"/>
      <c r="B15" s="71"/>
      <c r="C15" s="71"/>
      <c r="D15" s="71"/>
      <c r="E15" s="71"/>
      <c r="F15" s="71"/>
      <c r="G15" s="71"/>
      <c r="H15" s="71"/>
      <c r="I15" s="71"/>
      <c r="J15" s="71"/>
      <c r="K15" s="71"/>
    </row>
    <row r="16" spans="1:11" x14ac:dyDescent="0.2">
      <c r="A16" s="71"/>
      <c r="B16" s="71"/>
      <c r="C16" s="71"/>
      <c r="D16" s="71"/>
      <c r="E16" s="71"/>
      <c r="F16" s="71"/>
      <c r="G16" s="71"/>
      <c r="H16" s="71"/>
      <c r="I16" s="71"/>
      <c r="J16" s="71"/>
      <c r="K16" s="71"/>
    </row>
    <row r="17" spans="1:11" x14ac:dyDescent="0.2">
      <c r="A17" s="71"/>
      <c r="B17" s="71"/>
      <c r="C17" s="71"/>
      <c r="D17" s="71"/>
      <c r="E17" s="68"/>
      <c r="F17" s="71"/>
      <c r="G17" s="71"/>
      <c r="H17" s="71"/>
      <c r="I17" s="71"/>
      <c r="J17" s="71"/>
      <c r="K17" s="71"/>
    </row>
    <row r="18" spans="1:11" x14ac:dyDescent="0.2">
      <c r="A18" s="71"/>
      <c r="B18" s="71"/>
      <c r="C18" s="71"/>
      <c r="D18" s="71"/>
      <c r="E18" s="71"/>
      <c r="F18" s="71"/>
      <c r="G18" s="71"/>
      <c r="H18" s="71"/>
      <c r="I18" s="71"/>
      <c r="J18" s="71"/>
      <c r="K18" s="71"/>
    </row>
    <row r="19" spans="1:11" x14ac:dyDescent="0.2">
      <c r="A19" s="71"/>
      <c r="B19" s="71"/>
      <c r="C19" s="71"/>
      <c r="D19" s="71"/>
      <c r="E19" s="71"/>
      <c r="F19" s="71"/>
      <c r="G19" s="71"/>
      <c r="H19" s="71"/>
      <c r="I19" s="71"/>
      <c r="J19" s="71"/>
      <c r="K19" s="71"/>
    </row>
    <row r="20" spans="1:11" x14ac:dyDescent="0.2">
      <c r="A20" s="71"/>
      <c r="B20" s="71"/>
      <c r="C20" s="71"/>
      <c r="D20" s="71"/>
      <c r="E20" s="68"/>
      <c r="F20" s="71"/>
      <c r="G20" s="71"/>
      <c r="H20" s="71"/>
      <c r="I20" s="71"/>
      <c r="J20" s="71"/>
      <c r="K20" s="71"/>
    </row>
    <row r="21" spans="1:11" x14ac:dyDescent="0.2">
      <c r="A21" s="71"/>
      <c r="B21" s="71"/>
      <c r="C21" s="71"/>
      <c r="D21" s="71"/>
      <c r="E21" s="71"/>
      <c r="F21" s="71"/>
      <c r="G21" s="71"/>
      <c r="H21" s="71"/>
      <c r="I21" s="71"/>
      <c r="J21" s="71"/>
      <c r="K21" s="71"/>
    </row>
    <row r="22" spans="1:11" x14ac:dyDescent="0.2">
      <c r="A22" s="71"/>
      <c r="B22" s="71"/>
      <c r="C22" s="71"/>
      <c r="D22" s="71"/>
      <c r="E22" s="68"/>
      <c r="F22" s="71"/>
      <c r="G22" s="71"/>
      <c r="H22" s="71"/>
      <c r="I22" s="71"/>
      <c r="J22" s="71"/>
      <c r="K22" s="71"/>
    </row>
    <row r="23" spans="1:11" x14ac:dyDescent="0.2">
      <c r="A23" s="71"/>
      <c r="B23" s="71"/>
      <c r="C23" s="71"/>
      <c r="D23" s="71"/>
      <c r="E23" s="68"/>
      <c r="F23" s="71"/>
      <c r="G23" s="71"/>
      <c r="H23" s="71"/>
      <c r="I23" s="71"/>
      <c r="J23" s="71"/>
      <c r="K23" s="71"/>
    </row>
    <row r="24" spans="1:11" x14ac:dyDescent="0.2">
      <c r="A24" s="71"/>
      <c r="B24" s="71"/>
      <c r="C24" s="71"/>
      <c r="D24" s="71"/>
      <c r="E24" s="71"/>
      <c r="F24" s="71"/>
      <c r="G24" s="71"/>
      <c r="H24" s="71"/>
      <c r="I24" s="71"/>
      <c r="J24" s="71"/>
      <c r="K24" s="71"/>
    </row>
    <row r="25" spans="1:11" x14ac:dyDescent="0.2">
      <c r="A25" s="71"/>
      <c r="B25" s="71"/>
      <c r="C25" s="71"/>
      <c r="D25" s="71"/>
      <c r="E25" s="71"/>
      <c r="F25" s="71"/>
      <c r="G25" s="71"/>
      <c r="H25" s="71"/>
      <c r="I25" s="71"/>
      <c r="J25" s="71"/>
      <c r="K25" s="71"/>
    </row>
    <row r="26" spans="1:11" x14ac:dyDescent="0.2">
      <c r="A26" s="71"/>
      <c r="B26" s="71"/>
      <c r="C26" s="71"/>
      <c r="D26" s="71"/>
      <c r="E26" s="71"/>
      <c r="F26" s="71"/>
      <c r="G26" s="71"/>
      <c r="H26" s="71"/>
      <c r="I26" s="71"/>
      <c r="J26" s="71"/>
      <c r="K26" s="71"/>
    </row>
    <row r="27" spans="1:11" x14ac:dyDescent="0.2">
      <c r="A27" s="71"/>
      <c r="B27" s="71"/>
      <c r="C27" s="71"/>
      <c r="D27" s="71"/>
      <c r="E27" s="71"/>
      <c r="F27" s="71"/>
      <c r="G27" s="71"/>
      <c r="H27" s="71"/>
      <c r="I27" s="71"/>
      <c r="J27" s="71"/>
      <c r="K27" s="71"/>
    </row>
    <row r="28" spans="1:11" x14ac:dyDescent="0.2">
      <c r="A28" s="71"/>
      <c r="B28" s="71"/>
      <c r="C28" s="71"/>
      <c r="D28" s="71"/>
      <c r="E28" s="68"/>
      <c r="F28" s="71"/>
      <c r="G28" s="71"/>
      <c r="H28" s="71"/>
      <c r="I28" s="71"/>
      <c r="J28" s="71"/>
      <c r="K28" s="71"/>
    </row>
    <row r="29" spans="1:11" x14ac:dyDescent="0.2">
      <c r="A29" s="71"/>
      <c r="B29" s="71"/>
      <c r="C29" s="71"/>
      <c r="D29" s="71"/>
      <c r="E29" s="71"/>
      <c r="F29" s="71"/>
      <c r="G29" s="71"/>
      <c r="H29" s="71"/>
      <c r="I29" s="71"/>
      <c r="J29" s="71"/>
      <c r="K29" s="71"/>
    </row>
    <row r="30" spans="1:11" x14ac:dyDescent="0.2">
      <c r="A30" s="71"/>
      <c r="B30" s="71"/>
      <c r="C30" s="71"/>
      <c r="D30" s="71"/>
      <c r="E30" s="68"/>
      <c r="F30" s="71"/>
      <c r="G30" s="71"/>
      <c r="H30" s="71"/>
      <c r="I30" s="71"/>
      <c r="J30" s="71"/>
      <c r="K30" s="71"/>
    </row>
    <row r="31" spans="1:11" x14ac:dyDescent="0.2">
      <c r="A31" s="71"/>
      <c r="B31" s="71"/>
      <c r="C31" s="71"/>
      <c r="D31" s="71"/>
      <c r="E31" s="71"/>
      <c r="F31" s="71"/>
      <c r="G31" s="71"/>
      <c r="H31" s="71"/>
      <c r="I31" s="71"/>
      <c r="J31" s="71"/>
      <c r="K31" s="71"/>
    </row>
    <row r="32" spans="1:11" x14ac:dyDescent="0.2">
      <c r="A32" s="71"/>
      <c r="B32" s="71"/>
      <c r="C32" s="71"/>
      <c r="D32" s="71"/>
      <c r="E32" s="68"/>
      <c r="F32" s="71"/>
      <c r="G32" s="71"/>
      <c r="H32" s="71"/>
      <c r="I32" s="71"/>
      <c r="J32" s="71"/>
      <c r="K32" s="71"/>
    </row>
    <row r="33" spans="1:11" x14ac:dyDescent="0.2">
      <c r="A33" s="71"/>
      <c r="B33" s="70"/>
      <c r="C33" s="70"/>
      <c r="D33" s="70"/>
      <c r="E33" s="71"/>
      <c r="F33" s="70"/>
      <c r="G33" s="71"/>
      <c r="H33" s="71"/>
      <c r="I33" s="71"/>
      <c r="J33" s="71"/>
      <c r="K33" s="70"/>
    </row>
    <row r="34" spans="1:11" x14ac:dyDescent="0.2">
      <c r="A34" s="71"/>
      <c r="B34" s="71"/>
      <c r="C34" s="71"/>
      <c r="D34" s="71"/>
      <c r="E34" s="68"/>
      <c r="F34" s="71"/>
      <c r="G34" s="71"/>
      <c r="H34" s="71"/>
      <c r="I34" s="71"/>
      <c r="J34" s="71"/>
      <c r="K34" s="71"/>
    </row>
    <row r="35" spans="1:11" x14ac:dyDescent="0.2">
      <c r="A35" s="71"/>
      <c r="B35" s="71"/>
      <c r="C35" s="71"/>
      <c r="D35" s="71"/>
      <c r="E35" s="71"/>
      <c r="F35" s="71"/>
      <c r="G35" s="71"/>
      <c r="H35" s="71"/>
      <c r="I35" s="71"/>
      <c r="J35" s="71"/>
      <c r="K35" s="71"/>
    </row>
    <row r="36" spans="1:11" x14ac:dyDescent="0.2">
      <c r="A36" s="71"/>
      <c r="B36" s="71"/>
      <c r="C36" s="71"/>
      <c r="D36" s="71"/>
      <c r="E36" s="68"/>
      <c r="F36" s="71"/>
      <c r="G36" s="71"/>
      <c r="H36" s="71"/>
      <c r="I36" s="71"/>
      <c r="J36" s="71"/>
      <c r="K36" s="71"/>
    </row>
    <row r="37" spans="1:11" x14ac:dyDescent="0.2">
      <c r="A37" s="71"/>
      <c r="B37" s="71"/>
      <c r="C37" s="71"/>
      <c r="D37" s="71"/>
      <c r="E37" s="71"/>
      <c r="F37" s="71"/>
      <c r="G37" s="71"/>
      <c r="H37" s="71"/>
      <c r="I37" s="71"/>
      <c r="J37" s="71"/>
      <c r="K37" s="71"/>
    </row>
    <row r="38" spans="1:11" x14ac:dyDescent="0.2">
      <c r="A38" s="71"/>
      <c r="B38" s="71"/>
      <c r="C38" s="71"/>
      <c r="D38" s="71"/>
      <c r="E38" s="71"/>
      <c r="F38" s="71"/>
      <c r="G38" s="71"/>
      <c r="H38" s="71"/>
      <c r="I38" s="71"/>
      <c r="J38" s="71"/>
      <c r="K38" s="71"/>
    </row>
    <row r="39" spans="1:11" x14ac:dyDescent="0.2">
      <c r="A39" s="71"/>
      <c r="B39" s="71"/>
      <c r="C39" s="71"/>
      <c r="D39" s="71"/>
      <c r="E39" s="71"/>
      <c r="F39" s="71"/>
      <c r="G39" s="71"/>
      <c r="H39" s="71"/>
      <c r="I39" s="71"/>
      <c r="J39" s="71"/>
      <c r="K39" s="71"/>
    </row>
    <row r="40" spans="1:11" x14ac:dyDescent="0.2">
      <c r="A40" s="71"/>
      <c r="B40" s="71"/>
      <c r="C40" s="71"/>
      <c r="D40" s="71"/>
      <c r="E40" s="71"/>
      <c r="F40" s="71"/>
      <c r="G40" s="71"/>
      <c r="H40" s="71"/>
      <c r="I40" s="71"/>
      <c r="J40" s="71"/>
      <c r="K40" s="71"/>
    </row>
    <row r="41" spans="1:11" x14ac:dyDescent="0.2">
      <c r="A41" s="71"/>
      <c r="B41" s="71"/>
      <c r="C41" s="71"/>
      <c r="D41" s="71"/>
      <c r="E41" s="71"/>
      <c r="F41" s="71"/>
      <c r="G41" s="71"/>
      <c r="H41" s="71"/>
      <c r="I41" s="71"/>
      <c r="J41" s="71"/>
      <c r="K41" s="71"/>
    </row>
    <row r="42" spans="1:11" x14ac:dyDescent="0.2">
      <c r="A42" s="71"/>
      <c r="B42" s="70"/>
      <c r="C42" s="70"/>
      <c r="D42" s="70"/>
      <c r="E42" s="70"/>
      <c r="F42" s="70"/>
      <c r="G42" s="70"/>
      <c r="H42" s="70"/>
      <c r="I42" s="70"/>
      <c r="J42" s="70"/>
      <c r="K42" s="70"/>
    </row>
    <row r="43" spans="1:11" x14ac:dyDescent="0.2">
      <c r="A43" s="71"/>
      <c r="B43" s="71"/>
      <c r="C43" s="71"/>
      <c r="D43" s="71"/>
      <c r="E43" s="71"/>
      <c r="F43" s="71"/>
      <c r="G43" s="71"/>
      <c r="H43" s="71"/>
      <c r="I43" s="71"/>
      <c r="J43" s="71"/>
      <c r="K43" s="71"/>
    </row>
    <row r="44" spans="1:11" x14ac:dyDescent="0.2">
      <c r="A44" s="71"/>
      <c r="B44" s="71"/>
      <c r="C44" s="71"/>
      <c r="D44" s="71"/>
      <c r="E44" s="71"/>
      <c r="F44" s="71"/>
      <c r="G44" s="71"/>
      <c r="H44" s="71"/>
      <c r="I44" s="71"/>
      <c r="J44" s="71"/>
      <c r="K44" s="71"/>
    </row>
    <row r="45" spans="1:11" x14ac:dyDescent="0.2">
      <c r="A45" s="71"/>
      <c r="B45" s="70"/>
      <c r="C45" s="70"/>
      <c r="D45" s="70"/>
      <c r="E45" s="68"/>
      <c r="F45" s="70"/>
      <c r="G45" s="70"/>
      <c r="H45" s="70"/>
      <c r="I45" s="70"/>
      <c r="J45" s="70"/>
      <c r="K45" s="70"/>
    </row>
    <row r="46" spans="1:11" x14ac:dyDescent="0.2">
      <c r="A46" s="71"/>
      <c r="B46" s="71"/>
      <c r="C46" s="71"/>
      <c r="D46" s="71"/>
      <c r="E46" s="71"/>
      <c r="F46" s="71"/>
      <c r="G46" s="71"/>
      <c r="H46" s="71"/>
      <c r="I46" s="71"/>
      <c r="J46" s="71"/>
      <c r="K46" s="71"/>
    </row>
    <row r="47" spans="1:11" x14ac:dyDescent="0.2">
      <c r="A47" s="71"/>
      <c r="B47" s="71"/>
      <c r="C47" s="71"/>
      <c r="D47" s="71"/>
      <c r="E47" s="68"/>
      <c r="F47" s="71"/>
      <c r="G47" s="71"/>
      <c r="H47" s="71"/>
      <c r="I47" s="71"/>
      <c r="J47" s="71"/>
      <c r="K47" s="71"/>
    </row>
    <row r="48" spans="1:11" x14ac:dyDescent="0.2">
      <c r="A48" s="71"/>
      <c r="B48" s="71"/>
      <c r="C48" s="71"/>
      <c r="D48" s="71"/>
      <c r="E48" s="68"/>
      <c r="F48" s="71"/>
      <c r="G48" s="71"/>
      <c r="H48" s="71"/>
      <c r="I48" s="71"/>
      <c r="J48" s="71"/>
      <c r="K48" s="71"/>
    </row>
    <row r="49" spans="1:11" x14ac:dyDescent="0.2">
      <c r="A49" s="71"/>
      <c r="B49" s="71"/>
      <c r="C49" s="71"/>
      <c r="D49" s="71"/>
      <c r="E49" s="68"/>
      <c r="F49" s="71"/>
      <c r="G49" s="71"/>
      <c r="H49" s="71"/>
      <c r="I49" s="71"/>
      <c r="J49" s="71"/>
      <c r="K49" s="71"/>
    </row>
    <row r="50" spans="1:11" x14ac:dyDescent="0.2">
      <c r="A50" s="71"/>
      <c r="B50" s="70"/>
      <c r="C50" s="70"/>
      <c r="D50" s="70"/>
      <c r="E50" s="70"/>
      <c r="F50" s="70"/>
      <c r="G50" s="70"/>
      <c r="H50" s="70"/>
      <c r="I50" s="70"/>
      <c r="J50" s="70"/>
      <c r="K50" s="70"/>
    </row>
    <row r="51" spans="1:11" x14ac:dyDescent="0.2">
      <c r="A51" s="71"/>
      <c r="B51" s="71"/>
      <c r="C51" s="71"/>
      <c r="D51" s="71"/>
      <c r="E51" s="71"/>
      <c r="F51" s="71"/>
      <c r="G51" s="71"/>
      <c r="H51" s="71"/>
      <c r="I51" s="71"/>
      <c r="J51" s="71"/>
      <c r="K51" s="71"/>
    </row>
    <row r="52" spans="1:11" x14ac:dyDescent="0.2">
      <c r="A52" s="71"/>
      <c r="B52" s="71"/>
      <c r="C52" s="71"/>
      <c r="D52" s="71"/>
      <c r="E52" s="68"/>
      <c r="F52" s="71"/>
      <c r="G52" s="71"/>
      <c r="H52" s="71"/>
      <c r="I52" s="71"/>
      <c r="J52" s="71"/>
      <c r="K52" s="71"/>
    </row>
    <row r="53" spans="1:11" x14ac:dyDescent="0.2">
      <c r="A53" s="71"/>
      <c r="B53" s="70"/>
      <c r="C53" s="70"/>
      <c r="D53" s="70"/>
      <c r="E53" s="70"/>
      <c r="F53" s="70"/>
      <c r="G53" s="70"/>
      <c r="H53" s="70"/>
      <c r="I53" s="70"/>
      <c r="J53" s="70"/>
      <c r="K53" s="70"/>
    </row>
    <row r="54" spans="1:11" x14ac:dyDescent="0.2">
      <c r="A54" s="71"/>
      <c r="B54" s="70"/>
      <c r="C54" s="70"/>
      <c r="D54" s="70"/>
      <c r="E54" s="71"/>
      <c r="F54" s="70"/>
      <c r="G54" s="71"/>
      <c r="H54" s="71"/>
      <c r="I54" s="71"/>
      <c r="J54" s="71"/>
      <c r="K54" s="70"/>
    </row>
    <row r="55" spans="1:11" x14ac:dyDescent="0.2">
      <c r="A55" s="71"/>
      <c r="B55" s="70"/>
      <c r="C55" s="70"/>
      <c r="D55" s="70"/>
      <c r="E55" s="70"/>
      <c r="F55" s="70"/>
      <c r="G55" s="70"/>
      <c r="H55" s="70"/>
      <c r="I55" s="70"/>
      <c r="J55" s="70"/>
      <c r="K55" s="70"/>
    </row>
    <row r="57" spans="1:11" ht="29" x14ac:dyDescent="0.2">
      <c r="A57" s="100" t="s">
        <v>658</v>
      </c>
      <c r="B57" s="100" t="s">
        <v>1534</v>
      </c>
      <c r="C57" s="100" t="s">
        <v>1535</v>
      </c>
      <c r="D57" s="100"/>
      <c r="E57" s="100" t="s">
        <v>1536</v>
      </c>
      <c r="F57" s="101" t="s">
        <v>1537</v>
      </c>
      <c r="G57" s="100" t="s">
        <v>1538</v>
      </c>
      <c r="H57" s="100"/>
      <c r="I57" s="100" t="s">
        <v>1539</v>
      </c>
      <c r="J57" s="100"/>
      <c r="K57" s="101" t="s">
        <v>1540</v>
      </c>
    </row>
    <row r="58" spans="1:11" ht="43" x14ac:dyDescent="0.2">
      <c r="A58" s="100" t="s">
        <v>772</v>
      </c>
      <c r="B58" s="100" t="s">
        <v>1541</v>
      </c>
      <c r="C58" s="100" t="s">
        <v>914</v>
      </c>
      <c r="D58" s="100"/>
      <c r="E58" s="100" t="s">
        <v>1542</v>
      </c>
      <c r="F58" s="101" t="s">
        <v>1543</v>
      </c>
      <c r="G58" s="100"/>
      <c r="H58" s="100"/>
      <c r="I58" s="100" t="s">
        <v>1544</v>
      </c>
      <c r="J58" s="100"/>
      <c r="K58" s="101" t="s">
        <v>1540</v>
      </c>
    </row>
    <row r="59" spans="1:11" ht="43" x14ac:dyDescent="0.2">
      <c r="A59" s="100" t="s">
        <v>772</v>
      </c>
      <c r="B59" s="100" t="s">
        <v>1545</v>
      </c>
      <c r="C59" s="100" t="s">
        <v>1546</v>
      </c>
      <c r="D59" s="100"/>
      <c r="E59" s="100" t="s">
        <v>1547</v>
      </c>
      <c r="F59" s="101" t="s">
        <v>1548</v>
      </c>
      <c r="G59" s="100"/>
      <c r="H59" s="100"/>
      <c r="I59" s="100" t="s">
        <v>1544</v>
      </c>
      <c r="J59" s="100"/>
      <c r="K59" s="101" t="s">
        <v>1540</v>
      </c>
    </row>
    <row r="60" spans="1:11" ht="29" x14ac:dyDescent="0.2">
      <c r="A60" s="100" t="s">
        <v>650</v>
      </c>
      <c r="B60" s="100" t="s">
        <v>1549</v>
      </c>
      <c r="C60" s="100" t="s">
        <v>1550</v>
      </c>
      <c r="D60" s="100"/>
      <c r="E60" s="100" t="s">
        <v>1551</v>
      </c>
      <c r="F60" s="100" t="s">
        <v>1552</v>
      </c>
      <c r="G60" s="100"/>
      <c r="H60" s="100"/>
      <c r="I60" s="100" t="s">
        <v>1544</v>
      </c>
      <c r="J60" s="100"/>
      <c r="K60" s="101" t="s">
        <v>1540</v>
      </c>
    </row>
    <row r="61" spans="1:11" ht="29" x14ac:dyDescent="0.2">
      <c r="A61" s="100" t="s">
        <v>650</v>
      </c>
      <c r="B61" s="100" t="s">
        <v>1553</v>
      </c>
      <c r="C61" s="100" t="s">
        <v>1554</v>
      </c>
      <c r="D61" s="100"/>
      <c r="E61" s="100" t="s">
        <v>1555</v>
      </c>
      <c r="F61" s="100" t="s">
        <v>1552</v>
      </c>
      <c r="G61" s="100" t="s">
        <v>1556</v>
      </c>
      <c r="H61" s="100"/>
      <c r="I61" s="100" t="s">
        <v>1544</v>
      </c>
      <c r="J61" s="100"/>
      <c r="K61" s="101" t="s">
        <v>1540</v>
      </c>
    </row>
    <row r="62" spans="1:11" ht="43" x14ac:dyDescent="0.2">
      <c r="A62" s="120" t="s">
        <v>772</v>
      </c>
      <c r="B62" s="100" t="s">
        <v>1557</v>
      </c>
      <c r="C62" s="100" t="s">
        <v>1558</v>
      </c>
      <c r="D62" s="100"/>
      <c r="E62" s="100" t="s">
        <v>1559</v>
      </c>
      <c r="F62" s="101" t="s">
        <v>1548</v>
      </c>
      <c r="G62" s="100"/>
      <c r="H62" s="100"/>
      <c r="I62" s="100" t="s">
        <v>1544</v>
      </c>
      <c r="J62" s="100"/>
      <c r="K62" s="101"/>
    </row>
    <row r="63" spans="1:11" ht="57" x14ac:dyDescent="0.2">
      <c r="A63" s="100" t="s">
        <v>195</v>
      </c>
      <c r="B63" s="100" t="s">
        <v>1560</v>
      </c>
      <c r="C63" s="100" t="s">
        <v>1020</v>
      </c>
      <c r="D63" s="100"/>
      <c r="E63" s="100" t="s">
        <v>1561</v>
      </c>
      <c r="F63" s="101" t="s">
        <v>1562</v>
      </c>
      <c r="G63" s="100" t="s">
        <v>1563</v>
      </c>
      <c r="H63" s="100"/>
      <c r="I63" s="100" t="s">
        <v>1564</v>
      </c>
      <c r="J63" s="100"/>
      <c r="K63" s="101" t="s">
        <v>1540</v>
      </c>
    </row>
    <row r="64" spans="1:11" ht="409.6" x14ac:dyDescent="0.2">
      <c r="A64" s="100" t="s">
        <v>623</v>
      </c>
      <c r="B64" s="100" t="s">
        <v>1565</v>
      </c>
      <c r="C64" s="100"/>
      <c r="D64" s="100"/>
      <c r="E64" s="100" t="s">
        <v>1566</v>
      </c>
      <c r="F64" s="100" t="s">
        <v>1567</v>
      </c>
      <c r="G64" s="100"/>
      <c r="H64" s="100"/>
      <c r="I64" s="100" t="s">
        <v>1568</v>
      </c>
      <c r="J64" s="100"/>
      <c r="K64" s="101" t="s">
        <v>1569</v>
      </c>
    </row>
    <row r="65" spans="1:11" ht="333" x14ac:dyDescent="0.2">
      <c r="A65" s="100" t="s">
        <v>752</v>
      </c>
      <c r="B65" s="100" t="s">
        <v>1570</v>
      </c>
      <c r="C65" s="100"/>
      <c r="D65" s="100"/>
      <c r="E65" s="100" t="s">
        <v>1571</v>
      </c>
      <c r="F65" s="100" t="s">
        <v>1572</v>
      </c>
      <c r="G65" s="100"/>
      <c r="H65" s="100"/>
      <c r="I65" s="100" t="s">
        <v>1573</v>
      </c>
      <c r="J65" s="100"/>
      <c r="K65" s="101" t="s">
        <v>1574</v>
      </c>
    </row>
    <row r="66" spans="1:11" ht="346" x14ac:dyDescent="0.2">
      <c r="A66" s="100" t="s">
        <v>752</v>
      </c>
      <c r="B66" s="100" t="s">
        <v>1575</v>
      </c>
      <c r="C66" s="100"/>
      <c r="D66" s="100"/>
      <c r="E66" s="100" t="s">
        <v>1576</v>
      </c>
      <c r="F66" s="100" t="s">
        <v>1572</v>
      </c>
      <c r="G66" s="100"/>
      <c r="H66" s="100"/>
      <c r="I66" s="100" t="s">
        <v>1573</v>
      </c>
      <c r="J66" s="100"/>
      <c r="K66" s="101" t="s">
        <v>1577</v>
      </c>
    </row>
    <row r="67" spans="1:11" ht="398" x14ac:dyDescent="0.2">
      <c r="A67" s="100" t="s">
        <v>810</v>
      </c>
      <c r="B67" s="100" t="s">
        <v>1578</v>
      </c>
      <c r="C67" s="100"/>
      <c r="D67" s="100"/>
      <c r="E67" s="100" t="s">
        <v>1579</v>
      </c>
      <c r="F67" s="100" t="s">
        <v>1580</v>
      </c>
      <c r="G67" s="100"/>
      <c r="H67" s="100"/>
      <c r="I67" s="100" t="s">
        <v>1573</v>
      </c>
      <c r="J67" s="100"/>
      <c r="K67" s="101" t="s">
        <v>1581</v>
      </c>
    </row>
    <row r="68" spans="1:11" ht="409.6" x14ac:dyDescent="0.2">
      <c r="A68" s="100" t="s">
        <v>810</v>
      </c>
      <c r="B68" s="100" t="s">
        <v>1582</v>
      </c>
      <c r="C68" s="100"/>
      <c r="D68" s="100"/>
      <c r="E68" s="100" t="s">
        <v>1583</v>
      </c>
      <c r="F68" s="100" t="s">
        <v>1580</v>
      </c>
      <c r="G68" s="100"/>
      <c r="H68" s="100"/>
      <c r="I68" s="100" t="s">
        <v>1573</v>
      </c>
      <c r="J68" s="100"/>
      <c r="K68" s="101" t="s">
        <v>1584</v>
      </c>
    </row>
    <row r="69" spans="1:11" ht="239" x14ac:dyDescent="0.2">
      <c r="A69" s="100" t="s">
        <v>824</v>
      </c>
      <c r="B69" s="100" t="s">
        <v>1585</v>
      </c>
      <c r="C69" s="100"/>
      <c r="D69" s="100"/>
      <c r="E69" s="100" t="s">
        <v>1586</v>
      </c>
      <c r="F69" s="100" t="s">
        <v>1587</v>
      </c>
      <c r="G69" s="100"/>
      <c r="H69" s="100"/>
      <c r="I69" s="100" t="s">
        <v>1573</v>
      </c>
      <c r="J69" s="100"/>
      <c r="K69" s="101" t="s">
        <v>1588</v>
      </c>
    </row>
    <row r="70" spans="1:11" ht="253" x14ac:dyDescent="0.2">
      <c r="A70" s="100" t="s">
        <v>824</v>
      </c>
      <c r="B70" s="100" t="s">
        <v>1589</v>
      </c>
      <c r="C70" s="100"/>
      <c r="D70" s="100"/>
      <c r="E70" s="100" t="s">
        <v>1590</v>
      </c>
      <c r="F70" s="100" t="s">
        <v>1587</v>
      </c>
      <c r="G70" s="100"/>
      <c r="H70" s="100"/>
      <c r="I70" s="100" t="s">
        <v>1573</v>
      </c>
      <c r="J70" s="100"/>
      <c r="K70" s="101" t="s">
        <v>1591</v>
      </c>
    </row>
    <row r="71" spans="1:11" ht="239" x14ac:dyDescent="0.2">
      <c r="A71" s="100" t="s">
        <v>808</v>
      </c>
      <c r="B71" s="100" t="s">
        <v>1592</v>
      </c>
      <c r="C71" s="100"/>
      <c r="D71" s="100"/>
      <c r="E71" s="100" t="s">
        <v>1593</v>
      </c>
      <c r="F71" s="100" t="s">
        <v>1594</v>
      </c>
      <c r="G71" s="100"/>
      <c r="H71" s="100"/>
      <c r="I71" s="100" t="s">
        <v>1595</v>
      </c>
      <c r="J71" s="100"/>
      <c r="K71" s="101" t="s">
        <v>1596</v>
      </c>
    </row>
    <row r="72" spans="1:11" ht="253" x14ac:dyDescent="0.2">
      <c r="A72" s="100" t="s">
        <v>808</v>
      </c>
      <c r="B72" s="100" t="s">
        <v>1597</v>
      </c>
      <c r="C72" s="100"/>
      <c r="D72" s="100"/>
      <c r="E72" s="100" t="s">
        <v>1598</v>
      </c>
      <c r="F72" s="100" t="s">
        <v>1594</v>
      </c>
      <c r="G72" s="100"/>
      <c r="H72" s="100"/>
      <c r="I72" s="100" t="s">
        <v>1595</v>
      </c>
      <c r="J72" s="100"/>
      <c r="K72" s="101" t="s">
        <v>1599</v>
      </c>
    </row>
    <row r="73" spans="1:11" ht="281" x14ac:dyDescent="0.2">
      <c r="A73" s="100" t="s">
        <v>631</v>
      </c>
      <c r="B73" s="100" t="s">
        <v>1600</v>
      </c>
      <c r="C73" s="100"/>
      <c r="D73" s="100"/>
      <c r="E73" s="100" t="s">
        <v>1601</v>
      </c>
      <c r="F73" s="100" t="s">
        <v>1602</v>
      </c>
      <c r="G73" s="100"/>
      <c r="H73" s="100"/>
      <c r="I73" s="100" t="s">
        <v>1603</v>
      </c>
      <c r="J73" s="100"/>
      <c r="K73" s="101" t="s">
        <v>1604</v>
      </c>
    </row>
    <row r="74" spans="1:11" ht="281" x14ac:dyDescent="0.2">
      <c r="A74" s="100" t="s">
        <v>631</v>
      </c>
      <c r="B74" s="100" t="s">
        <v>1605</v>
      </c>
      <c r="C74" s="100"/>
      <c r="D74" s="100"/>
      <c r="E74" s="100" t="s">
        <v>1606</v>
      </c>
      <c r="F74" s="100" t="s">
        <v>1602</v>
      </c>
      <c r="G74" s="100"/>
      <c r="H74" s="100"/>
      <c r="I74" s="100" t="s">
        <v>1603</v>
      </c>
      <c r="J74" s="100"/>
      <c r="K74" s="101" t="s">
        <v>1604</v>
      </c>
    </row>
    <row r="75" spans="1:11" ht="359" x14ac:dyDescent="0.2">
      <c r="A75" s="100" t="s">
        <v>689</v>
      </c>
      <c r="B75" s="100" t="s">
        <v>1607</v>
      </c>
      <c r="C75" s="100"/>
      <c r="D75" s="100"/>
      <c r="E75" s="100" t="s">
        <v>1608</v>
      </c>
      <c r="F75" s="100" t="s">
        <v>1609</v>
      </c>
      <c r="G75" s="100"/>
      <c r="H75" s="100"/>
      <c r="I75" s="100" t="s">
        <v>1603</v>
      </c>
      <c r="J75" s="100"/>
      <c r="K75" s="101" t="s">
        <v>1610</v>
      </c>
    </row>
    <row r="76" spans="1:11" ht="372" x14ac:dyDescent="0.2">
      <c r="A76" s="100" t="s">
        <v>689</v>
      </c>
      <c r="B76" s="100" t="s">
        <v>1611</v>
      </c>
      <c r="C76" s="100"/>
      <c r="D76" s="100"/>
      <c r="E76" s="100" t="s">
        <v>1612</v>
      </c>
      <c r="F76" s="100" t="s">
        <v>1609</v>
      </c>
      <c r="G76" s="100"/>
      <c r="H76" s="100"/>
      <c r="I76" s="100" t="s">
        <v>1603</v>
      </c>
      <c r="J76" s="100"/>
      <c r="K76" s="101" t="s">
        <v>1613</v>
      </c>
    </row>
    <row r="77" spans="1:11" ht="409.6" x14ac:dyDescent="0.2">
      <c r="A77" s="100" t="s">
        <v>852</v>
      </c>
      <c r="B77" s="100" t="s">
        <v>1614</v>
      </c>
      <c r="C77" s="100"/>
      <c r="D77" s="100"/>
      <c r="E77" s="100" t="s">
        <v>1615</v>
      </c>
      <c r="F77" s="100" t="s">
        <v>1616</v>
      </c>
      <c r="G77" s="100"/>
      <c r="H77" s="100"/>
      <c r="I77" s="100" t="s">
        <v>1603</v>
      </c>
      <c r="J77" s="100"/>
      <c r="K77" s="101" t="s">
        <v>1617</v>
      </c>
    </row>
    <row r="78" spans="1:11" ht="333" x14ac:dyDescent="0.2">
      <c r="A78" s="100" t="s">
        <v>776</v>
      </c>
      <c r="B78" s="100" t="s">
        <v>1618</v>
      </c>
      <c r="C78" s="100"/>
      <c r="D78" s="100"/>
      <c r="E78" s="100" t="s">
        <v>1619</v>
      </c>
      <c r="F78" s="100" t="s">
        <v>1620</v>
      </c>
      <c r="G78" s="100"/>
      <c r="H78" s="100"/>
      <c r="I78" s="100" t="s">
        <v>1621</v>
      </c>
      <c r="J78" s="100"/>
      <c r="K78" s="101" t="s">
        <v>1622</v>
      </c>
    </row>
    <row r="79" spans="1:11" ht="320" x14ac:dyDescent="0.2">
      <c r="A79" s="100" t="s">
        <v>776</v>
      </c>
      <c r="B79" s="100" t="s">
        <v>1623</v>
      </c>
      <c r="C79" s="100"/>
      <c r="D79" s="100"/>
      <c r="E79" s="100" t="s">
        <v>1624</v>
      </c>
      <c r="F79" s="100" t="s">
        <v>1620</v>
      </c>
      <c r="G79" s="100"/>
      <c r="H79" s="100"/>
      <c r="I79" s="100" t="s">
        <v>1621</v>
      </c>
      <c r="J79" s="100"/>
      <c r="K79" s="101" t="s">
        <v>1625</v>
      </c>
    </row>
    <row r="80" spans="1:11" ht="57" x14ac:dyDescent="0.2">
      <c r="A80" s="100" t="s">
        <v>538</v>
      </c>
      <c r="B80" s="100" t="s">
        <v>1626</v>
      </c>
      <c r="C80" s="100" t="s">
        <v>1627</v>
      </c>
      <c r="D80" s="100"/>
      <c r="E80" s="100" t="s">
        <v>1628</v>
      </c>
      <c r="F80" s="101" t="s">
        <v>1629</v>
      </c>
      <c r="G80" s="100" t="s">
        <v>1630</v>
      </c>
      <c r="H80" s="100"/>
      <c r="I80" s="100" t="s">
        <v>1631</v>
      </c>
      <c r="J80" s="100"/>
      <c r="K80" s="101" t="s">
        <v>1540</v>
      </c>
    </row>
    <row r="81" spans="1:11" ht="183" x14ac:dyDescent="0.2">
      <c r="A81" s="100" t="s">
        <v>820</v>
      </c>
      <c r="B81" s="100" t="s">
        <v>1632</v>
      </c>
      <c r="C81" s="100" t="s">
        <v>1633</v>
      </c>
      <c r="D81" s="100"/>
      <c r="E81" s="100" t="s">
        <v>1634</v>
      </c>
      <c r="F81" s="100" t="s">
        <v>1635</v>
      </c>
      <c r="G81" s="100" t="s">
        <v>1636</v>
      </c>
      <c r="H81" s="100"/>
      <c r="I81" s="100" t="s">
        <v>1637</v>
      </c>
      <c r="J81" s="100"/>
      <c r="K81" s="101" t="s">
        <v>1638</v>
      </c>
    </row>
    <row r="82" spans="1:11" ht="29" x14ac:dyDescent="0.2">
      <c r="A82" s="100" t="s">
        <v>46</v>
      </c>
      <c r="B82" s="100" t="s">
        <v>1639</v>
      </c>
      <c r="C82" s="100" t="s">
        <v>1198</v>
      </c>
      <c r="D82" s="100"/>
      <c r="E82" s="100" t="s">
        <v>1640</v>
      </c>
      <c r="F82" s="101" t="s">
        <v>1641</v>
      </c>
      <c r="G82" s="100" t="s">
        <v>1642</v>
      </c>
      <c r="H82" s="100"/>
      <c r="I82" s="100" t="s">
        <v>1643</v>
      </c>
      <c r="J82" s="100"/>
      <c r="K82" s="101" t="s">
        <v>1540</v>
      </c>
    </row>
    <row r="83" spans="1:11" ht="29" x14ac:dyDescent="0.2">
      <c r="A83" s="100" t="s">
        <v>46</v>
      </c>
      <c r="B83" s="100" t="s">
        <v>1644</v>
      </c>
      <c r="C83" s="100" t="s">
        <v>1645</v>
      </c>
      <c r="D83" s="100"/>
      <c r="E83" s="100" t="s">
        <v>957</v>
      </c>
      <c r="F83" s="101" t="s">
        <v>1641</v>
      </c>
      <c r="G83" s="100"/>
      <c r="H83" s="100"/>
      <c r="I83" s="100" t="s">
        <v>1643</v>
      </c>
      <c r="J83" s="100">
        <v>560002</v>
      </c>
      <c r="K83" s="101" t="s">
        <v>1540</v>
      </c>
    </row>
    <row r="84" spans="1:11" x14ac:dyDescent="0.2">
      <c r="A84" s="100" t="s">
        <v>304</v>
      </c>
      <c r="B84" s="100" t="s">
        <v>1646</v>
      </c>
      <c r="C84" s="100" t="s">
        <v>1647</v>
      </c>
      <c r="D84" s="100" t="s">
        <v>1648</v>
      </c>
      <c r="E84" s="100" t="s">
        <v>1649</v>
      </c>
      <c r="F84" s="100" t="s">
        <v>1650</v>
      </c>
      <c r="G84" s="100" t="s">
        <v>1651</v>
      </c>
      <c r="H84" s="100"/>
      <c r="I84" s="100" t="s">
        <v>1652</v>
      </c>
      <c r="J84" s="100"/>
      <c r="K84" s="100"/>
    </row>
    <row r="85" spans="1:11" ht="29" x14ac:dyDescent="0.2">
      <c r="A85" s="100" t="s">
        <v>754</v>
      </c>
      <c r="B85" s="100" t="s">
        <v>1653</v>
      </c>
      <c r="C85" s="100"/>
      <c r="D85" s="100"/>
      <c r="E85" s="100" t="s">
        <v>1654</v>
      </c>
      <c r="F85" s="100" t="s">
        <v>1655</v>
      </c>
      <c r="G85" s="100"/>
      <c r="H85" s="100"/>
      <c r="I85" s="100" t="s">
        <v>1656</v>
      </c>
      <c r="J85" s="100"/>
      <c r="K85" s="101" t="s">
        <v>1657</v>
      </c>
    </row>
    <row r="86" spans="1:11" ht="29" x14ac:dyDescent="0.2">
      <c r="A86" s="100" t="s">
        <v>754</v>
      </c>
      <c r="B86" s="100" t="s">
        <v>1658</v>
      </c>
      <c r="C86" s="100"/>
      <c r="D86" s="100"/>
      <c r="E86" s="100" t="s">
        <v>1659</v>
      </c>
      <c r="F86" s="100" t="s">
        <v>1655</v>
      </c>
      <c r="G86" s="100"/>
      <c r="H86" s="100"/>
      <c r="I86" s="100" t="s">
        <v>1656</v>
      </c>
      <c r="J86" s="100"/>
      <c r="K86" s="101" t="s">
        <v>1657</v>
      </c>
    </row>
    <row r="87" spans="1:11" ht="359" x14ac:dyDescent="0.2">
      <c r="A87" s="100" t="s">
        <v>804</v>
      </c>
      <c r="B87" s="100" t="s">
        <v>1660</v>
      </c>
      <c r="C87" s="100"/>
      <c r="D87" s="100"/>
      <c r="E87" s="100" t="s">
        <v>1661</v>
      </c>
      <c r="F87" s="100" t="s">
        <v>1662</v>
      </c>
      <c r="G87" s="100"/>
      <c r="H87" s="100"/>
      <c r="I87" s="100" t="s">
        <v>1656</v>
      </c>
      <c r="J87" s="100"/>
      <c r="K87" s="101" t="s">
        <v>1663</v>
      </c>
    </row>
    <row r="88" spans="1:11" ht="57" x14ac:dyDescent="0.2">
      <c r="A88" s="100" t="s">
        <v>238</v>
      </c>
      <c r="B88" s="100" t="s">
        <v>1664</v>
      </c>
      <c r="C88" s="100" t="s">
        <v>928</v>
      </c>
      <c r="D88" s="100"/>
      <c r="E88" s="100" t="s">
        <v>1665</v>
      </c>
      <c r="F88" s="101" t="s">
        <v>1666</v>
      </c>
      <c r="G88" s="100" t="s">
        <v>1667</v>
      </c>
      <c r="H88" s="100"/>
      <c r="I88" s="100" t="s">
        <v>1668</v>
      </c>
      <c r="J88" s="100"/>
      <c r="K88" s="101" t="s">
        <v>1540</v>
      </c>
    </row>
    <row r="89" spans="1:11" ht="29" x14ac:dyDescent="0.2">
      <c r="A89" s="100" t="s">
        <v>652</v>
      </c>
      <c r="B89" s="100" t="s">
        <v>1669</v>
      </c>
      <c r="C89" s="100"/>
      <c r="D89" s="100"/>
      <c r="E89" s="100" t="s">
        <v>1670</v>
      </c>
      <c r="F89" s="100" t="s">
        <v>1671</v>
      </c>
      <c r="G89" s="100"/>
      <c r="H89" s="100"/>
      <c r="I89" s="100" t="s">
        <v>1672</v>
      </c>
      <c r="J89" s="100"/>
      <c r="K89" s="101" t="s">
        <v>1657</v>
      </c>
    </row>
    <row r="90" spans="1:11" ht="57" x14ac:dyDescent="0.2">
      <c r="A90" s="100" t="s">
        <v>652</v>
      </c>
      <c r="B90" s="100" t="s">
        <v>1673</v>
      </c>
      <c r="C90" s="100"/>
      <c r="D90" s="100"/>
      <c r="E90" s="100" t="s">
        <v>1674</v>
      </c>
      <c r="F90" s="100" t="s">
        <v>1671</v>
      </c>
      <c r="G90" s="100"/>
      <c r="H90" s="100"/>
      <c r="I90" s="100" t="s">
        <v>1672</v>
      </c>
      <c r="J90" s="100"/>
      <c r="K90" s="101" t="s">
        <v>1675</v>
      </c>
    </row>
    <row r="91" spans="1:11" ht="85" x14ac:dyDescent="0.2">
      <c r="A91" s="100" t="s">
        <v>369</v>
      </c>
      <c r="B91" s="100" t="s">
        <v>1676</v>
      </c>
      <c r="C91" s="100" t="s">
        <v>1221</v>
      </c>
      <c r="D91" s="100"/>
      <c r="E91" s="100" t="s">
        <v>1222</v>
      </c>
      <c r="F91" s="101" t="s">
        <v>1677</v>
      </c>
      <c r="G91" s="100"/>
      <c r="H91" s="100"/>
      <c r="I91" s="100" t="s">
        <v>1678</v>
      </c>
      <c r="J91" s="100"/>
      <c r="K91" s="101" t="s">
        <v>1540</v>
      </c>
    </row>
    <row r="92" spans="1:11" ht="71" x14ac:dyDescent="0.2">
      <c r="A92" s="100" t="s">
        <v>97</v>
      </c>
      <c r="B92" s="100" t="s">
        <v>927</v>
      </c>
      <c r="C92" s="100" t="s">
        <v>928</v>
      </c>
      <c r="D92" s="100"/>
      <c r="E92" s="100" t="s">
        <v>1679</v>
      </c>
      <c r="F92" s="101" t="s">
        <v>1680</v>
      </c>
      <c r="G92" s="100"/>
      <c r="H92" s="100"/>
      <c r="I92" s="100" t="s">
        <v>1678</v>
      </c>
      <c r="J92" s="100"/>
      <c r="K92" s="101" t="s">
        <v>1540</v>
      </c>
    </row>
    <row r="93" spans="1:11" ht="141" x14ac:dyDescent="0.2">
      <c r="A93" s="100" t="s">
        <v>1681</v>
      </c>
      <c r="B93" s="100" t="s">
        <v>1682</v>
      </c>
      <c r="C93" s="100" t="s">
        <v>1134</v>
      </c>
      <c r="D93" s="100"/>
      <c r="E93" s="100" t="s">
        <v>1683</v>
      </c>
      <c r="F93" s="101" t="s">
        <v>1260</v>
      </c>
      <c r="G93" s="100"/>
      <c r="H93" s="100"/>
      <c r="I93" s="100" t="s">
        <v>1227</v>
      </c>
      <c r="J93" s="100"/>
      <c r="K93" s="101" t="s">
        <v>1684</v>
      </c>
    </row>
    <row r="94" spans="1:11" ht="29" x14ac:dyDescent="0.2">
      <c r="A94" s="100" t="s">
        <v>1685</v>
      </c>
      <c r="B94" s="100" t="s">
        <v>1686</v>
      </c>
      <c r="C94" s="100" t="s">
        <v>1134</v>
      </c>
      <c r="D94" s="100"/>
      <c r="E94" s="100" t="s">
        <v>1687</v>
      </c>
      <c r="F94" s="101" t="s">
        <v>1260</v>
      </c>
      <c r="G94" s="100"/>
      <c r="H94" s="100"/>
      <c r="I94" s="100" t="s">
        <v>1227</v>
      </c>
      <c r="J94" s="100"/>
      <c r="K94" s="101" t="s">
        <v>1540</v>
      </c>
    </row>
    <row r="95" spans="1:11" ht="57" x14ac:dyDescent="0.2">
      <c r="A95" s="100" t="s">
        <v>328</v>
      </c>
      <c r="B95" s="100" t="s">
        <v>1246</v>
      </c>
      <c r="C95" s="100" t="s">
        <v>1247</v>
      </c>
      <c r="D95" s="100"/>
      <c r="E95" s="100" t="s">
        <v>1248</v>
      </c>
      <c r="F95" s="101" t="s">
        <v>1688</v>
      </c>
      <c r="G95" s="100" t="s">
        <v>1249</v>
      </c>
      <c r="H95" s="100"/>
      <c r="I95" s="100" t="s">
        <v>1689</v>
      </c>
      <c r="J95" s="100"/>
      <c r="K95" s="101" t="s">
        <v>1540</v>
      </c>
    </row>
    <row r="96" spans="1:11" ht="43" x14ac:dyDescent="0.2">
      <c r="A96" s="100" t="s">
        <v>1690</v>
      </c>
      <c r="B96" s="100" t="s">
        <v>1691</v>
      </c>
      <c r="C96" s="100" t="s">
        <v>1692</v>
      </c>
      <c r="D96" s="100"/>
      <c r="E96" s="100" t="s">
        <v>1693</v>
      </c>
      <c r="F96" s="101" t="s">
        <v>1694</v>
      </c>
      <c r="G96" s="100" t="s">
        <v>1695</v>
      </c>
      <c r="H96" s="100"/>
      <c r="I96" s="100" t="s">
        <v>1689</v>
      </c>
      <c r="J96" s="100"/>
      <c r="K96" s="101" t="s">
        <v>1540</v>
      </c>
    </row>
    <row r="97" spans="1:11" ht="29" x14ac:dyDescent="0.2">
      <c r="A97" s="100" t="s">
        <v>1696</v>
      </c>
      <c r="B97" s="100" t="s">
        <v>1697</v>
      </c>
      <c r="C97" s="100" t="s">
        <v>1698</v>
      </c>
      <c r="D97" s="100"/>
      <c r="E97" s="100" t="s">
        <v>1699</v>
      </c>
      <c r="F97" s="100" t="s">
        <v>1700</v>
      </c>
      <c r="G97" s="100">
        <v>9492259297</v>
      </c>
      <c r="H97" s="100"/>
      <c r="I97" s="100" t="s">
        <v>1689</v>
      </c>
      <c r="J97" s="100"/>
      <c r="K97" s="101" t="s">
        <v>1540</v>
      </c>
    </row>
    <row r="98" spans="1:11" ht="29" x14ac:dyDescent="0.2">
      <c r="A98" s="100" t="s">
        <v>46</v>
      </c>
      <c r="B98" s="100" t="s">
        <v>1701</v>
      </c>
      <c r="C98" s="100" t="s">
        <v>1702</v>
      </c>
      <c r="D98" s="100"/>
      <c r="E98" s="100" t="s">
        <v>1703</v>
      </c>
      <c r="F98" s="101" t="s">
        <v>1704</v>
      </c>
      <c r="G98" s="100" t="s">
        <v>1705</v>
      </c>
      <c r="H98" s="100"/>
      <c r="I98" s="100" t="s">
        <v>1689</v>
      </c>
      <c r="J98" s="100"/>
      <c r="K98" s="101" t="s">
        <v>1540</v>
      </c>
    </row>
    <row r="99" spans="1:11" ht="29" x14ac:dyDescent="0.2">
      <c r="A99" s="100" t="s">
        <v>52</v>
      </c>
      <c r="B99" s="100" t="s">
        <v>1706</v>
      </c>
      <c r="C99" s="100" t="s">
        <v>1707</v>
      </c>
      <c r="D99" s="100"/>
      <c r="E99" s="100" t="s">
        <v>1708</v>
      </c>
      <c r="F99" s="101" t="s">
        <v>1709</v>
      </c>
      <c r="G99" s="100" t="s">
        <v>1710</v>
      </c>
      <c r="H99" s="100"/>
      <c r="I99" s="100" t="s">
        <v>1689</v>
      </c>
      <c r="J99" s="100"/>
      <c r="K99" s="101" t="s">
        <v>1540</v>
      </c>
    </row>
    <row r="100" spans="1:11" ht="57" x14ac:dyDescent="0.2">
      <c r="A100" s="100" t="s">
        <v>328</v>
      </c>
      <c r="B100" s="100" t="s">
        <v>1711</v>
      </c>
      <c r="C100" s="100" t="s">
        <v>1238</v>
      </c>
      <c r="D100" s="100"/>
      <c r="E100" s="100" t="s">
        <v>1712</v>
      </c>
      <c r="F100" s="101" t="s">
        <v>1688</v>
      </c>
      <c r="G100" s="100" t="s">
        <v>1242</v>
      </c>
      <c r="H100" s="100"/>
      <c r="I100" s="100" t="s">
        <v>1689</v>
      </c>
      <c r="J100" s="100"/>
      <c r="K100" s="101" t="s">
        <v>1540</v>
      </c>
    </row>
    <row r="101" spans="1:11" ht="71" x14ac:dyDescent="0.2">
      <c r="A101" s="100" t="s">
        <v>195</v>
      </c>
      <c r="B101" s="100" t="s">
        <v>1713</v>
      </c>
      <c r="C101" s="100" t="s">
        <v>1714</v>
      </c>
      <c r="D101" s="100"/>
      <c r="E101" s="100" t="s">
        <v>1715</v>
      </c>
      <c r="F101" s="101" t="s">
        <v>1716</v>
      </c>
      <c r="G101" s="100" t="s">
        <v>1717</v>
      </c>
      <c r="H101" s="100"/>
      <c r="I101" s="100" t="s">
        <v>1689</v>
      </c>
      <c r="J101" s="100"/>
      <c r="K101" s="101" t="s">
        <v>1540</v>
      </c>
    </row>
    <row r="102" spans="1:11" ht="141" x14ac:dyDescent="0.2">
      <c r="A102" s="100" t="s">
        <v>726</v>
      </c>
      <c r="B102" s="100" t="s">
        <v>1718</v>
      </c>
      <c r="C102" s="100"/>
      <c r="D102" s="100"/>
      <c r="E102" s="100" t="s">
        <v>1719</v>
      </c>
      <c r="F102" s="100" t="s">
        <v>1720</v>
      </c>
      <c r="G102" s="100" t="s">
        <v>1721</v>
      </c>
      <c r="H102" s="100"/>
      <c r="I102" s="100" t="s">
        <v>1722</v>
      </c>
      <c r="J102" s="100"/>
      <c r="K102" s="101" t="s">
        <v>1723</v>
      </c>
    </row>
    <row r="103" spans="1:11" ht="409.6" x14ac:dyDescent="0.2">
      <c r="A103" s="100" t="s">
        <v>444</v>
      </c>
      <c r="B103" s="100" t="s">
        <v>1724</v>
      </c>
      <c r="C103" s="100"/>
      <c r="D103" s="100"/>
      <c r="E103" s="100" t="s">
        <v>1725</v>
      </c>
      <c r="F103" s="101" t="s">
        <v>1726</v>
      </c>
      <c r="G103" s="100"/>
      <c r="H103" s="100"/>
      <c r="I103" s="100" t="s">
        <v>1727</v>
      </c>
      <c r="J103" s="100"/>
      <c r="K103" s="101" t="s">
        <v>1728</v>
      </c>
    </row>
    <row r="104" spans="1:11" ht="409.6" x14ac:dyDescent="0.2">
      <c r="A104" s="100" t="s">
        <v>444</v>
      </c>
      <c r="B104" s="100" t="s">
        <v>1729</v>
      </c>
      <c r="C104" s="100"/>
      <c r="D104" s="100"/>
      <c r="E104" s="100" t="s">
        <v>1730</v>
      </c>
      <c r="F104" s="101" t="s">
        <v>1726</v>
      </c>
      <c r="G104" s="100"/>
      <c r="H104" s="100"/>
      <c r="I104" s="100" t="s">
        <v>1727</v>
      </c>
      <c r="J104" s="100"/>
      <c r="K104" s="101" t="s">
        <v>1728</v>
      </c>
    </row>
    <row r="105" spans="1:11" ht="29" x14ac:dyDescent="0.2">
      <c r="A105" s="100" t="s">
        <v>1731</v>
      </c>
      <c r="B105" s="100" t="s">
        <v>1732</v>
      </c>
      <c r="C105" s="100"/>
      <c r="D105" s="100"/>
      <c r="E105" s="100" t="s">
        <v>1733</v>
      </c>
      <c r="F105" s="100" t="s">
        <v>1734</v>
      </c>
      <c r="G105" s="100" t="s">
        <v>1735</v>
      </c>
      <c r="H105" s="100"/>
      <c r="I105" s="100" t="s">
        <v>1736</v>
      </c>
      <c r="J105" s="100"/>
      <c r="K105" s="101" t="s">
        <v>1540</v>
      </c>
    </row>
    <row r="106" spans="1:11" ht="85" x14ac:dyDescent="0.2">
      <c r="A106" s="100" t="s">
        <v>205</v>
      </c>
      <c r="B106" s="100" t="s">
        <v>1737</v>
      </c>
      <c r="C106" s="100" t="s">
        <v>1738</v>
      </c>
      <c r="D106" s="100"/>
      <c r="E106" s="100" t="s">
        <v>1739</v>
      </c>
      <c r="F106" s="101" t="s">
        <v>1740</v>
      </c>
      <c r="G106" s="100"/>
      <c r="H106" s="100"/>
      <c r="I106" s="100" t="s">
        <v>1741</v>
      </c>
      <c r="J106" s="100"/>
      <c r="K106" s="101" t="s">
        <v>1540</v>
      </c>
    </row>
    <row r="107" spans="1:11" ht="85" x14ac:dyDescent="0.2">
      <c r="A107" s="100" t="s">
        <v>205</v>
      </c>
      <c r="B107" s="100" t="s">
        <v>1742</v>
      </c>
      <c r="C107" s="100" t="s">
        <v>1743</v>
      </c>
      <c r="D107" s="100"/>
      <c r="E107" s="100" t="s">
        <v>1744</v>
      </c>
      <c r="F107" s="101" t="s">
        <v>1740</v>
      </c>
      <c r="G107" s="100" t="s">
        <v>1745</v>
      </c>
      <c r="H107" s="100"/>
      <c r="I107" s="100" t="s">
        <v>1741</v>
      </c>
      <c r="J107" s="100"/>
      <c r="K107" s="101" t="s">
        <v>1540</v>
      </c>
    </row>
    <row r="108" spans="1:11" ht="85" x14ac:dyDescent="0.2">
      <c r="A108" s="100" t="s">
        <v>205</v>
      </c>
      <c r="B108" s="100" t="s">
        <v>1746</v>
      </c>
      <c r="C108" s="100"/>
      <c r="D108" s="100"/>
      <c r="E108" s="100" t="s">
        <v>1747</v>
      </c>
      <c r="F108" s="101" t="s">
        <v>1740</v>
      </c>
      <c r="G108" s="100" t="s">
        <v>1745</v>
      </c>
      <c r="H108" s="100"/>
      <c r="I108" s="100" t="s">
        <v>1741</v>
      </c>
      <c r="J108" s="100"/>
      <c r="K108" s="101" t="s">
        <v>1540</v>
      </c>
    </row>
    <row r="109" spans="1:11" ht="409.6" x14ac:dyDescent="0.2">
      <c r="A109" s="100" t="s">
        <v>554</v>
      </c>
      <c r="B109" s="100" t="s">
        <v>1748</v>
      </c>
      <c r="C109" s="100"/>
      <c r="D109" s="100"/>
      <c r="E109" s="100" t="s">
        <v>1749</v>
      </c>
      <c r="F109" s="100" t="s">
        <v>1750</v>
      </c>
      <c r="G109" s="100"/>
      <c r="H109" s="100"/>
      <c r="I109" s="100" t="s">
        <v>1751</v>
      </c>
      <c r="J109" s="100"/>
      <c r="K109" s="101" t="s">
        <v>1752</v>
      </c>
    </row>
    <row r="110" spans="1:11" ht="409.6" x14ac:dyDescent="0.2">
      <c r="A110" s="100" t="s">
        <v>554</v>
      </c>
      <c r="B110" s="100" t="s">
        <v>1753</v>
      </c>
      <c r="C110" s="100"/>
      <c r="D110" s="100"/>
      <c r="E110" s="100" t="s">
        <v>1754</v>
      </c>
      <c r="F110" s="100" t="s">
        <v>1750</v>
      </c>
      <c r="G110" s="100"/>
      <c r="H110" s="100"/>
      <c r="I110" s="100" t="s">
        <v>1751</v>
      </c>
      <c r="J110" s="100"/>
      <c r="K110" s="101" t="s">
        <v>1752</v>
      </c>
    </row>
    <row r="111" spans="1:11" ht="29" x14ac:dyDescent="0.2">
      <c r="A111" s="100" t="s">
        <v>1755</v>
      </c>
      <c r="B111" s="100" t="s">
        <v>1756</v>
      </c>
      <c r="C111" s="100" t="s">
        <v>1757</v>
      </c>
      <c r="D111" s="100"/>
      <c r="E111" s="100" t="s">
        <v>1758</v>
      </c>
      <c r="F111" s="100"/>
      <c r="G111" s="100"/>
      <c r="H111" s="100"/>
      <c r="I111" s="100" t="s">
        <v>1759</v>
      </c>
      <c r="J111" s="100"/>
      <c r="K111" s="101" t="s">
        <v>1540</v>
      </c>
    </row>
    <row r="112" spans="1:11" ht="29" x14ac:dyDescent="0.2">
      <c r="A112" s="100" t="s">
        <v>1755</v>
      </c>
      <c r="B112" s="100" t="s">
        <v>1760</v>
      </c>
      <c r="C112" s="100" t="s">
        <v>1761</v>
      </c>
      <c r="D112" s="100"/>
      <c r="E112" s="100" t="s">
        <v>1762</v>
      </c>
      <c r="F112" s="100"/>
      <c r="G112" s="100"/>
      <c r="H112" s="100"/>
      <c r="I112" s="100" t="s">
        <v>1759</v>
      </c>
      <c r="J112" s="100"/>
      <c r="K112" s="101" t="s">
        <v>1540</v>
      </c>
    </row>
    <row r="113" spans="1:11" ht="29" x14ac:dyDescent="0.2">
      <c r="A113" s="100" t="s">
        <v>1755</v>
      </c>
      <c r="B113" s="100" t="s">
        <v>1763</v>
      </c>
      <c r="C113" s="100" t="s">
        <v>1764</v>
      </c>
      <c r="D113" s="100"/>
      <c r="E113" s="100" t="s">
        <v>1765</v>
      </c>
      <c r="F113" s="100"/>
      <c r="G113" s="100"/>
      <c r="H113" s="100"/>
      <c r="I113" s="100" t="s">
        <v>1759</v>
      </c>
      <c r="J113" s="100"/>
      <c r="K113" s="101" t="s">
        <v>1540</v>
      </c>
    </row>
    <row r="114" spans="1:11" ht="409.6" x14ac:dyDescent="0.2">
      <c r="A114" s="100" t="s">
        <v>575</v>
      </c>
      <c r="B114" s="100" t="s">
        <v>1766</v>
      </c>
      <c r="C114" s="100"/>
      <c r="D114" s="100"/>
      <c r="E114" s="100" t="s">
        <v>1767</v>
      </c>
      <c r="F114" s="100" t="s">
        <v>1768</v>
      </c>
      <c r="G114" s="100"/>
      <c r="H114" s="100"/>
      <c r="I114" s="100" t="s">
        <v>1769</v>
      </c>
      <c r="J114" s="100"/>
      <c r="K114" s="101" t="s">
        <v>1770</v>
      </c>
    </row>
    <row r="115" spans="1:11" ht="43" x14ac:dyDescent="0.2">
      <c r="A115" s="100" t="s">
        <v>746</v>
      </c>
      <c r="B115" s="100" t="s">
        <v>1771</v>
      </c>
      <c r="C115" s="100"/>
      <c r="D115" s="100"/>
      <c r="E115" s="100" t="s">
        <v>1772</v>
      </c>
      <c r="F115" s="100" t="s">
        <v>1773</v>
      </c>
      <c r="G115" s="100"/>
      <c r="H115" s="100"/>
      <c r="I115" s="100" t="s">
        <v>1774</v>
      </c>
      <c r="J115" s="100"/>
      <c r="K115" s="101" t="s">
        <v>1775</v>
      </c>
    </row>
    <row r="116" spans="1:11" ht="29" x14ac:dyDescent="0.2">
      <c r="A116" s="100" t="s">
        <v>746</v>
      </c>
      <c r="B116" s="100" t="s">
        <v>1776</v>
      </c>
      <c r="C116" s="100"/>
      <c r="D116" s="100"/>
      <c r="E116" s="100" t="s">
        <v>1777</v>
      </c>
      <c r="F116" s="100" t="s">
        <v>1773</v>
      </c>
      <c r="G116" s="100"/>
      <c r="H116" s="100"/>
      <c r="I116" s="100" t="s">
        <v>1774</v>
      </c>
      <c r="J116" s="100"/>
      <c r="K116" s="101" t="s">
        <v>1657</v>
      </c>
    </row>
    <row r="117" spans="1:11" ht="409.6" x14ac:dyDescent="0.2">
      <c r="A117" s="100" t="s">
        <v>465</v>
      </c>
      <c r="B117" s="100" t="s">
        <v>1778</v>
      </c>
      <c r="C117" s="100"/>
      <c r="D117" s="100"/>
      <c r="E117" s="100" t="s">
        <v>1779</v>
      </c>
      <c r="F117" s="100" t="s">
        <v>1780</v>
      </c>
      <c r="G117" s="100"/>
      <c r="H117" s="100"/>
      <c r="I117" s="100" t="s">
        <v>1781</v>
      </c>
      <c r="J117" s="100"/>
      <c r="K117" s="101" t="s">
        <v>1782</v>
      </c>
    </row>
    <row r="118" spans="1:11" ht="409.6" x14ac:dyDescent="0.2">
      <c r="A118" s="100" t="s">
        <v>465</v>
      </c>
      <c r="B118" s="100" t="s">
        <v>1783</v>
      </c>
      <c r="C118" s="100"/>
      <c r="D118" s="100"/>
      <c r="E118" s="100" t="s">
        <v>1784</v>
      </c>
      <c r="F118" s="100" t="s">
        <v>1780</v>
      </c>
      <c r="G118" s="100"/>
      <c r="H118" s="100"/>
      <c r="I118" s="100" t="s">
        <v>1781</v>
      </c>
      <c r="J118" s="100"/>
      <c r="K118" s="101" t="s">
        <v>1782</v>
      </c>
    </row>
    <row r="119" spans="1:11" ht="29" x14ac:dyDescent="0.2">
      <c r="A119" s="100" t="s">
        <v>483</v>
      </c>
      <c r="B119" s="100" t="s">
        <v>1785</v>
      </c>
      <c r="C119" s="100"/>
      <c r="D119" s="100"/>
      <c r="E119" s="100" t="s">
        <v>1786</v>
      </c>
      <c r="F119" s="100" t="s">
        <v>1787</v>
      </c>
      <c r="G119" s="100"/>
      <c r="H119" s="100"/>
      <c r="I119" s="100" t="s">
        <v>1781</v>
      </c>
      <c r="J119" s="100"/>
      <c r="K119" s="101" t="s">
        <v>1657</v>
      </c>
    </row>
    <row r="120" spans="1:11" ht="29" x14ac:dyDescent="0.2">
      <c r="A120" s="100" t="s">
        <v>483</v>
      </c>
      <c r="B120" s="100" t="s">
        <v>1788</v>
      </c>
      <c r="C120" s="100"/>
      <c r="D120" s="100"/>
      <c r="E120" s="100" t="s">
        <v>1789</v>
      </c>
      <c r="F120" s="100" t="s">
        <v>1787</v>
      </c>
      <c r="G120" s="100"/>
      <c r="H120" s="100"/>
      <c r="I120" s="100" t="s">
        <v>1781</v>
      </c>
      <c r="J120" s="100"/>
      <c r="K120" s="101" t="s">
        <v>1657</v>
      </c>
    </row>
    <row r="121" spans="1:11" ht="385" x14ac:dyDescent="0.2">
      <c r="A121" s="100" t="s">
        <v>567</v>
      </c>
      <c r="B121" s="100" t="s">
        <v>1790</v>
      </c>
      <c r="C121" s="100"/>
      <c r="D121" s="100"/>
      <c r="E121" s="100" t="s">
        <v>1791</v>
      </c>
      <c r="F121" s="100" t="s">
        <v>1792</v>
      </c>
      <c r="G121" s="100"/>
      <c r="H121" s="100"/>
      <c r="I121" s="100" t="s">
        <v>1781</v>
      </c>
      <c r="J121" s="100"/>
      <c r="K121" s="101" t="s">
        <v>1793</v>
      </c>
    </row>
    <row r="122" spans="1:11" ht="385" x14ac:dyDescent="0.2">
      <c r="A122" s="100" t="s">
        <v>567</v>
      </c>
      <c r="B122" s="100" t="s">
        <v>1794</v>
      </c>
      <c r="C122" s="100"/>
      <c r="D122" s="100"/>
      <c r="E122" s="100" t="s">
        <v>1795</v>
      </c>
      <c r="F122" s="100" t="s">
        <v>1792</v>
      </c>
      <c r="G122" s="100"/>
      <c r="H122" s="100"/>
      <c r="I122" s="100" t="s">
        <v>1781</v>
      </c>
      <c r="J122" s="100"/>
      <c r="K122" s="101" t="s">
        <v>1793</v>
      </c>
    </row>
    <row r="123" spans="1:11" ht="409.6" x14ac:dyDescent="0.2">
      <c r="A123" s="100" t="s">
        <v>1796</v>
      </c>
      <c r="B123" s="100" t="s">
        <v>1797</v>
      </c>
      <c r="C123" s="100"/>
      <c r="D123" s="100"/>
      <c r="E123" s="100" t="s">
        <v>1798</v>
      </c>
      <c r="F123" s="100" t="s">
        <v>1799</v>
      </c>
      <c r="G123" s="100"/>
      <c r="H123" s="100"/>
      <c r="I123" s="100" t="s">
        <v>1781</v>
      </c>
      <c r="J123" s="100"/>
      <c r="K123" s="101" t="s">
        <v>1800</v>
      </c>
    </row>
    <row r="124" spans="1:11" ht="385" x14ac:dyDescent="0.2">
      <c r="A124" s="100" t="s">
        <v>712</v>
      </c>
      <c r="B124" s="100" t="s">
        <v>1801</v>
      </c>
      <c r="C124" s="100"/>
      <c r="D124" s="100"/>
      <c r="E124" s="100" t="s">
        <v>1802</v>
      </c>
      <c r="F124" s="100" t="s">
        <v>1803</v>
      </c>
      <c r="G124" s="100"/>
      <c r="H124" s="100"/>
      <c r="I124" s="100" t="s">
        <v>1781</v>
      </c>
      <c r="J124" s="100"/>
      <c r="K124" s="101" t="s">
        <v>1804</v>
      </c>
    </row>
    <row r="125" spans="1:11" ht="398" x14ac:dyDescent="0.2">
      <c r="A125" s="100" t="s">
        <v>712</v>
      </c>
      <c r="B125" s="100" t="s">
        <v>1805</v>
      </c>
      <c r="C125" s="100"/>
      <c r="D125" s="100"/>
      <c r="E125" s="100" t="s">
        <v>1806</v>
      </c>
      <c r="F125" s="100" t="s">
        <v>1803</v>
      </c>
      <c r="G125" s="100"/>
      <c r="H125" s="100"/>
      <c r="I125" s="100" t="s">
        <v>1781</v>
      </c>
      <c r="J125" s="100"/>
      <c r="K125" s="101" t="s">
        <v>1807</v>
      </c>
    </row>
    <row r="126" spans="1:11" ht="409.6" x14ac:dyDescent="0.2">
      <c r="A126" s="100" t="s">
        <v>756</v>
      </c>
      <c r="B126" s="100" t="s">
        <v>1808</v>
      </c>
      <c r="C126" s="100"/>
      <c r="D126" s="100"/>
      <c r="E126" s="100" t="s">
        <v>1809</v>
      </c>
      <c r="F126" s="100" t="s">
        <v>1810</v>
      </c>
      <c r="G126" s="100"/>
      <c r="H126" s="100"/>
      <c r="I126" s="100" t="s">
        <v>1781</v>
      </c>
      <c r="J126" s="100"/>
      <c r="K126" s="101" t="s">
        <v>1811</v>
      </c>
    </row>
    <row r="127" spans="1:11" ht="409.6" x14ac:dyDescent="0.2">
      <c r="A127" s="100" t="s">
        <v>756</v>
      </c>
      <c r="B127" s="100" t="s">
        <v>1812</v>
      </c>
      <c r="C127" s="100"/>
      <c r="D127" s="100"/>
      <c r="E127" s="100" t="s">
        <v>1813</v>
      </c>
      <c r="F127" s="100" t="s">
        <v>1810</v>
      </c>
      <c r="G127" s="100"/>
      <c r="H127" s="100"/>
      <c r="I127" s="100" t="s">
        <v>1781</v>
      </c>
      <c r="J127" s="100"/>
      <c r="K127" s="101" t="s">
        <v>1814</v>
      </c>
    </row>
    <row r="128" spans="1:11" ht="43" x14ac:dyDescent="0.2">
      <c r="A128" s="100" t="s">
        <v>358</v>
      </c>
      <c r="B128" s="100" t="s">
        <v>1815</v>
      </c>
      <c r="C128" s="100" t="s">
        <v>1816</v>
      </c>
      <c r="D128" s="100"/>
      <c r="E128" s="100" t="s">
        <v>1817</v>
      </c>
      <c r="F128" s="101" t="s">
        <v>1818</v>
      </c>
      <c r="G128" s="100"/>
      <c r="H128" s="100"/>
      <c r="I128" s="100" t="s">
        <v>1819</v>
      </c>
      <c r="J128" s="100"/>
      <c r="K128" s="101" t="s">
        <v>1540</v>
      </c>
    </row>
    <row r="129" spans="1:11" ht="29" x14ac:dyDescent="0.2">
      <c r="A129" s="100" t="s">
        <v>627</v>
      </c>
      <c r="B129" s="100" t="s">
        <v>1820</v>
      </c>
      <c r="C129" s="100"/>
      <c r="D129" s="100"/>
      <c r="E129" s="100" t="s">
        <v>1821</v>
      </c>
      <c r="F129" s="100" t="s">
        <v>1822</v>
      </c>
      <c r="G129" s="100"/>
      <c r="H129" s="100"/>
      <c r="I129" s="100" t="s">
        <v>1823</v>
      </c>
      <c r="J129" s="100"/>
      <c r="K129" s="101" t="s">
        <v>1657</v>
      </c>
    </row>
    <row r="130" spans="1:11" ht="359" x14ac:dyDescent="0.2">
      <c r="A130" s="100" t="s">
        <v>446</v>
      </c>
      <c r="B130" s="100" t="s">
        <v>1824</v>
      </c>
      <c r="C130" s="100"/>
      <c r="D130" s="100"/>
      <c r="E130" s="100" t="s">
        <v>1825</v>
      </c>
      <c r="F130" s="100" t="s">
        <v>1826</v>
      </c>
      <c r="G130" s="100"/>
      <c r="H130" s="100"/>
      <c r="I130" s="100" t="s">
        <v>1827</v>
      </c>
      <c r="J130" s="100"/>
      <c r="K130" s="101" t="s">
        <v>1828</v>
      </c>
    </row>
    <row r="131" spans="1:11" ht="320" x14ac:dyDescent="0.2">
      <c r="A131" s="100" t="s">
        <v>446</v>
      </c>
      <c r="B131" s="100" t="s">
        <v>1829</v>
      </c>
      <c r="C131" s="100"/>
      <c r="D131" s="100"/>
      <c r="E131" s="100" t="s">
        <v>1830</v>
      </c>
      <c r="F131" s="100" t="s">
        <v>1826</v>
      </c>
      <c r="G131" s="100"/>
      <c r="H131" s="100"/>
      <c r="I131" s="100" t="s">
        <v>1827</v>
      </c>
      <c r="J131" s="100"/>
      <c r="K131" s="101" t="s">
        <v>1831</v>
      </c>
    </row>
    <row r="132" spans="1:11" ht="29" x14ac:dyDescent="0.2">
      <c r="A132" s="100" t="s">
        <v>448</v>
      </c>
      <c r="B132" s="100" t="s">
        <v>1832</v>
      </c>
      <c r="C132" s="100"/>
      <c r="D132" s="100"/>
      <c r="E132" s="100" t="s">
        <v>1833</v>
      </c>
      <c r="F132" s="100" t="s">
        <v>1834</v>
      </c>
      <c r="G132" s="100"/>
      <c r="H132" s="100"/>
      <c r="I132" s="100" t="s">
        <v>1827</v>
      </c>
      <c r="J132" s="100"/>
      <c r="K132" s="101" t="s">
        <v>1540</v>
      </c>
    </row>
    <row r="133" spans="1:11" ht="409.6" x14ac:dyDescent="0.2">
      <c r="A133" s="100" t="s">
        <v>458</v>
      </c>
      <c r="B133" s="100" t="s">
        <v>1835</v>
      </c>
      <c r="C133" s="100"/>
      <c r="D133" s="100"/>
      <c r="E133" s="100" t="s">
        <v>1836</v>
      </c>
      <c r="F133" s="100" t="s">
        <v>1837</v>
      </c>
      <c r="G133" s="100"/>
      <c r="H133" s="100"/>
      <c r="I133" s="100" t="s">
        <v>1827</v>
      </c>
      <c r="J133" s="100"/>
      <c r="K133" s="101" t="s">
        <v>1838</v>
      </c>
    </row>
    <row r="134" spans="1:11" ht="409.6" x14ac:dyDescent="0.2">
      <c r="A134" s="100" t="s">
        <v>458</v>
      </c>
      <c r="B134" s="100" t="s">
        <v>1839</v>
      </c>
      <c r="C134" s="100"/>
      <c r="D134" s="100"/>
      <c r="E134" s="100" t="s">
        <v>1840</v>
      </c>
      <c r="F134" s="100" t="s">
        <v>1837</v>
      </c>
      <c r="G134" s="100"/>
      <c r="H134" s="100"/>
      <c r="I134" s="100" t="s">
        <v>1827</v>
      </c>
      <c r="J134" s="100"/>
      <c r="K134" s="101" t="s">
        <v>1841</v>
      </c>
    </row>
    <row r="135" spans="1:11" ht="409.6" x14ac:dyDescent="0.2">
      <c r="A135" s="100" t="s">
        <v>469</v>
      </c>
      <c r="B135" s="100" t="s">
        <v>1842</v>
      </c>
      <c r="C135" s="100"/>
      <c r="D135" s="100"/>
      <c r="E135" s="100" t="s">
        <v>1843</v>
      </c>
      <c r="F135" s="100" t="s">
        <v>1844</v>
      </c>
      <c r="G135" s="100"/>
      <c r="H135" s="100"/>
      <c r="I135" s="100" t="s">
        <v>1827</v>
      </c>
      <c r="J135" s="100"/>
      <c r="K135" s="101" t="s">
        <v>1845</v>
      </c>
    </row>
    <row r="136" spans="1:11" ht="409.6" x14ac:dyDescent="0.2">
      <c r="A136" s="100" t="s">
        <v>471</v>
      </c>
      <c r="B136" s="100" t="s">
        <v>1846</v>
      </c>
      <c r="C136" s="100"/>
      <c r="D136" s="100"/>
      <c r="E136" s="100" t="s">
        <v>1847</v>
      </c>
      <c r="F136" s="100" t="s">
        <v>1848</v>
      </c>
      <c r="G136" s="100"/>
      <c r="H136" s="100"/>
      <c r="I136" s="100" t="s">
        <v>1827</v>
      </c>
      <c r="J136" s="100"/>
      <c r="K136" s="101" t="s">
        <v>1849</v>
      </c>
    </row>
    <row r="137" spans="1:11" ht="409.6" x14ac:dyDescent="0.2">
      <c r="A137" s="100" t="s">
        <v>471</v>
      </c>
      <c r="B137" s="100" t="s">
        <v>1850</v>
      </c>
      <c r="C137" s="100"/>
      <c r="D137" s="100"/>
      <c r="E137" s="100" t="s">
        <v>1851</v>
      </c>
      <c r="F137" s="100" t="s">
        <v>1848</v>
      </c>
      <c r="G137" s="100"/>
      <c r="H137" s="100"/>
      <c r="I137" s="100" t="s">
        <v>1827</v>
      </c>
      <c r="J137" s="100"/>
      <c r="K137" s="101" t="s">
        <v>1852</v>
      </c>
    </row>
    <row r="138" spans="1:11" ht="211" x14ac:dyDescent="0.2">
      <c r="A138" s="100" t="s">
        <v>481</v>
      </c>
      <c r="B138" s="100" t="s">
        <v>1853</v>
      </c>
      <c r="C138" s="100"/>
      <c r="D138" s="100"/>
      <c r="E138" s="100" t="s">
        <v>1854</v>
      </c>
      <c r="F138" s="100" t="s">
        <v>1855</v>
      </c>
      <c r="G138" s="100"/>
      <c r="H138" s="100"/>
      <c r="I138" s="100" t="s">
        <v>1827</v>
      </c>
      <c r="J138" s="100"/>
      <c r="K138" s="101" t="s">
        <v>1856</v>
      </c>
    </row>
    <row r="139" spans="1:11" ht="211" x14ac:dyDescent="0.2">
      <c r="A139" s="100" t="s">
        <v>481</v>
      </c>
      <c r="B139" s="100" t="s">
        <v>1857</v>
      </c>
      <c r="C139" s="100"/>
      <c r="D139" s="100"/>
      <c r="E139" s="100" t="s">
        <v>1858</v>
      </c>
      <c r="F139" s="100" t="s">
        <v>1855</v>
      </c>
      <c r="G139" s="100"/>
      <c r="H139" s="100"/>
      <c r="I139" s="100" t="s">
        <v>1827</v>
      </c>
      <c r="J139" s="100"/>
      <c r="K139" s="101" t="s">
        <v>1856</v>
      </c>
    </row>
    <row r="140" spans="1:11" ht="267" x14ac:dyDescent="0.2">
      <c r="A140" s="100" t="s">
        <v>489</v>
      </c>
      <c r="B140" s="100" t="s">
        <v>1859</v>
      </c>
      <c r="C140" s="100"/>
      <c r="D140" s="100"/>
      <c r="E140" s="100" t="s">
        <v>1860</v>
      </c>
      <c r="F140" s="100" t="s">
        <v>1861</v>
      </c>
      <c r="G140" s="100"/>
      <c r="H140" s="100"/>
      <c r="I140" s="100" t="s">
        <v>1827</v>
      </c>
      <c r="J140" s="100"/>
      <c r="K140" s="101" t="s">
        <v>1862</v>
      </c>
    </row>
    <row r="141" spans="1:11" ht="281" x14ac:dyDescent="0.2">
      <c r="A141" s="100" t="s">
        <v>489</v>
      </c>
      <c r="B141" s="100" t="s">
        <v>1863</v>
      </c>
      <c r="C141" s="100"/>
      <c r="D141" s="100"/>
      <c r="E141" s="100" t="s">
        <v>1864</v>
      </c>
      <c r="F141" s="100" t="s">
        <v>1861</v>
      </c>
      <c r="G141" s="100"/>
      <c r="H141" s="100"/>
      <c r="I141" s="100" t="s">
        <v>1827</v>
      </c>
      <c r="J141" s="100"/>
      <c r="K141" s="101" t="s">
        <v>1865</v>
      </c>
    </row>
    <row r="142" spans="1:11" ht="281" x14ac:dyDescent="0.2">
      <c r="A142" s="100" t="s">
        <v>505</v>
      </c>
      <c r="B142" s="100" t="s">
        <v>1866</v>
      </c>
      <c r="C142" s="100"/>
      <c r="D142" s="100"/>
      <c r="E142" s="100" t="s">
        <v>1867</v>
      </c>
      <c r="F142" s="100" t="s">
        <v>1868</v>
      </c>
      <c r="G142" s="100"/>
      <c r="H142" s="100"/>
      <c r="I142" s="100" t="s">
        <v>1827</v>
      </c>
      <c r="J142" s="100"/>
      <c r="K142" s="101" t="s">
        <v>1869</v>
      </c>
    </row>
    <row r="143" spans="1:11" ht="281" x14ac:dyDescent="0.2">
      <c r="A143" s="100" t="s">
        <v>505</v>
      </c>
      <c r="B143" s="100" t="s">
        <v>1870</v>
      </c>
      <c r="C143" s="100"/>
      <c r="D143" s="100"/>
      <c r="E143" s="100" t="s">
        <v>1871</v>
      </c>
      <c r="F143" s="100" t="s">
        <v>1868</v>
      </c>
      <c r="G143" s="100"/>
      <c r="H143" s="100"/>
      <c r="I143" s="100" t="s">
        <v>1827</v>
      </c>
      <c r="J143" s="100"/>
      <c r="K143" s="101" t="s">
        <v>1872</v>
      </c>
    </row>
    <row r="144" spans="1:11" ht="320" x14ac:dyDescent="0.2">
      <c r="A144" s="100" t="s">
        <v>511</v>
      </c>
      <c r="B144" s="100" t="s">
        <v>1873</v>
      </c>
      <c r="C144" s="100"/>
      <c r="D144" s="100"/>
      <c r="E144" s="100" t="s">
        <v>1874</v>
      </c>
      <c r="F144" s="100" t="s">
        <v>1875</v>
      </c>
      <c r="G144" s="100"/>
      <c r="H144" s="100"/>
      <c r="I144" s="100" t="s">
        <v>1827</v>
      </c>
      <c r="J144" s="100"/>
      <c r="K144" s="101" t="s">
        <v>1876</v>
      </c>
    </row>
    <row r="145" spans="1:11" ht="307" x14ac:dyDescent="0.2">
      <c r="A145" s="100" t="s">
        <v>511</v>
      </c>
      <c r="B145" s="100" t="s">
        <v>1877</v>
      </c>
      <c r="C145" s="100"/>
      <c r="D145" s="100"/>
      <c r="E145" s="100" t="s">
        <v>1878</v>
      </c>
      <c r="F145" s="100" t="s">
        <v>1875</v>
      </c>
      <c r="G145" s="100"/>
      <c r="H145" s="100"/>
      <c r="I145" s="100" t="s">
        <v>1827</v>
      </c>
      <c r="J145" s="100"/>
      <c r="K145" s="101" t="s">
        <v>1879</v>
      </c>
    </row>
    <row r="146" spans="1:11" ht="409.6" x14ac:dyDescent="0.2">
      <c r="A146" s="100" t="s">
        <v>532</v>
      </c>
      <c r="B146" s="100" t="s">
        <v>1880</v>
      </c>
      <c r="C146" s="100"/>
      <c r="D146" s="100"/>
      <c r="E146" s="100" t="s">
        <v>1881</v>
      </c>
      <c r="F146" s="100" t="s">
        <v>1882</v>
      </c>
      <c r="G146" s="100"/>
      <c r="H146" s="100"/>
      <c r="I146" s="100" t="s">
        <v>1827</v>
      </c>
      <c r="J146" s="100"/>
      <c r="K146" s="101" t="s">
        <v>1883</v>
      </c>
    </row>
    <row r="147" spans="1:11" ht="409.6" x14ac:dyDescent="0.2">
      <c r="A147" s="100" t="s">
        <v>532</v>
      </c>
      <c r="B147" s="100" t="s">
        <v>1884</v>
      </c>
      <c r="C147" s="100"/>
      <c r="D147" s="100"/>
      <c r="E147" s="100" t="s">
        <v>1885</v>
      </c>
      <c r="F147" s="100" t="s">
        <v>1882</v>
      </c>
      <c r="G147" s="100"/>
      <c r="H147" s="100"/>
      <c r="I147" s="100" t="s">
        <v>1827</v>
      </c>
      <c r="J147" s="100"/>
      <c r="K147" s="101" t="s">
        <v>1883</v>
      </c>
    </row>
    <row r="148" spans="1:11" ht="346" x14ac:dyDescent="0.2">
      <c r="A148" s="100" t="s">
        <v>534</v>
      </c>
      <c r="B148" s="100" t="s">
        <v>1886</v>
      </c>
      <c r="C148" s="100"/>
      <c r="D148" s="100"/>
      <c r="E148" s="100" t="s">
        <v>1887</v>
      </c>
      <c r="F148" s="100" t="s">
        <v>1888</v>
      </c>
      <c r="G148" s="100"/>
      <c r="H148" s="100"/>
      <c r="I148" s="100" t="s">
        <v>1827</v>
      </c>
      <c r="J148" s="100"/>
      <c r="K148" s="101" t="s">
        <v>1889</v>
      </c>
    </row>
    <row r="149" spans="1:11" ht="333" x14ac:dyDescent="0.2">
      <c r="A149" s="100" t="s">
        <v>534</v>
      </c>
      <c r="B149" s="100" t="s">
        <v>1890</v>
      </c>
      <c r="C149" s="100"/>
      <c r="D149" s="100"/>
      <c r="E149" s="100" t="s">
        <v>1891</v>
      </c>
      <c r="F149" s="100" t="s">
        <v>1888</v>
      </c>
      <c r="G149" s="100"/>
      <c r="H149" s="100"/>
      <c r="I149" s="100" t="s">
        <v>1827</v>
      </c>
      <c r="J149" s="100"/>
      <c r="K149" s="101" t="s">
        <v>1892</v>
      </c>
    </row>
    <row r="150" spans="1:11" ht="359" x14ac:dyDescent="0.2">
      <c r="A150" s="100" t="s">
        <v>536</v>
      </c>
      <c r="B150" s="100" t="s">
        <v>1893</v>
      </c>
      <c r="C150" s="100"/>
      <c r="D150" s="100"/>
      <c r="E150" s="100" t="s">
        <v>1894</v>
      </c>
      <c r="F150" s="100" t="s">
        <v>1895</v>
      </c>
      <c r="G150" s="100"/>
      <c r="H150" s="100"/>
      <c r="I150" s="100" t="s">
        <v>1827</v>
      </c>
      <c r="J150" s="100"/>
      <c r="K150" s="101" t="s">
        <v>1896</v>
      </c>
    </row>
    <row r="151" spans="1:11" ht="359" x14ac:dyDescent="0.2">
      <c r="A151" s="100" t="s">
        <v>536</v>
      </c>
      <c r="B151" s="100" t="s">
        <v>1897</v>
      </c>
      <c r="C151" s="100"/>
      <c r="D151" s="100"/>
      <c r="E151" s="100" t="s">
        <v>1898</v>
      </c>
      <c r="F151" s="100" t="s">
        <v>1895</v>
      </c>
      <c r="G151" s="100"/>
      <c r="H151" s="100"/>
      <c r="I151" s="100" t="s">
        <v>1827</v>
      </c>
      <c r="J151" s="100"/>
      <c r="K151" s="101" t="s">
        <v>1896</v>
      </c>
    </row>
    <row r="152" spans="1:11" ht="372" x14ac:dyDescent="0.2">
      <c r="A152" s="100" t="s">
        <v>550</v>
      </c>
      <c r="B152" s="100" t="s">
        <v>1899</v>
      </c>
      <c r="C152" s="100"/>
      <c r="D152" s="100"/>
      <c r="E152" s="100" t="s">
        <v>1900</v>
      </c>
      <c r="F152" s="100" t="s">
        <v>1901</v>
      </c>
      <c r="G152" s="100"/>
      <c r="H152" s="100"/>
      <c r="I152" s="100" t="s">
        <v>1827</v>
      </c>
      <c r="J152" s="100"/>
      <c r="K152" s="101" t="s">
        <v>1902</v>
      </c>
    </row>
    <row r="153" spans="1:11" ht="29" x14ac:dyDescent="0.2">
      <c r="A153" s="100" t="s">
        <v>577</v>
      </c>
      <c r="B153" s="100" t="s">
        <v>1903</v>
      </c>
      <c r="C153" s="100"/>
      <c r="D153" s="100"/>
      <c r="E153" s="100" t="s">
        <v>1904</v>
      </c>
      <c r="F153" s="100" t="s">
        <v>1905</v>
      </c>
      <c r="G153" s="100"/>
      <c r="H153" s="100"/>
      <c r="I153" s="100" t="s">
        <v>1827</v>
      </c>
      <c r="J153" s="100"/>
      <c r="K153" s="101" t="s">
        <v>1657</v>
      </c>
    </row>
    <row r="154" spans="1:11" ht="29" x14ac:dyDescent="0.2">
      <c r="A154" s="100" t="s">
        <v>577</v>
      </c>
      <c r="B154" s="100" t="s">
        <v>1906</v>
      </c>
      <c r="C154" s="100"/>
      <c r="D154" s="100"/>
      <c r="E154" s="100" t="s">
        <v>1907</v>
      </c>
      <c r="F154" s="100" t="s">
        <v>1905</v>
      </c>
      <c r="G154" s="100"/>
      <c r="H154" s="100"/>
      <c r="I154" s="100" t="s">
        <v>1827</v>
      </c>
      <c r="J154" s="100"/>
      <c r="K154" s="101" t="s">
        <v>1657</v>
      </c>
    </row>
    <row r="155" spans="1:11" ht="29" x14ac:dyDescent="0.2">
      <c r="A155" s="100" t="s">
        <v>597</v>
      </c>
      <c r="B155" s="100" t="s">
        <v>1908</v>
      </c>
      <c r="C155" s="100"/>
      <c r="D155" s="100"/>
      <c r="E155" s="100" t="s">
        <v>1909</v>
      </c>
      <c r="F155" s="100" t="s">
        <v>1910</v>
      </c>
      <c r="G155" s="100"/>
      <c r="H155" s="100"/>
      <c r="I155" s="100" t="s">
        <v>1827</v>
      </c>
      <c r="J155" s="100"/>
      <c r="K155" s="101" t="s">
        <v>1657</v>
      </c>
    </row>
    <row r="156" spans="1:11" ht="346" x14ac:dyDescent="0.2">
      <c r="A156" s="100" t="s">
        <v>599</v>
      </c>
      <c r="B156" s="100" t="s">
        <v>1911</v>
      </c>
      <c r="C156" s="100"/>
      <c r="D156" s="100"/>
      <c r="E156" s="100" t="s">
        <v>1912</v>
      </c>
      <c r="F156" s="100" t="s">
        <v>1913</v>
      </c>
      <c r="G156" s="100"/>
      <c r="H156" s="100"/>
      <c r="I156" s="100" t="s">
        <v>1827</v>
      </c>
      <c r="J156" s="100"/>
      <c r="K156" s="101" t="s">
        <v>1914</v>
      </c>
    </row>
    <row r="157" spans="1:11" ht="333" x14ac:dyDescent="0.2">
      <c r="A157" s="100" t="s">
        <v>599</v>
      </c>
      <c r="B157" s="100" t="s">
        <v>1915</v>
      </c>
      <c r="C157" s="100"/>
      <c r="D157" s="100"/>
      <c r="E157" s="100" t="s">
        <v>1916</v>
      </c>
      <c r="F157" s="100" t="s">
        <v>1913</v>
      </c>
      <c r="G157" s="100"/>
      <c r="H157" s="100"/>
      <c r="I157" s="100" t="s">
        <v>1827</v>
      </c>
      <c r="J157" s="100"/>
      <c r="K157" s="101" t="s">
        <v>1917</v>
      </c>
    </row>
    <row r="158" spans="1:11" ht="197" x14ac:dyDescent="0.2">
      <c r="A158" s="100" t="s">
        <v>1918</v>
      </c>
      <c r="B158" s="100" t="s">
        <v>1919</v>
      </c>
      <c r="C158" s="100"/>
      <c r="D158" s="100"/>
      <c r="E158" s="100" t="s">
        <v>1920</v>
      </c>
      <c r="F158" s="100" t="s">
        <v>1921</v>
      </c>
      <c r="G158" s="100"/>
      <c r="H158" s="100"/>
      <c r="I158" s="100" t="s">
        <v>1827</v>
      </c>
      <c r="J158" s="100"/>
      <c r="K158" s="101" t="s">
        <v>1922</v>
      </c>
    </row>
    <row r="159" spans="1:11" ht="183" x14ac:dyDescent="0.2">
      <c r="A159" s="100" t="s">
        <v>1918</v>
      </c>
      <c r="B159" s="100" t="s">
        <v>1923</v>
      </c>
      <c r="C159" s="100"/>
      <c r="D159" s="100"/>
      <c r="E159" s="100" t="s">
        <v>1924</v>
      </c>
      <c r="F159" s="100" t="s">
        <v>1921</v>
      </c>
      <c r="G159" s="100"/>
      <c r="H159" s="100"/>
      <c r="I159" s="100" t="s">
        <v>1827</v>
      </c>
      <c r="J159" s="100"/>
      <c r="K159" s="101" t="s">
        <v>1925</v>
      </c>
    </row>
    <row r="160" spans="1:11" ht="409.6" x14ac:dyDescent="0.2">
      <c r="A160" s="100" t="s">
        <v>603</v>
      </c>
      <c r="B160" s="100" t="s">
        <v>1926</v>
      </c>
      <c r="C160" s="100"/>
      <c r="D160" s="100"/>
      <c r="E160" s="100" t="s">
        <v>1927</v>
      </c>
      <c r="F160" s="100" t="s">
        <v>1928</v>
      </c>
      <c r="G160" s="100"/>
      <c r="H160" s="100"/>
      <c r="I160" s="100" t="s">
        <v>1827</v>
      </c>
      <c r="J160" s="100"/>
      <c r="K160" s="101" t="s">
        <v>1929</v>
      </c>
    </row>
    <row r="161" spans="1:11" ht="294" x14ac:dyDescent="0.2">
      <c r="A161" s="100" t="s">
        <v>1930</v>
      </c>
      <c r="B161" s="100" t="s">
        <v>1931</v>
      </c>
      <c r="C161" s="100"/>
      <c r="D161" s="100"/>
      <c r="E161" s="100" t="s">
        <v>1932</v>
      </c>
      <c r="F161" s="100" t="s">
        <v>1933</v>
      </c>
      <c r="G161" s="100"/>
      <c r="H161" s="100"/>
      <c r="I161" s="100" t="s">
        <v>1827</v>
      </c>
      <c r="J161" s="100"/>
      <c r="K161" s="101" t="s">
        <v>1934</v>
      </c>
    </row>
    <row r="162" spans="1:11" ht="307" x14ac:dyDescent="0.2">
      <c r="A162" s="100" t="s">
        <v>1930</v>
      </c>
      <c r="B162" s="100" t="s">
        <v>1935</v>
      </c>
      <c r="C162" s="100"/>
      <c r="D162" s="100"/>
      <c r="E162" s="100" t="s">
        <v>1936</v>
      </c>
      <c r="F162" s="100" t="s">
        <v>1933</v>
      </c>
      <c r="G162" s="100"/>
      <c r="H162" s="100"/>
      <c r="I162" s="100" t="s">
        <v>1827</v>
      </c>
      <c r="J162" s="100"/>
      <c r="K162" s="101" t="s">
        <v>1937</v>
      </c>
    </row>
    <row r="163" spans="1:11" ht="346" x14ac:dyDescent="0.2">
      <c r="A163" s="100" t="s">
        <v>615</v>
      </c>
      <c r="B163" s="100" t="s">
        <v>1938</v>
      </c>
      <c r="C163" s="100"/>
      <c r="D163" s="100"/>
      <c r="E163" s="100" t="s">
        <v>1939</v>
      </c>
      <c r="F163" s="100" t="s">
        <v>1940</v>
      </c>
      <c r="G163" s="100"/>
      <c r="H163" s="100"/>
      <c r="I163" s="100" t="s">
        <v>1827</v>
      </c>
      <c r="J163" s="100"/>
      <c r="K163" s="101" t="s">
        <v>1941</v>
      </c>
    </row>
    <row r="164" spans="1:11" ht="359" x14ac:dyDescent="0.2">
      <c r="A164" s="100" t="s">
        <v>615</v>
      </c>
      <c r="B164" s="100" t="s">
        <v>1942</v>
      </c>
      <c r="C164" s="100"/>
      <c r="D164" s="100"/>
      <c r="E164" s="100" t="s">
        <v>1943</v>
      </c>
      <c r="F164" s="100" t="s">
        <v>1940</v>
      </c>
      <c r="G164" s="100"/>
      <c r="H164" s="100"/>
      <c r="I164" s="100" t="s">
        <v>1827</v>
      </c>
      <c r="J164" s="100"/>
      <c r="K164" s="101" t="s">
        <v>1944</v>
      </c>
    </row>
    <row r="165" spans="1:11" ht="333" x14ac:dyDescent="0.2">
      <c r="A165" s="100" t="s">
        <v>625</v>
      </c>
      <c r="B165" s="100" t="s">
        <v>1945</v>
      </c>
      <c r="C165" s="100"/>
      <c r="D165" s="100"/>
      <c r="E165" s="100" t="s">
        <v>1946</v>
      </c>
      <c r="F165" s="100" t="s">
        <v>1947</v>
      </c>
      <c r="G165" s="100"/>
      <c r="H165" s="100"/>
      <c r="I165" s="100" t="s">
        <v>1827</v>
      </c>
      <c r="J165" s="100"/>
      <c r="K165" s="101" t="s">
        <v>1948</v>
      </c>
    </row>
    <row r="166" spans="1:11" ht="267" x14ac:dyDescent="0.2">
      <c r="A166" s="100" t="s">
        <v>638</v>
      </c>
      <c r="B166" s="100" t="s">
        <v>1949</v>
      </c>
      <c r="C166" s="100"/>
      <c r="D166" s="100"/>
      <c r="E166" s="100" t="s">
        <v>1950</v>
      </c>
      <c r="F166" s="100" t="s">
        <v>1951</v>
      </c>
      <c r="G166" s="100"/>
      <c r="H166" s="100"/>
      <c r="I166" s="100" t="s">
        <v>1827</v>
      </c>
      <c r="J166" s="100"/>
      <c r="K166" s="101" t="s">
        <v>1952</v>
      </c>
    </row>
    <row r="167" spans="1:11" ht="359" x14ac:dyDescent="0.2">
      <c r="A167" s="100" t="s">
        <v>1953</v>
      </c>
      <c r="B167" s="100" t="s">
        <v>1954</v>
      </c>
      <c r="C167" s="100"/>
      <c r="D167" s="100"/>
      <c r="E167" s="100" t="s">
        <v>1955</v>
      </c>
      <c r="F167" s="100" t="s">
        <v>1956</v>
      </c>
      <c r="G167" s="100"/>
      <c r="H167" s="100"/>
      <c r="I167" s="100" t="s">
        <v>1827</v>
      </c>
      <c r="J167" s="100"/>
      <c r="K167" s="101" t="s">
        <v>1957</v>
      </c>
    </row>
    <row r="168" spans="1:11" ht="346" x14ac:dyDescent="0.2">
      <c r="A168" s="100" t="s">
        <v>1953</v>
      </c>
      <c r="B168" s="100" t="s">
        <v>1958</v>
      </c>
      <c r="C168" s="100"/>
      <c r="D168" s="100"/>
      <c r="E168" s="100" t="s">
        <v>1959</v>
      </c>
      <c r="F168" s="100" t="s">
        <v>1956</v>
      </c>
      <c r="G168" s="100"/>
      <c r="H168" s="100"/>
      <c r="I168" s="100" t="s">
        <v>1827</v>
      </c>
      <c r="J168" s="100"/>
      <c r="K168" s="101" t="s">
        <v>1960</v>
      </c>
    </row>
    <row r="169" spans="1:11" ht="307" x14ac:dyDescent="0.2">
      <c r="A169" s="100" t="s">
        <v>656</v>
      </c>
      <c r="B169" s="100" t="s">
        <v>1961</v>
      </c>
      <c r="C169" s="100"/>
      <c r="D169" s="100"/>
      <c r="E169" s="100" t="s">
        <v>1962</v>
      </c>
      <c r="F169" s="100" t="s">
        <v>1963</v>
      </c>
      <c r="G169" s="100"/>
      <c r="H169" s="100"/>
      <c r="I169" s="100" t="s">
        <v>1827</v>
      </c>
      <c r="J169" s="100"/>
      <c r="K169" s="101" t="s">
        <v>1964</v>
      </c>
    </row>
    <row r="170" spans="1:11" ht="409.6" x14ac:dyDescent="0.2">
      <c r="A170" s="100" t="s">
        <v>661</v>
      </c>
      <c r="B170" s="100" t="s">
        <v>1965</v>
      </c>
      <c r="C170" s="100"/>
      <c r="D170" s="100"/>
      <c r="E170" s="100" t="s">
        <v>1966</v>
      </c>
      <c r="F170" s="100" t="s">
        <v>1967</v>
      </c>
      <c r="G170" s="100"/>
      <c r="H170" s="100"/>
      <c r="I170" s="100" t="s">
        <v>1827</v>
      </c>
      <c r="J170" s="100"/>
      <c r="K170" s="101" t="s">
        <v>1968</v>
      </c>
    </row>
    <row r="171" spans="1:11" ht="409.6" x14ac:dyDescent="0.2">
      <c r="A171" s="100" t="s">
        <v>661</v>
      </c>
      <c r="B171" s="100" t="s">
        <v>1969</v>
      </c>
      <c r="C171" s="100"/>
      <c r="D171" s="100"/>
      <c r="E171" s="100" t="s">
        <v>1970</v>
      </c>
      <c r="F171" s="100" t="s">
        <v>1967</v>
      </c>
      <c r="G171" s="100"/>
      <c r="H171" s="100"/>
      <c r="I171" s="100" t="s">
        <v>1827</v>
      </c>
      <c r="J171" s="100"/>
      <c r="K171" s="101" t="s">
        <v>1971</v>
      </c>
    </row>
    <row r="172" spans="1:11" ht="294" x14ac:dyDescent="0.2">
      <c r="A172" s="100" t="s">
        <v>663</v>
      </c>
      <c r="B172" s="100" t="s">
        <v>1972</v>
      </c>
      <c r="C172" s="100"/>
      <c r="D172" s="100"/>
      <c r="E172" s="100" t="s">
        <v>1973</v>
      </c>
      <c r="F172" s="100" t="s">
        <v>1974</v>
      </c>
      <c r="G172" s="100"/>
      <c r="H172" s="100"/>
      <c r="I172" s="100" t="s">
        <v>1827</v>
      </c>
      <c r="J172" s="100"/>
      <c r="K172" s="101" t="s">
        <v>1975</v>
      </c>
    </row>
    <row r="173" spans="1:11" ht="281" x14ac:dyDescent="0.2">
      <c r="A173" s="100" t="s">
        <v>663</v>
      </c>
      <c r="B173" s="100" t="s">
        <v>1976</v>
      </c>
      <c r="C173" s="100"/>
      <c r="D173" s="100"/>
      <c r="E173" s="100" t="s">
        <v>1977</v>
      </c>
      <c r="F173" s="100" t="s">
        <v>1974</v>
      </c>
      <c r="G173" s="100"/>
      <c r="H173" s="100"/>
      <c r="I173" s="100" t="s">
        <v>1827</v>
      </c>
      <c r="J173" s="100"/>
      <c r="K173" s="101" t="s">
        <v>1978</v>
      </c>
    </row>
    <row r="174" spans="1:11" ht="320" x14ac:dyDescent="0.2">
      <c r="A174" s="100" t="s">
        <v>673</v>
      </c>
      <c r="B174" s="100" t="s">
        <v>1979</v>
      </c>
      <c r="C174" s="100"/>
      <c r="D174" s="100"/>
      <c r="E174" s="100" t="s">
        <v>1980</v>
      </c>
      <c r="F174" s="100" t="s">
        <v>1981</v>
      </c>
      <c r="G174" s="100"/>
      <c r="H174" s="100"/>
      <c r="I174" s="100" t="s">
        <v>1827</v>
      </c>
      <c r="J174" s="100"/>
      <c r="K174" s="101" t="s">
        <v>1982</v>
      </c>
    </row>
    <row r="175" spans="1:11" ht="253" x14ac:dyDescent="0.2">
      <c r="A175" s="100" t="s">
        <v>699</v>
      </c>
      <c r="B175" s="100" t="s">
        <v>1983</v>
      </c>
      <c r="C175" s="100"/>
      <c r="D175" s="100"/>
      <c r="E175" s="100" t="s">
        <v>1984</v>
      </c>
      <c r="F175" s="100" t="s">
        <v>1985</v>
      </c>
      <c r="G175" s="100"/>
      <c r="H175" s="100"/>
      <c r="I175" s="100" t="s">
        <v>1827</v>
      </c>
      <c r="J175" s="100"/>
      <c r="K175" s="101" t="s">
        <v>1986</v>
      </c>
    </row>
    <row r="176" spans="1:11" ht="267" x14ac:dyDescent="0.2">
      <c r="A176" s="100" t="s">
        <v>701</v>
      </c>
      <c r="B176" s="100" t="s">
        <v>1987</v>
      </c>
      <c r="C176" s="100"/>
      <c r="D176" s="100"/>
      <c r="E176" s="100" t="s">
        <v>1988</v>
      </c>
      <c r="F176" s="100" t="s">
        <v>1989</v>
      </c>
      <c r="G176" s="100"/>
      <c r="H176" s="100"/>
      <c r="I176" s="100" t="s">
        <v>1827</v>
      </c>
      <c r="J176" s="100"/>
      <c r="K176" s="101" t="s">
        <v>1990</v>
      </c>
    </row>
    <row r="177" spans="1:11" ht="281" x14ac:dyDescent="0.2">
      <c r="A177" s="100" t="s">
        <v>701</v>
      </c>
      <c r="B177" s="100" t="s">
        <v>1991</v>
      </c>
      <c r="C177" s="100"/>
      <c r="D177" s="100"/>
      <c r="E177" s="100" t="s">
        <v>1992</v>
      </c>
      <c r="F177" s="100" t="s">
        <v>1989</v>
      </c>
      <c r="G177" s="100"/>
      <c r="H177" s="100"/>
      <c r="I177" s="100" t="s">
        <v>1827</v>
      </c>
      <c r="J177" s="100"/>
      <c r="K177" s="101" t="s">
        <v>1993</v>
      </c>
    </row>
    <row r="178" spans="1:11" ht="372" x14ac:dyDescent="0.2">
      <c r="A178" s="100" t="s">
        <v>703</v>
      </c>
      <c r="B178" s="100" t="s">
        <v>1994</v>
      </c>
      <c r="C178" s="100"/>
      <c r="D178" s="100"/>
      <c r="E178" s="100" t="s">
        <v>1995</v>
      </c>
      <c r="F178" s="100" t="s">
        <v>1989</v>
      </c>
      <c r="G178" s="100"/>
      <c r="H178" s="100"/>
      <c r="I178" s="100" t="s">
        <v>1827</v>
      </c>
      <c r="J178" s="100"/>
      <c r="K178" s="101" t="s">
        <v>1996</v>
      </c>
    </row>
    <row r="179" spans="1:11" ht="346" x14ac:dyDescent="0.2">
      <c r="A179" s="100" t="s">
        <v>1997</v>
      </c>
      <c r="B179" s="100" t="s">
        <v>1998</v>
      </c>
      <c r="C179" s="100"/>
      <c r="D179" s="100"/>
      <c r="E179" s="100" t="s">
        <v>1999</v>
      </c>
      <c r="F179" s="100" t="s">
        <v>2000</v>
      </c>
      <c r="G179" s="100"/>
      <c r="H179" s="100"/>
      <c r="I179" s="100" t="s">
        <v>1827</v>
      </c>
      <c r="J179" s="100"/>
      <c r="K179" s="101" t="s">
        <v>2001</v>
      </c>
    </row>
    <row r="180" spans="1:11" ht="320" x14ac:dyDescent="0.2">
      <c r="A180" s="100" t="s">
        <v>1997</v>
      </c>
      <c r="B180" s="100" t="s">
        <v>2002</v>
      </c>
      <c r="C180" s="100"/>
      <c r="D180" s="100"/>
      <c r="E180" s="100" t="s">
        <v>2003</v>
      </c>
      <c r="F180" s="100" t="s">
        <v>2000</v>
      </c>
      <c r="G180" s="100"/>
      <c r="H180" s="100"/>
      <c r="I180" s="100" t="s">
        <v>1827</v>
      </c>
      <c r="J180" s="100"/>
      <c r="K180" s="101" t="s">
        <v>2004</v>
      </c>
    </row>
    <row r="181" spans="1:11" ht="398" x14ac:dyDescent="0.2">
      <c r="A181" s="100" t="s">
        <v>730</v>
      </c>
      <c r="B181" s="100" t="s">
        <v>2005</v>
      </c>
      <c r="C181" s="100"/>
      <c r="D181" s="100"/>
      <c r="E181" s="100" t="s">
        <v>2006</v>
      </c>
      <c r="F181" s="100" t="s">
        <v>2007</v>
      </c>
      <c r="G181" s="100"/>
      <c r="H181" s="100"/>
      <c r="I181" s="100" t="s">
        <v>1827</v>
      </c>
      <c r="J181" s="100"/>
      <c r="K181" s="101" t="s">
        <v>2008</v>
      </c>
    </row>
    <row r="182" spans="1:11" ht="409.6" x14ac:dyDescent="0.2">
      <c r="A182" s="100" t="s">
        <v>730</v>
      </c>
      <c r="B182" s="100" t="s">
        <v>2009</v>
      </c>
      <c r="C182" s="100"/>
      <c r="D182" s="100"/>
      <c r="E182" s="100" t="s">
        <v>2010</v>
      </c>
      <c r="F182" s="100" t="s">
        <v>2007</v>
      </c>
      <c r="G182" s="100"/>
      <c r="H182" s="100"/>
      <c r="I182" s="100" t="s">
        <v>1827</v>
      </c>
      <c r="J182" s="100"/>
      <c r="K182" s="101" t="s">
        <v>2011</v>
      </c>
    </row>
    <row r="183" spans="1:11" ht="267" x14ac:dyDescent="0.2">
      <c r="A183" s="100" t="s">
        <v>2012</v>
      </c>
      <c r="B183" s="100" t="s">
        <v>2013</v>
      </c>
      <c r="C183" s="100"/>
      <c r="D183" s="100"/>
      <c r="E183" s="100" t="s">
        <v>2014</v>
      </c>
      <c r="F183" s="100" t="s">
        <v>2015</v>
      </c>
      <c r="G183" s="100"/>
      <c r="H183" s="100"/>
      <c r="I183" s="100" t="s">
        <v>1827</v>
      </c>
      <c r="J183" s="100"/>
      <c r="K183" s="101" t="s">
        <v>2016</v>
      </c>
    </row>
    <row r="184" spans="1:11" ht="409.6" x14ac:dyDescent="0.2">
      <c r="A184" s="100" t="s">
        <v>744</v>
      </c>
      <c r="B184" s="100" t="s">
        <v>2017</v>
      </c>
      <c r="C184" s="100"/>
      <c r="D184" s="100"/>
      <c r="E184" s="100" t="s">
        <v>2018</v>
      </c>
      <c r="F184" s="101" t="s">
        <v>2019</v>
      </c>
      <c r="G184" s="100"/>
      <c r="H184" s="100"/>
      <c r="I184" s="100" t="s">
        <v>1827</v>
      </c>
      <c r="J184" s="100">
        <v>60308</v>
      </c>
      <c r="K184" s="101" t="s">
        <v>2020</v>
      </c>
    </row>
    <row r="185" spans="1:11" ht="409.6" x14ac:dyDescent="0.2">
      <c r="A185" s="100" t="s">
        <v>744</v>
      </c>
      <c r="B185" s="100" t="s">
        <v>2021</v>
      </c>
      <c r="C185" s="100"/>
      <c r="D185" s="100"/>
      <c r="E185" s="100" t="s">
        <v>2022</v>
      </c>
      <c r="F185" s="101" t="s">
        <v>2019</v>
      </c>
      <c r="G185" s="100"/>
      <c r="H185" s="100"/>
      <c r="I185" s="100" t="s">
        <v>1827</v>
      </c>
      <c r="J185" s="100">
        <v>60308</v>
      </c>
      <c r="K185" s="101" t="s">
        <v>2023</v>
      </c>
    </row>
    <row r="186" spans="1:11" ht="346" x14ac:dyDescent="0.2">
      <c r="A186" s="100" t="s">
        <v>748</v>
      </c>
      <c r="B186" s="100" t="s">
        <v>2024</v>
      </c>
      <c r="C186" s="100"/>
      <c r="D186" s="100"/>
      <c r="E186" s="100" t="s">
        <v>2025</v>
      </c>
      <c r="F186" s="100" t="s">
        <v>2026</v>
      </c>
      <c r="G186" s="100"/>
      <c r="H186" s="100"/>
      <c r="I186" s="100" t="s">
        <v>1827</v>
      </c>
      <c r="J186" s="100"/>
      <c r="K186" s="101" t="s">
        <v>2027</v>
      </c>
    </row>
    <row r="187" spans="1:11" ht="346" x14ac:dyDescent="0.2">
      <c r="A187" s="100" t="s">
        <v>748</v>
      </c>
      <c r="B187" s="100" t="s">
        <v>2028</v>
      </c>
      <c r="C187" s="100"/>
      <c r="D187" s="100"/>
      <c r="E187" s="100" t="s">
        <v>2029</v>
      </c>
      <c r="F187" s="100" t="s">
        <v>2026</v>
      </c>
      <c r="G187" s="100"/>
      <c r="H187" s="100"/>
      <c r="I187" s="100" t="s">
        <v>1827</v>
      </c>
      <c r="J187" s="100"/>
      <c r="K187" s="101" t="s">
        <v>2027</v>
      </c>
    </row>
    <row r="188" spans="1:11" ht="29" x14ac:dyDescent="0.2">
      <c r="A188" s="100" t="s">
        <v>2030</v>
      </c>
      <c r="B188" s="100" t="s">
        <v>2031</v>
      </c>
      <c r="C188" s="100"/>
      <c r="D188" s="100"/>
      <c r="E188" s="100" t="s">
        <v>2032</v>
      </c>
      <c r="F188" s="100" t="s">
        <v>2033</v>
      </c>
      <c r="G188" s="100"/>
      <c r="H188" s="100"/>
      <c r="I188" s="100" t="s">
        <v>1827</v>
      </c>
      <c r="J188" s="100"/>
      <c r="K188" s="101" t="s">
        <v>1657</v>
      </c>
    </row>
    <row r="189" spans="1:11" ht="29" x14ac:dyDescent="0.2">
      <c r="A189" s="100" t="s">
        <v>2030</v>
      </c>
      <c r="B189" s="100" t="s">
        <v>2034</v>
      </c>
      <c r="C189" s="100"/>
      <c r="D189" s="100"/>
      <c r="E189" s="100" t="s">
        <v>2035</v>
      </c>
      <c r="F189" s="100" t="s">
        <v>2033</v>
      </c>
      <c r="G189" s="100"/>
      <c r="H189" s="100"/>
      <c r="I189" s="100" t="s">
        <v>1827</v>
      </c>
      <c r="J189" s="100"/>
      <c r="K189" s="101" t="s">
        <v>1657</v>
      </c>
    </row>
    <row r="190" spans="1:11" ht="409.6" x14ac:dyDescent="0.2">
      <c r="A190" s="100" t="s">
        <v>764</v>
      </c>
      <c r="B190" s="100" t="s">
        <v>2036</v>
      </c>
      <c r="C190" s="100"/>
      <c r="D190" s="100"/>
      <c r="E190" s="100" t="s">
        <v>2037</v>
      </c>
      <c r="F190" s="100" t="s">
        <v>2038</v>
      </c>
      <c r="G190" s="100"/>
      <c r="H190" s="100"/>
      <c r="I190" s="100" t="s">
        <v>1827</v>
      </c>
      <c r="J190" s="100"/>
      <c r="K190" s="101" t="s">
        <v>2039</v>
      </c>
    </row>
    <row r="191" spans="1:11" ht="294" x14ac:dyDescent="0.2">
      <c r="A191" s="100" t="s">
        <v>766</v>
      </c>
      <c r="B191" s="100" t="s">
        <v>2040</v>
      </c>
      <c r="C191" s="100"/>
      <c r="D191" s="100"/>
      <c r="E191" s="100" t="s">
        <v>2041</v>
      </c>
      <c r="F191" s="100" t="s">
        <v>2042</v>
      </c>
      <c r="G191" s="100"/>
      <c r="H191" s="100"/>
      <c r="I191" s="100" t="s">
        <v>1827</v>
      </c>
      <c r="J191" s="100"/>
      <c r="K191" s="101" t="s">
        <v>2043</v>
      </c>
    </row>
    <row r="192" spans="1:11" ht="359" x14ac:dyDescent="0.2">
      <c r="A192" s="100" t="s">
        <v>1528</v>
      </c>
      <c r="B192" s="100" t="s">
        <v>2044</v>
      </c>
      <c r="C192" s="100"/>
      <c r="D192" s="100"/>
      <c r="E192" s="100" t="s">
        <v>2045</v>
      </c>
      <c r="F192" s="100" t="s">
        <v>2046</v>
      </c>
      <c r="G192" s="100"/>
      <c r="H192" s="100"/>
      <c r="I192" s="100" t="s">
        <v>1827</v>
      </c>
      <c r="J192" s="100"/>
      <c r="K192" s="101" t="s">
        <v>2047</v>
      </c>
    </row>
    <row r="193" spans="1:11" ht="346" x14ac:dyDescent="0.2">
      <c r="A193" s="100" t="s">
        <v>1528</v>
      </c>
      <c r="B193" s="100" t="s">
        <v>2048</v>
      </c>
      <c r="C193" s="100"/>
      <c r="D193" s="100"/>
      <c r="E193" s="100" t="s">
        <v>2049</v>
      </c>
      <c r="F193" s="100" t="s">
        <v>2046</v>
      </c>
      <c r="G193" s="100"/>
      <c r="H193" s="100"/>
      <c r="I193" s="100" t="s">
        <v>1827</v>
      </c>
      <c r="J193" s="100"/>
      <c r="K193" s="101" t="s">
        <v>2050</v>
      </c>
    </row>
    <row r="194" spans="1:11" ht="183" x14ac:dyDescent="0.2">
      <c r="A194" s="100" t="s">
        <v>771</v>
      </c>
      <c r="B194" s="100" t="s">
        <v>2051</v>
      </c>
      <c r="C194" s="100"/>
      <c r="D194" s="100"/>
      <c r="E194" s="100" t="s">
        <v>2052</v>
      </c>
      <c r="F194" s="100" t="s">
        <v>2053</v>
      </c>
      <c r="G194" s="100"/>
      <c r="H194" s="100"/>
      <c r="I194" s="100" t="s">
        <v>1827</v>
      </c>
      <c r="J194" s="100"/>
      <c r="K194" s="101" t="s">
        <v>2054</v>
      </c>
    </row>
    <row r="195" spans="1:11" ht="320" x14ac:dyDescent="0.2">
      <c r="A195" s="100" t="s">
        <v>1529</v>
      </c>
      <c r="B195" s="100" t="s">
        <v>2055</v>
      </c>
      <c r="C195" s="100"/>
      <c r="D195" s="100"/>
      <c r="E195" s="100" t="s">
        <v>2056</v>
      </c>
      <c r="F195" s="100" t="s">
        <v>2057</v>
      </c>
      <c r="G195" s="100"/>
      <c r="H195" s="100"/>
      <c r="I195" s="100" t="s">
        <v>1827</v>
      </c>
      <c r="J195" s="100"/>
      <c r="K195" s="101" t="s">
        <v>2058</v>
      </c>
    </row>
    <row r="196" spans="1:11" ht="359" x14ac:dyDescent="0.2">
      <c r="A196" s="100" t="s">
        <v>778</v>
      </c>
      <c r="B196" s="100" t="s">
        <v>2059</v>
      </c>
      <c r="C196" s="100"/>
      <c r="D196" s="100"/>
      <c r="E196" s="100" t="s">
        <v>2060</v>
      </c>
      <c r="F196" s="100" t="s">
        <v>2061</v>
      </c>
      <c r="G196" s="100"/>
      <c r="H196" s="100"/>
      <c r="I196" s="100" t="s">
        <v>1827</v>
      </c>
      <c r="J196" s="100"/>
      <c r="K196" s="101" t="s">
        <v>2062</v>
      </c>
    </row>
    <row r="197" spans="1:11" ht="372" x14ac:dyDescent="0.2">
      <c r="A197" s="100" t="s">
        <v>778</v>
      </c>
      <c r="B197" s="100" t="s">
        <v>2063</v>
      </c>
      <c r="C197" s="100"/>
      <c r="D197" s="100"/>
      <c r="E197" s="100" t="s">
        <v>2064</v>
      </c>
      <c r="F197" s="100" t="s">
        <v>2061</v>
      </c>
      <c r="G197" s="100"/>
      <c r="H197" s="100"/>
      <c r="I197" s="100" t="s">
        <v>1827</v>
      </c>
      <c r="J197" s="100"/>
      <c r="K197" s="101" t="s">
        <v>2065</v>
      </c>
    </row>
    <row r="198" spans="1:11" ht="385" x14ac:dyDescent="0.2">
      <c r="A198" s="100" t="s">
        <v>788</v>
      </c>
      <c r="B198" s="100" t="s">
        <v>2066</v>
      </c>
      <c r="C198" s="100"/>
      <c r="D198" s="100"/>
      <c r="E198" s="100" t="s">
        <v>2067</v>
      </c>
      <c r="F198" s="100" t="s">
        <v>2068</v>
      </c>
      <c r="G198" s="100"/>
      <c r="H198" s="100"/>
      <c r="I198" s="100" t="s">
        <v>1827</v>
      </c>
      <c r="J198" s="100"/>
      <c r="K198" s="101" t="s">
        <v>2069</v>
      </c>
    </row>
    <row r="199" spans="1:11" ht="372" x14ac:dyDescent="0.2">
      <c r="A199" s="100" t="s">
        <v>788</v>
      </c>
      <c r="B199" s="100" t="s">
        <v>2070</v>
      </c>
      <c r="C199" s="100"/>
      <c r="D199" s="100"/>
      <c r="E199" s="100" t="s">
        <v>2071</v>
      </c>
      <c r="F199" s="100" t="s">
        <v>2068</v>
      </c>
      <c r="G199" s="100"/>
      <c r="H199" s="100"/>
      <c r="I199" s="100" t="s">
        <v>1827</v>
      </c>
      <c r="J199" s="100"/>
      <c r="K199" s="101" t="s">
        <v>2072</v>
      </c>
    </row>
    <row r="200" spans="1:11" ht="307" x14ac:dyDescent="0.2">
      <c r="A200" s="100" t="s">
        <v>790</v>
      </c>
      <c r="B200" s="100" t="s">
        <v>2073</v>
      </c>
      <c r="C200" s="100"/>
      <c r="D200" s="100"/>
      <c r="E200" s="100" t="s">
        <v>2074</v>
      </c>
      <c r="F200" s="100" t="s">
        <v>2075</v>
      </c>
      <c r="G200" s="100"/>
      <c r="H200" s="100"/>
      <c r="I200" s="100" t="s">
        <v>1827</v>
      </c>
      <c r="J200" s="100"/>
      <c r="K200" s="101" t="s">
        <v>2076</v>
      </c>
    </row>
    <row r="201" spans="1:11" ht="320" x14ac:dyDescent="0.2">
      <c r="A201" s="100" t="s">
        <v>790</v>
      </c>
      <c r="B201" s="100" t="s">
        <v>2077</v>
      </c>
      <c r="C201" s="100"/>
      <c r="D201" s="100"/>
      <c r="E201" s="100" t="s">
        <v>2078</v>
      </c>
      <c r="F201" s="100" t="s">
        <v>2075</v>
      </c>
      <c r="G201" s="100"/>
      <c r="H201" s="100"/>
      <c r="I201" s="100" t="s">
        <v>1827</v>
      </c>
      <c r="J201" s="100"/>
      <c r="K201" s="101" t="s">
        <v>2079</v>
      </c>
    </row>
    <row r="202" spans="1:11" ht="225" x14ac:dyDescent="0.2">
      <c r="A202" s="100" t="s">
        <v>792</v>
      </c>
      <c r="B202" s="100" t="s">
        <v>2080</v>
      </c>
      <c r="C202" s="100"/>
      <c r="D202" s="100"/>
      <c r="E202" s="100" t="s">
        <v>2081</v>
      </c>
      <c r="F202" s="100" t="s">
        <v>2082</v>
      </c>
      <c r="G202" s="100"/>
      <c r="H202" s="100"/>
      <c r="I202" s="100" t="s">
        <v>1827</v>
      </c>
      <c r="J202" s="100"/>
      <c r="K202" s="101" t="s">
        <v>2083</v>
      </c>
    </row>
    <row r="203" spans="1:11" ht="29" x14ac:dyDescent="0.2">
      <c r="A203" s="100" t="s">
        <v>794</v>
      </c>
      <c r="B203" s="100" t="s">
        <v>2084</v>
      </c>
      <c r="C203" s="100"/>
      <c r="D203" s="100"/>
      <c r="E203" s="100" t="s">
        <v>2085</v>
      </c>
      <c r="F203" s="100" t="s">
        <v>2086</v>
      </c>
      <c r="G203" s="100"/>
      <c r="H203" s="100"/>
      <c r="I203" s="100" t="s">
        <v>1827</v>
      </c>
      <c r="J203" s="100"/>
      <c r="K203" s="101" t="s">
        <v>1540</v>
      </c>
    </row>
    <row r="204" spans="1:11" ht="253" x14ac:dyDescent="0.2">
      <c r="A204" s="100" t="s">
        <v>802</v>
      </c>
      <c r="B204" s="100" t="s">
        <v>2087</v>
      </c>
      <c r="C204" s="100"/>
      <c r="D204" s="100"/>
      <c r="E204" s="100" t="s">
        <v>2088</v>
      </c>
      <c r="F204" s="100" t="s">
        <v>2089</v>
      </c>
      <c r="G204" s="100"/>
      <c r="H204" s="100"/>
      <c r="I204" s="100" t="s">
        <v>1827</v>
      </c>
      <c r="J204" s="100"/>
      <c r="K204" s="101" t="s">
        <v>2090</v>
      </c>
    </row>
    <row r="205" spans="1:11" ht="409.6" x14ac:dyDescent="0.2">
      <c r="A205" s="100" t="s">
        <v>816</v>
      </c>
      <c r="B205" s="100" t="s">
        <v>2091</v>
      </c>
      <c r="C205" s="100"/>
      <c r="D205" s="100"/>
      <c r="E205" s="100" t="s">
        <v>2092</v>
      </c>
      <c r="F205" s="100" t="s">
        <v>2093</v>
      </c>
      <c r="G205" s="100"/>
      <c r="H205" s="100"/>
      <c r="I205" s="100" t="s">
        <v>1827</v>
      </c>
      <c r="J205" s="100"/>
      <c r="K205" s="101" t="s">
        <v>2094</v>
      </c>
    </row>
    <row r="206" spans="1:11" ht="409.6" x14ac:dyDescent="0.2">
      <c r="A206" s="100" t="s">
        <v>816</v>
      </c>
      <c r="B206" s="100" t="s">
        <v>2095</v>
      </c>
      <c r="C206" s="100"/>
      <c r="D206" s="100"/>
      <c r="E206" s="100" t="s">
        <v>2096</v>
      </c>
      <c r="F206" s="100" t="s">
        <v>2093</v>
      </c>
      <c r="G206" s="100"/>
      <c r="H206" s="100"/>
      <c r="I206" s="100" t="s">
        <v>1827</v>
      </c>
      <c r="J206" s="100"/>
      <c r="K206" s="101" t="s">
        <v>2097</v>
      </c>
    </row>
    <row r="207" spans="1:11" ht="409.6" x14ac:dyDescent="0.2">
      <c r="A207" s="100" t="s">
        <v>822</v>
      </c>
      <c r="B207" s="100" t="s">
        <v>2098</v>
      </c>
      <c r="C207" s="100"/>
      <c r="D207" s="100"/>
      <c r="E207" s="100" t="s">
        <v>2099</v>
      </c>
      <c r="F207" s="100" t="s">
        <v>2100</v>
      </c>
      <c r="G207" s="100"/>
      <c r="H207" s="100"/>
      <c r="I207" s="100" t="s">
        <v>1827</v>
      </c>
      <c r="J207" s="100"/>
      <c r="K207" s="101" t="s">
        <v>2101</v>
      </c>
    </row>
    <row r="208" spans="1:11" ht="409.6" x14ac:dyDescent="0.2">
      <c r="A208" s="100" t="s">
        <v>822</v>
      </c>
      <c r="B208" s="100" t="s">
        <v>2102</v>
      </c>
      <c r="C208" s="100"/>
      <c r="D208" s="100"/>
      <c r="E208" s="100" t="s">
        <v>2103</v>
      </c>
      <c r="F208" s="100" t="s">
        <v>2100</v>
      </c>
      <c r="G208" s="100"/>
      <c r="H208" s="100"/>
      <c r="I208" s="100" t="s">
        <v>1827</v>
      </c>
      <c r="J208" s="100"/>
      <c r="K208" s="101" t="s">
        <v>2104</v>
      </c>
    </row>
    <row r="209" spans="1:11" ht="409.6" x14ac:dyDescent="0.2">
      <c r="A209" s="100" t="s">
        <v>826</v>
      </c>
      <c r="B209" s="100" t="s">
        <v>2105</v>
      </c>
      <c r="C209" s="100"/>
      <c r="D209" s="100"/>
      <c r="E209" s="100" t="s">
        <v>2106</v>
      </c>
      <c r="F209" s="100" t="s">
        <v>2107</v>
      </c>
      <c r="G209" s="100"/>
      <c r="H209" s="100"/>
      <c r="I209" s="100" t="s">
        <v>1827</v>
      </c>
      <c r="J209" s="100"/>
      <c r="K209" s="101" t="s">
        <v>2108</v>
      </c>
    </row>
    <row r="210" spans="1:11" ht="43" x14ac:dyDescent="0.2">
      <c r="A210" s="100" t="s">
        <v>832</v>
      </c>
      <c r="B210" s="100" t="s">
        <v>2109</v>
      </c>
      <c r="C210" s="100"/>
      <c r="D210" s="100"/>
      <c r="E210" s="100" t="s">
        <v>2110</v>
      </c>
      <c r="F210" s="100" t="s">
        <v>2111</v>
      </c>
      <c r="G210" s="100"/>
      <c r="H210" s="100"/>
      <c r="I210" s="100" t="s">
        <v>1827</v>
      </c>
      <c r="J210" s="100"/>
      <c r="K210" s="101" t="s">
        <v>1775</v>
      </c>
    </row>
    <row r="211" spans="1:11" ht="29" x14ac:dyDescent="0.2">
      <c r="A211" s="100" t="s">
        <v>832</v>
      </c>
      <c r="B211" s="100" t="s">
        <v>2112</v>
      </c>
      <c r="C211" s="100"/>
      <c r="D211" s="100"/>
      <c r="E211" s="100" t="s">
        <v>2113</v>
      </c>
      <c r="F211" s="100" t="s">
        <v>2111</v>
      </c>
      <c r="G211" s="100"/>
      <c r="H211" s="100"/>
      <c r="I211" s="100" t="s">
        <v>1827</v>
      </c>
      <c r="J211" s="100"/>
      <c r="K211" s="101" t="s">
        <v>1657</v>
      </c>
    </row>
    <row r="212" spans="1:11" ht="57" x14ac:dyDescent="0.2">
      <c r="A212" s="100" t="s">
        <v>836</v>
      </c>
      <c r="B212" s="100" t="s">
        <v>2114</v>
      </c>
      <c r="C212" s="100"/>
      <c r="D212" s="100"/>
      <c r="E212" s="100" t="s">
        <v>2115</v>
      </c>
      <c r="F212" s="100" t="s">
        <v>2015</v>
      </c>
      <c r="G212" s="100"/>
      <c r="H212" s="100"/>
      <c r="I212" s="100" t="s">
        <v>1827</v>
      </c>
      <c r="J212" s="100"/>
      <c r="K212" s="101" t="s">
        <v>1675</v>
      </c>
    </row>
    <row r="213" spans="1:11" ht="385" x14ac:dyDescent="0.2">
      <c r="A213" s="100" t="s">
        <v>1530</v>
      </c>
      <c r="B213" s="100" t="s">
        <v>2116</v>
      </c>
      <c r="C213" s="100"/>
      <c r="D213" s="100"/>
      <c r="E213" s="100" t="s">
        <v>2117</v>
      </c>
      <c r="F213" s="100" t="s">
        <v>1868</v>
      </c>
      <c r="G213" s="100"/>
      <c r="H213" s="100"/>
      <c r="I213" s="100" t="s">
        <v>1827</v>
      </c>
      <c r="J213" s="100"/>
      <c r="K213" s="101" t="s">
        <v>2118</v>
      </c>
    </row>
    <row r="214" spans="1:11" ht="197" x14ac:dyDescent="0.2">
      <c r="A214" s="100" t="s">
        <v>870</v>
      </c>
      <c r="B214" s="100" t="s">
        <v>2119</v>
      </c>
      <c r="C214" s="100"/>
      <c r="D214" s="100"/>
      <c r="E214" s="100" t="s">
        <v>2120</v>
      </c>
      <c r="F214" s="100" t="s">
        <v>2121</v>
      </c>
      <c r="G214" s="100"/>
      <c r="H214" s="100"/>
      <c r="I214" s="100" t="s">
        <v>1827</v>
      </c>
      <c r="J214" s="100"/>
      <c r="K214" s="101" t="s">
        <v>2122</v>
      </c>
    </row>
    <row r="215" spans="1:11" ht="409.6" x14ac:dyDescent="0.2">
      <c r="A215" s="100" t="s">
        <v>876</v>
      </c>
      <c r="B215" s="100" t="s">
        <v>2123</v>
      </c>
      <c r="C215" s="100"/>
      <c r="D215" s="100"/>
      <c r="E215" s="100" t="s">
        <v>2124</v>
      </c>
      <c r="F215" s="100" t="s">
        <v>2125</v>
      </c>
      <c r="G215" s="100"/>
      <c r="H215" s="100"/>
      <c r="I215" s="100" t="s">
        <v>1827</v>
      </c>
      <c r="J215" s="100"/>
      <c r="K215" s="101" t="s">
        <v>2126</v>
      </c>
    </row>
    <row r="216" spans="1:11" ht="409.6" x14ac:dyDescent="0.2">
      <c r="A216" s="100" t="s">
        <v>884</v>
      </c>
      <c r="B216" s="100" t="s">
        <v>2127</v>
      </c>
      <c r="C216" s="100"/>
      <c r="D216" s="100"/>
      <c r="E216" s="100" t="s">
        <v>2128</v>
      </c>
      <c r="F216" s="100" t="s">
        <v>2129</v>
      </c>
      <c r="G216" s="100"/>
      <c r="H216" s="100"/>
      <c r="I216" s="100" t="s">
        <v>1827</v>
      </c>
      <c r="J216" s="100"/>
      <c r="K216" s="101" t="s">
        <v>2130</v>
      </c>
    </row>
    <row r="217" spans="1:11" ht="398" x14ac:dyDescent="0.2">
      <c r="A217" s="100" t="s">
        <v>884</v>
      </c>
      <c r="B217" s="100" t="s">
        <v>2131</v>
      </c>
      <c r="C217" s="100"/>
      <c r="D217" s="100"/>
      <c r="E217" s="100" t="s">
        <v>2132</v>
      </c>
      <c r="F217" s="100" t="s">
        <v>2129</v>
      </c>
      <c r="G217" s="100"/>
      <c r="H217" s="100"/>
      <c r="I217" s="100" t="s">
        <v>1827</v>
      </c>
      <c r="J217" s="100"/>
      <c r="K217" s="101" t="s">
        <v>2133</v>
      </c>
    </row>
    <row r="218" spans="1:11" ht="409.6" x14ac:dyDescent="0.2">
      <c r="A218" s="100" t="s">
        <v>890</v>
      </c>
      <c r="B218" s="100" t="s">
        <v>2134</v>
      </c>
      <c r="C218" s="100"/>
      <c r="D218" s="100"/>
      <c r="E218" s="100" t="s">
        <v>2135</v>
      </c>
      <c r="F218" s="100" t="s">
        <v>2136</v>
      </c>
      <c r="G218" s="100"/>
      <c r="H218" s="100"/>
      <c r="I218" s="100" t="s">
        <v>1827</v>
      </c>
      <c r="J218" s="100"/>
      <c r="K218" s="101" t="s">
        <v>2137</v>
      </c>
    </row>
    <row r="219" spans="1:11" ht="409.6" x14ac:dyDescent="0.2">
      <c r="A219" s="100" t="s">
        <v>890</v>
      </c>
      <c r="B219" s="100" t="s">
        <v>2138</v>
      </c>
      <c r="C219" s="100"/>
      <c r="D219" s="100"/>
      <c r="E219" s="100" t="s">
        <v>2139</v>
      </c>
      <c r="F219" s="100" t="s">
        <v>2136</v>
      </c>
      <c r="G219" s="100"/>
      <c r="H219" s="100"/>
      <c r="I219" s="100" t="s">
        <v>1827</v>
      </c>
      <c r="J219" s="100"/>
      <c r="K219" s="101" t="s">
        <v>2140</v>
      </c>
    </row>
    <row r="220" spans="1:11" ht="43" x14ac:dyDescent="0.2">
      <c r="A220" s="100" t="s">
        <v>109</v>
      </c>
      <c r="B220" s="100" t="s">
        <v>1023</v>
      </c>
      <c r="C220" s="100" t="s">
        <v>1024</v>
      </c>
      <c r="D220" s="100"/>
      <c r="E220" s="100" t="s">
        <v>1025</v>
      </c>
      <c r="F220" s="101" t="s">
        <v>2141</v>
      </c>
      <c r="G220" s="100"/>
      <c r="H220" s="100"/>
      <c r="I220" s="100" t="s">
        <v>2142</v>
      </c>
      <c r="J220" s="100"/>
      <c r="K220" s="101" t="s">
        <v>1540</v>
      </c>
    </row>
    <row r="221" spans="1:11" ht="43" x14ac:dyDescent="0.2">
      <c r="A221" s="100" t="s">
        <v>109</v>
      </c>
      <c r="B221" s="100" t="s">
        <v>1019</v>
      </c>
      <c r="C221" s="100" t="s">
        <v>1020</v>
      </c>
      <c r="D221" s="100"/>
      <c r="E221" s="100" t="s">
        <v>1021</v>
      </c>
      <c r="F221" s="101" t="s">
        <v>2141</v>
      </c>
      <c r="G221" s="100"/>
      <c r="H221" s="100"/>
      <c r="I221" s="100" t="s">
        <v>2142</v>
      </c>
      <c r="J221" s="100"/>
      <c r="K221" s="101" t="s">
        <v>1540</v>
      </c>
    </row>
    <row r="222" spans="1:11" ht="294" x14ac:dyDescent="0.2">
      <c r="A222" s="100" t="s">
        <v>646</v>
      </c>
      <c r="B222" s="100" t="s">
        <v>2143</v>
      </c>
      <c r="C222" s="100"/>
      <c r="D222" s="100"/>
      <c r="E222" s="100" t="s">
        <v>2144</v>
      </c>
      <c r="F222" s="100" t="s">
        <v>2145</v>
      </c>
      <c r="G222" s="100"/>
      <c r="H222" s="100"/>
      <c r="I222" s="100" t="s">
        <v>2142</v>
      </c>
      <c r="J222" s="100"/>
      <c r="K222" s="101" t="s">
        <v>2146</v>
      </c>
    </row>
    <row r="223" spans="1:11" ht="409.6" x14ac:dyDescent="0.2">
      <c r="A223" s="100" t="s">
        <v>648</v>
      </c>
      <c r="B223" s="100" t="s">
        <v>2147</v>
      </c>
      <c r="C223" s="100"/>
      <c r="D223" s="100"/>
      <c r="E223" s="100" t="s">
        <v>2148</v>
      </c>
      <c r="F223" s="100" t="s">
        <v>2149</v>
      </c>
      <c r="G223" s="100"/>
      <c r="H223" s="100"/>
      <c r="I223" s="100" t="s">
        <v>2142</v>
      </c>
      <c r="J223" s="100"/>
      <c r="K223" s="101" t="s">
        <v>2150</v>
      </c>
    </row>
    <row r="224" spans="1:11" ht="409.6" x14ac:dyDescent="0.2">
      <c r="A224" s="100" t="s">
        <v>648</v>
      </c>
      <c r="B224" s="100" t="s">
        <v>2151</v>
      </c>
      <c r="C224" s="100"/>
      <c r="D224" s="100"/>
      <c r="E224" s="100" t="s">
        <v>2152</v>
      </c>
      <c r="F224" s="100" t="s">
        <v>2149</v>
      </c>
      <c r="G224" s="100"/>
      <c r="H224" s="100"/>
      <c r="I224" s="100" t="s">
        <v>2142</v>
      </c>
      <c r="J224" s="100"/>
      <c r="K224" s="101" t="s">
        <v>2153</v>
      </c>
    </row>
    <row r="225" spans="1:11" ht="99" x14ac:dyDescent="0.2">
      <c r="A225" s="100" t="s">
        <v>2154</v>
      </c>
      <c r="B225" s="100" t="s">
        <v>2155</v>
      </c>
      <c r="C225" s="100"/>
      <c r="D225" s="100"/>
      <c r="E225" s="100" t="s">
        <v>2156</v>
      </c>
      <c r="F225" s="100" t="s">
        <v>2157</v>
      </c>
      <c r="G225" s="100"/>
      <c r="H225" s="100"/>
      <c r="I225" s="100" t="s">
        <v>2142</v>
      </c>
      <c r="J225" s="100"/>
      <c r="K225" s="101" t="s">
        <v>2158</v>
      </c>
    </row>
    <row r="226" spans="1:11" ht="85" x14ac:dyDescent="0.2">
      <c r="A226" s="100" t="s">
        <v>2154</v>
      </c>
      <c r="B226" s="100" t="s">
        <v>2159</v>
      </c>
      <c r="C226" s="100"/>
      <c r="D226" s="100"/>
      <c r="E226" s="100" t="s">
        <v>2160</v>
      </c>
      <c r="F226" s="100" t="s">
        <v>2157</v>
      </c>
      <c r="G226" s="100"/>
      <c r="H226" s="100"/>
      <c r="I226" s="100" t="s">
        <v>2142</v>
      </c>
      <c r="J226" s="100"/>
      <c r="K226" s="101" t="s">
        <v>2161</v>
      </c>
    </row>
    <row r="227" spans="1:11" ht="409.6" x14ac:dyDescent="0.2">
      <c r="A227" s="100" t="s">
        <v>812</v>
      </c>
      <c r="B227" s="100" t="s">
        <v>2162</v>
      </c>
      <c r="C227" s="100"/>
      <c r="D227" s="100"/>
      <c r="E227" s="100" t="s">
        <v>2163</v>
      </c>
      <c r="F227" s="100" t="s">
        <v>2061</v>
      </c>
      <c r="G227" s="100"/>
      <c r="H227" s="100"/>
      <c r="I227" s="100" t="s">
        <v>2142</v>
      </c>
      <c r="J227" s="100"/>
      <c r="K227" s="101" t="s">
        <v>2164</v>
      </c>
    </row>
    <row r="228" spans="1:11" ht="409.6" x14ac:dyDescent="0.2">
      <c r="A228" s="100" t="s">
        <v>812</v>
      </c>
      <c r="B228" s="100" t="s">
        <v>2165</v>
      </c>
      <c r="C228" s="100"/>
      <c r="D228" s="100"/>
      <c r="E228" s="100" t="s">
        <v>2166</v>
      </c>
      <c r="F228" s="100" t="s">
        <v>2061</v>
      </c>
      <c r="G228" s="100"/>
      <c r="H228" s="100"/>
      <c r="I228" s="100" t="s">
        <v>2142</v>
      </c>
      <c r="J228" s="100"/>
      <c r="K228" s="101" t="s">
        <v>2167</v>
      </c>
    </row>
    <row r="229" spans="1:11" ht="320" x14ac:dyDescent="0.2">
      <c r="A229" s="100" t="s">
        <v>872</v>
      </c>
      <c r="B229" s="100" t="s">
        <v>2168</v>
      </c>
      <c r="C229" s="100"/>
      <c r="D229" s="100"/>
      <c r="E229" s="100" t="s">
        <v>2169</v>
      </c>
      <c r="F229" s="100" t="s">
        <v>2170</v>
      </c>
      <c r="G229" s="100"/>
      <c r="H229" s="100"/>
      <c r="I229" s="100" t="s">
        <v>2142</v>
      </c>
      <c r="J229" s="100"/>
      <c r="K229" s="101" t="s">
        <v>2171</v>
      </c>
    </row>
    <row r="230" spans="1:11" ht="333" x14ac:dyDescent="0.2">
      <c r="A230" s="100" t="s">
        <v>872</v>
      </c>
      <c r="B230" s="100" t="s">
        <v>2172</v>
      </c>
      <c r="C230" s="100"/>
      <c r="D230" s="100"/>
      <c r="E230" s="100" t="s">
        <v>2173</v>
      </c>
      <c r="F230" s="100" t="s">
        <v>2170</v>
      </c>
      <c r="G230" s="100"/>
      <c r="H230" s="100"/>
      <c r="I230" s="100" t="s">
        <v>2142</v>
      </c>
      <c r="J230" s="100"/>
      <c r="K230" s="101" t="s">
        <v>2174</v>
      </c>
    </row>
    <row r="231" spans="1:11" ht="43" x14ac:dyDescent="0.2">
      <c r="A231" s="100" t="s">
        <v>1533</v>
      </c>
      <c r="B231" s="100" t="s">
        <v>2175</v>
      </c>
      <c r="C231" s="100"/>
      <c r="D231" s="100"/>
      <c r="E231" s="100" t="s">
        <v>2176</v>
      </c>
      <c r="F231" s="100" t="s">
        <v>1855</v>
      </c>
      <c r="G231" s="100"/>
      <c r="H231" s="100"/>
      <c r="I231" s="100" t="s">
        <v>2142</v>
      </c>
      <c r="J231" s="100"/>
      <c r="K231" s="101" t="s">
        <v>1775</v>
      </c>
    </row>
    <row r="232" spans="1:11" ht="43" x14ac:dyDescent="0.2">
      <c r="A232" s="100" t="s">
        <v>1533</v>
      </c>
      <c r="B232" s="100" t="s">
        <v>2177</v>
      </c>
      <c r="C232" s="100"/>
      <c r="D232" s="100"/>
      <c r="E232" s="100" t="s">
        <v>2178</v>
      </c>
      <c r="F232" s="100" t="s">
        <v>1855</v>
      </c>
      <c r="G232" s="100"/>
      <c r="H232" s="100"/>
      <c r="I232" s="100" t="s">
        <v>2142</v>
      </c>
      <c r="J232" s="100"/>
      <c r="K232" s="101" t="s">
        <v>1775</v>
      </c>
    </row>
    <row r="233" spans="1:11" ht="409.6" x14ac:dyDescent="0.2">
      <c r="A233" s="100" t="s">
        <v>882</v>
      </c>
      <c r="B233" s="100" t="s">
        <v>2179</v>
      </c>
      <c r="C233" s="100"/>
      <c r="D233" s="100"/>
      <c r="E233" s="100" t="s">
        <v>2180</v>
      </c>
      <c r="F233" s="100" t="s">
        <v>2181</v>
      </c>
      <c r="G233" s="100"/>
      <c r="H233" s="100"/>
      <c r="I233" s="100" t="s">
        <v>2182</v>
      </c>
      <c r="J233" s="100"/>
      <c r="K233" s="101" t="s">
        <v>2183</v>
      </c>
    </row>
    <row r="234" spans="1:11" ht="409.6" x14ac:dyDescent="0.2">
      <c r="A234" s="100" t="s">
        <v>882</v>
      </c>
      <c r="B234" s="100" t="s">
        <v>2184</v>
      </c>
      <c r="C234" s="100"/>
      <c r="D234" s="100"/>
      <c r="E234" s="100" t="s">
        <v>2185</v>
      </c>
      <c r="F234" s="100" t="s">
        <v>2181</v>
      </c>
      <c r="G234" s="100"/>
      <c r="H234" s="100"/>
      <c r="I234" s="100" t="s">
        <v>2182</v>
      </c>
      <c r="J234" s="100"/>
      <c r="K234" s="101" t="s">
        <v>2186</v>
      </c>
    </row>
    <row r="235" spans="1:11" ht="29" x14ac:dyDescent="0.2">
      <c r="A235" s="100" t="s">
        <v>442</v>
      </c>
      <c r="B235" s="100" t="s">
        <v>2187</v>
      </c>
      <c r="C235" s="100"/>
      <c r="D235" s="100"/>
      <c r="E235" s="100" t="s">
        <v>2188</v>
      </c>
      <c r="F235" s="100" t="s">
        <v>2189</v>
      </c>
      <c r="G235" s="100"/>
      <c r="H235" s="100"/>
      <c r="I235" s="100" t="s">
        <v>2190</v>
      </c>
      <c r="J235" s="100"/>
      <c r="K235" s="101" t="s">
        <v>1657</v>
      </c>
    </row>
    <row r="236" spans="1:11" ht="29" x14ac:dyDescent="0.2">
      <c r="A236" s="100" t="s">
        <v>442</v>
      </c>
      <c r="B236" s="100" t="s">
        <v>2191</v>
      </c>
      <c r="C236" s="100"/>
      <c r="D236" s="100"/>
      <c r="E236" s="100" t="s">
        <v>2192</v>
      </c>
      <c r="F236" s="100" t="s">
        <v>2189</v>
      </c>
      <c r="G236" s="100"/>
      <c r="H236" s="100"/>
      <c r="I236" s="100" t="s">
        <v>2190</v>
      </c>
      <c r="J236" s="100"/>
      <c r="K236" s="101" t="s">
        <v>1657</v>
      </c>
    </row>
    <row r="237" spans="1:11" ht="267" x14ac:dyDescent="0.2">
      <c r="A237" s="100" t="s">
        <v>716</v>
      </c>
      <c r="B237" s="100" t="s">
        <v>2193</v>
      </c>
      <c r="C237" s="100"/>
      <c r="D237" s="100"/>
      <c r="E237" s="100" t="s">
        <v>2194</v>
      </c>
      <c r="F237" s="100" t="s">
        <v>2195</v>
      </c>
      <c r="G237" s="100"/>
      <c r="H237" s="100"/>
      <c r="I237" s="100" t="s">
        <v>2196</v>
      </c>
      <c r="J237" s="100"/>
      <c r="K237" s="101" t="s">
        <v>2197</v>
      </c>
    </row>
    <row r="238" spans="1:11" ht="253" x14ac:dyDescent="0.2">
      <c r="A238" s="100" t="s">
        <v>716</v>
      </c>
      <c r="B238" s="100" t="s">
        <v>2198</v>
      </c>
      <c r="C238" s="100"/>
      <c r="D238" s="100"/>
      <c r="E238" s="100" t="s">
        <v>2199</v>
      </c>
      <c r="F238" s="100" t="s">
        <v>2195</v>
      </c>
      <c r="G238" s="100"/>
      <c r="H238" s="100"/>
      <c r="I238" s="100" t="s">
        <v>2196</v>
      </c>
      <c r="J238" s="100"/>
      <c r="K238" s="101" t="s">
        <v>2200</v>
      </c>
    </row>
    <row r="239" spans="1:11" ht="409.6" x14ac:dyDescent="0.2">
      <c r="A239" s="100" t="s">
        <v>858</v>
      </c>
      <c r="B239" s="100" t="s">
        <v>2201</v>
      </c>
      <c r="C239" s="100"/>
      <c r="D239" s="100"/>
      <c r="E239" s="100" t="s">
        <v>2202</v>
      </c>
      <c r="F239" s="100" t="s">
        <v>2203</v>
      </c>
      <c r="G239" s="100"/>
      <c r="H239" s="100"/>
      <c r="I239" s="100" t="s">
        <v>2196</v>
      </c>
      <c r="J239" s="100"/>
      <c r="K239" s="101" t="s">
        <v>2204</v>
      </c>
    </row>
    <row r="240" spans="1:11" ht="320" x14ac:dyDescent="0.2">
      <c r="A240" s="100" t="s">
        <v>888</v>
      </c>
      <c r="B240" s="100" t="s">
        <v>2205</v>
      </c>
      <c r="C240" s="100"/>
      <c r="D240" s="100"/>
      <c r="E240" s="100" t="s">
        <v>2206</v>
      </c>
      <c r="F240" s="100" t="s">
        <v>2207</v>
      </c>
      <c r="G240" s="100"/>
      <c r="H240" s="100"/>
      <c r="I240" s="100" t="s">
        <v>2196</v>
      </c>
      <c r="J240" s="100"/>
      <c r="K240" s="101" t="s">
        <v>2208</v>
      </c>
    </row>
    <row r="241" spans="1:11" ht="333" x14ac:dyDescent="0.2">
      <c r="A241" s="100" t="s">
        <v>888</v>
      </c>
      <c r="B241" s="100" t="s">
        <v>2209</v>
      </c>
      <c r="C241" s="100"/>
      <c r="D241" s="100"/>
      <c r="E241" s="100" t="s">
        <v>2210</v>
      </c>
      <c r="F241" s="100" t="s">
        <v>2207</v>
      </c>
      <c r="G241" s="100"/>
      <c r="H241" s="100"/>
      <c r="I241" s="100" t="s">
        <v>2196</v>
      </c>
      <c r="J241" s="100"/>
      <c r="K241" s="101" t="s">
        <v>2211</v>
      </c>
    </row>
    <row r="242" spans="1:11" ht="409.6" x14ac:dyDescent="0.2">
      <c r="A242" s="100" t="s">
        <v>679</v>
      </c>
      <c r="B242" s="100" t="s">
        <v>2212</v>
      </c>
      <c r="C242" s="100"/>
      <c r="D242" s="100"/>
      <c r="E242" s="100" t="s">
        <v>2213</v>
      </c>
      <c r="F242" s="100" t="s">
        <v>2214</v>
      </c>
      <c r="G242" s="100"/>
      <c r="H242" s="100"/>
      <c r="I242" s="100" t="s">
        <v>2215</v>
      </c>
      <c r="J242" s="100"/>
      <c r="K242" s="101" t="s">
        <v>2216</v>
      </c>
    </row>
    <row r="243" spans="1:11" ht="57" x14ac:dyDescent="0.2">
      <c r="A243" s="100" t="s">
        <v>195</v>
      </c>
      <c r="B243" s="100" t="s">
        <v>2217</v>
      </c>
      <c r="C243" s="100" t="s">
        <v>914</v>
      </c>
      <c r="D243" s="100"/>
      <c r="E243" s="100" t="s">
        <v>2218</v>
      </c>
      <c r="F243" s="101" t="s">
        <v>2219</v>
      </c>
      <c r="G243" s="100" t="s">
        <v>2220</v>
      </c>
      <c r="H243" s="100"/>
      <c r="I243" s="100" t="s">
        <v>2221</v>
      </c>
      <c r="J243" s="100"/>
      <c r="K243" s="101" t="s">
        <v>1540</v>
      </c>
    </row>
    <row r="244" spans="1:11" ht="85" x14ac:dyDescent="0.2">
      <c r="A244" s="100" t="s">
        <v>278</v>
      </c>
      <c r="B244" s="100" t="s">
        <v>2222</v>
      </c>
      <c r="C244" s="100"/>
      <c r="D244" s="100"/>
      <c r="E244" s="100" t="s">
        <v>2223</v>
      </c>
      <c r="F244" s="100" t="s">
        <v>2224</v>
      </c>
      <c r="G244" s="100" t="s">
        <v>2225</v>
      </c>
      <c r="H244" s="100"/>
      <c r="I244" s="100" t="s">
        <v>2226</v>
      </c>
      <c r="J244" s="100"/>
      <c r="K244" s="101" t="s">
        <v>2227</v>
      </c>
    </row>
    <row r="245" spans="1:11" x14ac:dyDescent="0.2">
      <c r="A245" s="100" t="s">
        <v>82</v>
      </c>
      <c r="B245" s="100" t="s">
        <v>2228</v>
      </c>
      <c r="C245" s="100" t="s">
        <v>1707</v>
      </c>
      <c r="D245" s="100" t="s">
        <v>2229</v>
      </c>
      <c r="E245" s="100" t="s">
        <v>2230</v>
      </c>
      <c r="F245" s="100" t="s">
        <v>2231</v>
      </c>
      <c r="G245" s="100" t="s">
        <v>2232</v>
      </c>
      <c r="H245" s="100"/>
      <c r="I245" s="100" t="s">
        <v>2233</v>
      </c>
      <c r="J245" s="100" t="s">
        <v>2234</v>
      </c>
      <c r="K245" s="100"/>
    </row>
    <row r="246" spans="1:11" x14ac:dyDescent="0.2">
      <c r="A246" s="100" t="s">
        <v>82</v>
      </c>
      <c r="B246" s="100" t="s">
        <v>2235</v>
      </c>
      <c r="C246" s="100" t="s">
        <v>2236</v>
      </c>
      <c r="D246" s="100"/>
      <c r="E246" s="100" t="s">
        <v>2237</v>
      </c>
      <c r="F246" s="100" t="s">
        <v>2238</v>
      </c>
      <c r="G246" s="100" t="s">
        <v>2239</v>
      </c>
      <c r="H246" s="100"/>
      <c r="I246" s="100" t="s">
        <v>2233</v>
      </c>
      <c r="J246" s="100" t="s">
        <v>2234</v>
      </c>
      <c r="K246" s="100"/>
    </row>
    <row r="247" spans="1:11" x14ac:dyDescent="0.2">
      <c r="A247" s="100" t="s">
        <v>82</v>
      </c>
      <c r="B247" s="100" t="s">
        <v>2240</v>
      </c>
      <c r="C247" s="100" t="s">
        <v>1198</v>
      </c>
      <c r="D247" s="100"/>
      <c r="E247" s="100" t="s">
        <v>2241</v>
      </c>
      <c r="F247" s="100" t="s">
        <v>2242</v>
      </c>
      <c r="G247" s="100" t="s">
        <v>2243</v>
      </c>
      <c r="H247" s="100"/>
      <c r="I247" s="100" t="s">
        <v>2233</v>
      </c>
      <c r="J247" s="100" t="s">
        <v>2234</v>
      </c>
      <c r="K247" s="100"/>
    </row>
    <row r="248" spans="1:11" ht="29" x14ac:dyDescent="0.2">
      <c r="A248" s="100" t="s">
        <v>126</v>
      </c>
      <c r="B248" s="100" t="s">
        <v>1118</v>
      </c>
      <c r="C248" s="100" t="s">
        <v>928</v>
      </c>
      <c r="D248" s="100"/>
      <c r="E248" s="100" t="s">
        <v>2244</v>
      </c>
      <c r="F248" s="100" t="s">
        <v>2245</v>
      </c>
      <c r="G248" s="100"/>
      <c r="H248" s="100"/>
      <c r="I248" s="100" t="s">
        <v>2246</v>
      </c>
      <c r="J248" s="100"/>
      <c r="K248" s="101" t="s">
        <v>2247</v>
      </c>
    </row>
    <row r="249" spans="1:11" ht="29" x14ac:dyDescent="0.2">
      <c r="A249" s="100" t="s">
        <v>126</v>
      </c>
      <c r="B249" s="100" t="s">
        <v>1118</v>
      </c>
      <c r="C249" s="100" t="s">
        <v>928</v>
      </c>
      <c r="D249" s="100"/>
      <c r="E249" s="100" t="s">
        <v>1119</v>
      </c>
      <c r="F249" s="100" t="s">
        <v>2245</v>
      </c>
      <c r="G249" s="100"/>
      <c r="H249" s="100"/>
      <c r="I249" s="100" t="s">
        <v>2246</v>
      </c>
      <c r="J249" s="100"/>
      <c r="K249" s="101" t="s">
        <v>1540</v>
      </c>
    </row>
    <row r="250" spans="1:11" ht="409.6" x14ac:dyDescent="0.2">
      <c r="A250" s="100" t="s">
        <v>440</v>
      </c>
      <c r="B250" s="100" t="s">
        <v>2248</v>
      </c>
      <c r="C250" s="100" t="s">
        <v>2249</v>
      </c>
      <c r="D250" s="100"/>
      <c r="E250" s="100" t="s">
        <v>2250</v>
      </c>
      <c r="F250" s="100" t="s">
        <v>2251</v>
      </c>
      <c r="G250" s="100"/>
      <c r="H250" s="100"/>
      <c r="I250" s="100" t="s">
        <v>2252</v>
      </c>
      <c r="J250" s="100"/>
      <c r="K250" s="101" t="s">
        <v>2253</v>
      </c>
    </row>
    <row r="251" spans="1:11" ht="409.6" x14ac:dyDescent="0.2">
      <c r="A251" s="100" t="s">
        <v>477</v>
      </c>
      <c r="B251" s="100" t="s">
        <v>2254</v>
      </c>
      <c r="C251" s="100"/>
      <c r="D251" s="100"/>
      <c r="E251" s="100" t="s">
        <v>2255</v>
      </c>
      <c r="F251" s="100" t="s">
        <v>2256</v>
      </c>
      <c r="G251" s="100"/>
      <c r="H251" s="100"/>
      <c r="I251" s="100" t="s">
        <v>2252</v>
      </c>
      <c r="J251" s="100"/>
      <c r="K251" s="101" t="s">
        <v>2257</v>
      </c>
    </row>
    <row r="252" spans="1:11" ht="409.6" x14ac:dyDescent="0.2">
      <c r="A252" s="100" t="s">
        <v>521</v>
      </c>
      <c r="B252" s="100" t="s">
        <v>2258</v>
      </c>
      <c r="C252" s="100"/>
      <c r="D252" s="100"/>
      <c r="E252" s="100" t="s">
        <v>2259</v>
      </c>
      <c r="F252" s="100" t="s">
        <v>2260</v>
      </c>
      <c r="G252" s="100"/>
      <c r="H252" s="100"/>
      <c r="I252" s="100" t="s">
        <v>2252</v>
      </c>
      <c r="J252" s="100"/>
      <c r="K252" s="101" t="s">
        <v>2261</v>
      </c>
    </row>
    <row r="253" spans="1:11" ht="359" x14ac:dyDescent="0.2">
      <c r="A253" s="100" t="s">
        <v>2262</v>
      </c>
      <c r="B253" s="100" t="s">
        <v>2263</v>
      </c>
      <c r="C253" s="100"/>
      <c r="D253" s="100"/>
      <c r="E253" s="100" t="s">
        <v>2264</v>
      </c>
      <c r="F253" s="100" t="s">
        <v>2265</v>
      </c>
      <c r="G253" s="100"/>
      <c r="H253" s="100"/>
      <c r="I253" s="100" t="s">
        <v>2252</v>
      </c>
      <c r="J253" s="100"/>
      <c r="K253" s="101" t="s">
        <v>2266</v>
      </c>
    </row>
    <row r="254" spans="1:11" ht="359" x14ac:dyDescent="0.2">
      <c r="A254" s="100" t="s">
        <v>665</v>
      </c>
      <c r="B254" s="100" t="s">
        <v>2267</v>
      </c>
      <c r="C254" s="100"/>
      <c r="D254" s="100"/>
      <c r="E254" s="100" t="s">
        <v>2268</v>
      </c>
      <c r="F254" s="100" t="s">
        <v>2269</v>
      </c>
      <c r="G254" s="100"/>
      <c r="H254" s="100"/>
      <c r="I254" s="100" t="s">
        <v>2252</v>
      </c>
      <c r="J254" s="100"/>
      <c r="K254" s="101" t="s">
        <v>2270</v>
      </c>
    </row>
    <row r="255" spans="1:11" ht="372" x14ac:dyDescent="0.2">
      <c r="A255" s="100" t="s">
        <v>665</v>
      </c>
      <c r="B255" s="100" t="s">
        <v>2271</v>
      </c>
      <c r="C255" s="100"/>
      <c r="D255" s="100"/>
      <c r="E255" s="100" t="s">
        <v>2272</v>
      </c>
      <c r="F255" s="100" t="s">
        <v>2269</v>
      </c>
      <c r="G255" s="100"/>
      <c r="H255" s="100"/>
      <c r="I255" s="100" t="s">
        <v>2252</v>
      </c>
      <c r="J255" s="100"/>
      <c r="K255" s="101" t="s">
        <v>2273</v>
      </c>
    </row>
    <row r="256" spans="1:11" ht="43" x14ac:dyDescent="0.2">
      <c r="A256" s="100" t="s">
        <v>667</v>
      </c>
      <c r="B256" s="100" t="s">
        <v>2274</v>
      </c>
      <c r="C256" s="100"/>
      <c r="D256" s="100"/>
      <c r="E256" s="100" t="s">
        <v>2275</v>
      </c>
      <c r="F256" s="100" t="s">
        <v>2276</v>
      </c>
      <c r="G256" s="100"/>
      <c r="H256" s="100"/>
      <c r="I256" s="100" t="s">
        <v>2252</v>
      </c>
      <c r="J256" s="100"/>
      <c r="K256" s="101" t="s">
        <v>1775</v>
      </c>
    </row>
    <row r="257" spans="1:11" ht="57" x14ac:dyDescent="0.2">
      <c r="A257" s="100" t="s">
        <v>667</v>
      </c>
      <c r="B257" s="100" t="s">
        <v>2277</v>
      </c>
      <c r="C257" s="100"/>
      <c r="D257" s="100"/>
      <c r="E257" s="100" t="s">
        <v>2278</v>
      </c>
      <c r="F257" s="100" t="s">
        <v>2276</v>
      </c>
      <c r="G257" s="100"/>
      <c r="H257" s="100"/>
      <c r="I257" s="100" t="s">
        <v>2252</v>
      </c>
      <c r="J257" s="100"/>
      <c r="K257" s="101" t="s">
        <v>1675</v>
      </c>
    </row>
    <row r="258" spans="1:11" ht="225" x14ac:dyDescent="0.2">
      <c r="A258" s="100" t="s">
        <v>683</v>
      </c>
      <c r="B258" s="100" t="s">
        <v>2279</v>
      </c>
      <c r="C258" s="100"/>
      <c r="D258" s="100"/>
      <c r="E258" s="100" t="s">
        <v>2280</v>
      </c>
      <c r="F258" s="100" t="s">
        <v>2281</v>
      </c>
      <c r="G258" s="100"/>
      <c r="H258" s="100"/>
      <c r="I258" s="100" t="s">
        <v>2252</v>
      </c>
      <c r="J258" s="100"/>
      <c r="K258" s="101" t="s">
        <v>2282</v>
      </c>
    </row>
    <row r="259" spans="1:11" ht="307" x14ac:dyDescent="0.2">
      <c r="A259" s="100" t="s">
        <v>722</v>
      </c>
      <c r="B259" s="100" t="s">
        <v>2283</v>
      </c>
      <c r="C259" s="100"/>
      <c r="D259" s="100"/>
      <c r="E259" s="100" t="s">
        <v>2284</v>
      </c>
      <c r="F259" s="100" t="s">
        <v>2285</v>
      </c>
      <c r="G259" s="100"/>
      <c r="H259" s="100"/>
      <c r="I259" s="100" t="s">
        <v>2252</v>
      </c>
      <c r="J259" s="100"/>
      <c r="K259" s="101" t="s">
        <v>2286</v>
      </c>
    </row>
    <row r="260" spans="1:11" ht="346" x14ac:dyDescent="0.2">
      <c r="A260" s="100" t="s">
        <v>732</v>
      </c>
      <c r="B260" s="100" t="s">
        <v>2287</v>
      </c>
      <c r="C260" s="100"/>
      <c r="D260" s="100"/>
      <c r="E260" s="100" t="s">
        <v>2288</v>
      </c>
      <c r="F260" s="100" t="s">
        <v>2289</v>
      </c>
      <c r="G260" s="100"/>
      <c r="H260" s="100"/>
      <c r="I260" s="100" t="s">
        <v>2252</v>
      </c>
      <c r="J260" s="100"/>
      <c r="K260" s="101" t="s">
        <v>2290</v>
      </c>
    </row>
    <row r="261" spans="1:11" ht="359" x14ac:dyDescent="0.2">
      <c r="A261" s="100" t="s">
        <v>732</v>
      </c>
      <c r="B261" s="100" t="s">
        <v>2291</v>
      </c>
      <c r="C261" s="100"/>
      <c r="D261" s="100"/>
      <c r="E261" s="100" t="s">
        <v>2292</v>
      </c>
      <c r="F261" s="100" t="s">
        <v>2289</v>
      </c>
      <c r="G261" s="100"/>
      <c r="H261" s="100"/>
      <c r="I261" s="100" t="s">
        <v>2252</v>
      </c>
      <c r="J261" s="100"/>
      <c r="K261" s="101" t="s">
        <v>2293</v>
      </c>
    </row>
    <row r="262" spans="1:11" ht="398" x14ac:dyDescent="0.2">
      <c r="A262" s="100" t="s">
        <v>758</v>
      </c>
      <c r="B262" s="100" t="s">
        <v>2294</v>
      </c>
      <c r="C262" s="100"/>
      <c r="D262" s="100"/>
      <c r="E262" s="100" t="s">
        <v>2295</v>
      </c>
      <c r="F262" s="100" t="s">
        <v>2296</v>
      </c>
      <c r="G262" s="100"/>
      <c r="H262" s="100"/>
      <c r="I262" s="100" t="s">
        <v>2252</v>
      </c>
      <c r="J262" s="100"/>
      <c r="K262" s="101" t="s">
        <v>2297</v>
      </c>
    </row>
    <row r="263" spans="1:11" ht="57" x14ac:dyDescent="0.2">
      <c r="A263" s="100" t="s">
        <v>556</v>
      </c>
      <c r="B263" s="100" t="s">
        <v>2298</v>
      </c>
      <c r="C263" s="100"/>
      <c r="D263" s="100"/>
      <c r="E263" s="100" t="s">
        <v>2299</v>
      </c>
      <c r="F263" s="100" t="s">
        <v>2300</v>
      </c>
      <c r="G263" s="100"/>
      <c r="H263" s="100"/>
      <c r="I263" s="100" t="s">
        <v>2301</v>
      </c>
      <c r="J263" s="100"/>
      <c r="K263" s="101" t="s">
        <v>1675</v>
      </c>
    </row>
    <row r="264" spans="1:11" ht="29" x14ac:dyDescent="0.2">
      <c r="A264" s="100" t="s">
        <v>556</v>
      </c>
      <c r="B264" s="100" t="s">
        <v>2302</v>
      </c>
      <c r="C264" s="100"/>
      <c r="D264" s="100"/>
      <c r="E264" s="100" t="s">
        <v>2303</v>
      </c>
      <c r="F264" s="100" t="s">
        <v>2300</v>
      </c>
      <c r="G264" s="100"/>
      <c r="H264" s="100"/>
      <c r="I264" s="100" t="s">
        <v>2301</v>
      </c>
      <c r="J264" s="100"/>
      <c r="K264" s="101" t="s">
        <v>1657</v>
      </c>
    </row>
    <row r="265" spans="1:11" ht="57" x14ac:dyDescent="0.2">
      <c r="A265" s="100" t="s">
        <v>886</v>
      </c>
      <c r="B265" s="100" t="s">
        <v>2304</v>
      </c>
      <c r="C265" s="100"/>
      <c r="D265" s="100"/>
      <c r="E265" s="100" t="s">
        <v>2305</v>
      </c>
      <c r="F265" s="100" t="s">
        <v>2306</v>
      </c>
      <c r="G265" s="100"/>
      <c r="H265" s="100"/>
      <c r="I265" s="100" t="s">
        <v>2301</v>
      </c>
      <c r="J265" s="100"/>
      <c r="K265" s="101" t="s">
        <v>1675</v>
      </c>
    </row>
    <row r="266" spans="1:11" ht="29" x14ac:dyDescent="0.2">
      <c r="A266" s="100" t="s">
        <v>110</v>
      </c>
      <c r="B266" s="100" t="s">
        <v>1031</v>
      </c>
      <c r="C266" s="100" t="s">
        <v>1032</v>
      </c>
      <c r="D266" s="100"/>
      <c r="E266" s="100" t="s">
        <v>1033</v>
      </c>
      <c r="F266" s="101" t="s">
        <v>2307</v>
      </c>
      <c r="G266" s="100"/>
      <c r="H266" s="100"/>
      <c r="I266" s="100" t="s">
        <v>2308</v>
      </c>
      <c r="J266" s="100"/>
      <c r="K266" s="101" t="s">
        <v>1540</v>
      </c>
    </row>
    <row r="267" spans="1:11" ht="29" x14ac:dyDescent="0.2">
      <c r="A267" s="100" t="s">
        <v>110</v>
      </c>
      <c r="B267" s="100" t="s">
        <v>1027</v>
      </c>
      <c r="C267" s="100" t="s">
        <v>1028</v>
      </c>
      <c r="D267" s="100"/>
      <c r="E267" s="100" t="s">
        <v>1029</v>
      </c>
      <c r="F267" s="101" t="s">
        <v>2307</v>
      </c>
      <c r="G267" s="100" t="s">
        <v>2309</v>
      </c>
      <c r="H267" s="100"/>
      <c r="I267" s="100" t="s">
        <v>2308</v>
      </c>
      <c r="J267" s="100"/>
      <c r="K267" s="101" t="s">
        <v>1540</v>
      </c>
    </row>
    <row r="268" spans="1:11" ht="43" x14ac:dyDescent="0.2">
      <c r="A268" s="100" t="s">
        <v>407</v>
      </c>
      <c r="B268" s="100" t="s">
        <v>2310</v>
      </c>
      <c r="C268" s="100" t="s">
        <v>2311</v>
      </c>
      <c r="D268" s="100"/>
      <c r="E268" s="100" t="s">
        <v>2312</v>
      </c>
      <c r="F268" s="101" t="s">
        <v>2313</v>
      </c>
      <c r="G268" s="100"/>
      <c r="H268" s="100"/>
      <c r="I268" s="100" t="s">
        <v>2308</v>
      </c>
      <c r="J268" s="100"/>
      <c r="K268" s="101" t="s">
        <v>1540</v>
      </c>
    </row>
    <row r="269" spans="1:11" ht="43" x14ac:dyDescent="0.2">
      <c r="A269" s="100" t="s">
        <v>407</v>
      </c>
      <c r="B269" s="100" t="s">
        <v>2314</v>
      </c>
      <c r="C269" s="100" t="s">
        <v>2315</v>
      </c>
      <c r="D269" s="100"/>
      <c r="E269" s="100" t="s">
        <v>2316</v>
      </c>
      <c r="F269" s="101" t="s">
        <v>2313</v>
      </c>
      <c r="G269" s="100"/>
      <c r="H269" s="100"/>
      <c r="I269" s="100" t="s">
        <v>2308</v>
      </c>
      <c r="J269" s="100"/>
      <c r="K269" s="101" t="s">
        <v>1540</v>
      </c>
    </row>
    <row r="270" spans="1:11" ht="43" x14ac:dyDescent="0.2">
      <c r="A270" s="100" t="s">
        <v>407</v>
      </c>
      <c r="B270" s="100" t="s">
        <v>2317</v>
      </c>
      <c r="C270" s="100" t="s">
        <v>2318</v>
      </c>
      <c r="D270" s="100"/>
      <c r="E270" s="100" t="s">
        <v>2319</v>
      </c>
      <c r="F270" s="101" t="s">
        <v>2313</v>
      </c>
      <c r="G270" s="100"/>
      <c r="H270" s="100"/>
      <c r="I270" s="100" t="s">
        <v>2308</v>
      </c>
      <c r="J270" s="100"/>
      <c r="K270" s="101" t="s">
        <v>1540</v>
      </c>
    </row>
    <row r="271" spans="1:11" ht="43" x14ac:dyDescent="0.2">
      <c r="A271" s="100" t="s">
        <v>405</v>
      </c>
      <c r="B271" s="100" t="s">
        <v>2320</v>
      </c>
      <c r="C271" s="100" t="s">
        <v>2321</v>
      </c>
      <c r="D271" s="100"/>
      <c r="E271" s="100" t="s">
        <v>2322</v>
      </c>
      <c r="F271" s="100" t="s">
        <v>2323</v>
      </c>
      <c r="G271" s="100"/>
      <c r="H271" s="100"/>
      <c r="I271" s="100" t="s">
        <v>2308</v>
      </c>
      <c r="J271" s="100"/>
      <c r="K271" s="101" t="s">
        <v>2324</v>
      </c>
    </row>
    <row r="272" spans="1:11" ht="398" x14ac:dyDescent="0.2">
      <c r="A272" s="100" t="s">
        <v>742</v>
      </c>
      <c r="B272" s="100" t="s">
        <v>2325</v>
      </c>
      <c r="C272" s="100"/>
      <c r="D272" s="100"/>
      <c r="E272" s="100" t="s">
        <v>2326</v>
      </c>
      <c r="F272" s="100" t="s">
        <v>2327</v>
      </c>
      <c r="G272" s="100"/>
      <c r="H272" s="100"/>
      <c r="I272" s="100" t="s">
        <v>2308</v>
      </c>
      <c r="J272" s="100"/>
      <c r="K272" s="101" t="s">
        <v>2328</v>
      </c>
    </row>
    <row r="273" spans="1:11" ht="409.6" x14ac:dyDescent="0.2">
      <c r="A273" s="100" t="s">
        <v>742</v>
      </c>
      <c r="B273" s="100" t="s">
        <v>2329</v>
      </c>
      <c r="C273" s="100"/>
      <c r="D273" s="100"/>
      <c r="E273" s="100" t="s">
        <v>2330</v>
      </c>
      <c r="F273" s="100" t="s">
        <v>2327</v>
      </c>
      <c r="G273" s="100"/>
      <c r="H273" s="100"/>
      <c r="I273" s="100" t="s">
        <v>2308</v>
      </c>
      <c r="J273" s="100"/>
      <c r="K273" s="101" t="s">
        <v>2331</v>
      </c>
    </row>
    <row r="274" spans="1:11" ht="29" x14ac:dyDescent="0.2">
      <c r="A274" s="100" t="s">
        <v>636</v>
      </c>
      <c r="B274" s="100" t="s">
        <v>2332</v>
      </c>
      <c r="C274" s="100" t="s">
        <v>2333</v>
      </c>
      <c r="D274" s="100"/>
      <c r="E274" s="100" t="s">
        <v>2334</v>
      </c>
      <c r="F274" s="100" t="s">
        <v>2335</v>
      </c>
      <c r="G274" s="100" t="s">
        <v>2336</v>
      </c>
      <c r="H274" s="100"/>
      <c r="I274" s="100" t="s">
        <v>2337</v>
      </c>
      <c r="J274" s="100"/>
      <c r="K274" s="101" t="s">
        <v>1540</v>
      </c>
    </row>
    <row r="275" spans="1:11" ht="29" x14ac:dyDescent="0.2">
      <c r="A275" s="100" t="s">
        <v>344</v>
      </c>
      <c r="B275" s="100" t="s">
        <v>2338</v>
      </c>
      <c r="C275" s="100" t="s">
        <v>1105</v>
      </c>
      <c r="D275" s="100"/>
      <c r="E275" s="100" t="s">
        <v>2339</v>
      </c>
      <c r="F275" s="101" t="s">
        <v>2340</v>
      </c>
      <c r="G275" s="100"/>
      <c r="H275" s="100"/>
      <c r="I275" s="100" t="s">
        <v>2341</v>
      </c>
      <c r="J275" s="100"/>
      <c r="K275" s="101" t="s">
        <v>1540</v>
      </c>
    </row>
    <row r="276" spans="1:11" ht="57" x14ac:dyDescent="0.2">
      <c r="A276" s="100" t="s">
        <v>2342</v>
      </c>
      <c r="B276" s="100" t="s">
        <v>2343</v>
      </c>
      <c r="C276" s="100" t="s">
        <v>1714</v>
      </c>
      <c r="D276" s="100"/>
      <c r="E276" s="100" t="s">
        <v>2344</v>
      </c>
      <c r="F276" s="101" t="s">
        <v>2345</v>
      </c>
      <c r="G276" s="100" t="s">
        <v>2346</v>
      </c>
      <c r="H276" s="100"/>
      <c r="I276" s="100" t="s">
        <v>2341</v>
      </c>
      <c r="J276" s="100"/>
      <c r="K276" s="101" t="s">
        <v>1540</v>
      </c>
    </row>
    <row r="277" spans="1:11" x14ac:dyDescent="0.2">
      <c r="A277" s="100" t="s">
        <v>2347</v>
      </c>
      <c r="B277" s="100" t="s">
        <v>2348</v>
      </c>
      <c r="C277" s="100"/>
      <c r="D277" s="100"/>
      <c r="E277" s="100" t="s">
        <v>2349</v>
      </c>
      <c r="F277" s="100" t="s">
        <v>2350</v>
      </c>
      <c r="G277" s="100" t="s">
        <v>2351</v>
      </c>
      <c r="H277" s="100"/>
      <c r="I277" s="100" t="s">
        <v>2352</v>
      </c>
      <c r="J277" s="100" t="s">
        <v>2353</v>
      </c>
      <c r="K277" s="100"/>
    </row>
    <row r="278" spans="1:11" ht="29" x14ac:dyDescent="0.2">
      <c r="A278" s="100" t="s">
        <v>1526</v>
      </c>
      <c r="B278" s="100" t="s">
        <v>2354</v>
      </c>
      <c r="C278" s="100"/>
      <c r="D278" s="100"/>
      <c r="E278" s="100" t="s">
        <v>2355</v>
      </c>
      <c r="F278" s="100" t="s">
        <v>2356</v>
      </c>
      <c r="G278" s="100"/>
      <c r="H278" s="100"/>
      <c r="I278" s="100" t="s">
        <v>2357</v>
      </c>
      <c r="J278" s="100"/>
      <c r="K278" s="101" t="s">
        <v>1540</v>
      </c>
    </row>
    <row r="279" spans="1:11" ht="253" x14ac:dyDescent="0.2">
      <c r="A279" s="100" t="s">
        <v>463</v>
      </c>
      <c r="B279" s="100" t="s">
        <v>2358</v>
      </c>
      <c r="C279" s="100"/>
      <c r="D279" s="100"/>
      <c r="E279" s="100" t="s">
        <v>2359</v>
      </c>
      <c r="F279" s="100" t="s">
        <v>2360</v>
      </c>
      <c r="G279" s="100"/>
      <c r="H279" s="100"/>
      <c r="I279" s="100" t="s">
        <v>2361</v>
      </c>
      <c r="J279" s="100"/>
      <c r="K279" s="101" t="s">
        <v>2362</v>
      </c>
    </row>
    <row r="280" spans="1:11" ht="29" x14ac:dyDescent="0.2">
      <c r="A280" s="100" t="s">
        <v>467</v>
      </c>
      <c r="B280" s="100" t="s">
        <v>2363</v>
      </c>
      <c r="C280" s="100"/>
      <c r="D280" s="100"/>
      <c r="E280" s="100" t="s">
        <v>2364</v>
      </c>
      <c r="F280" s="100" t="s">
        <v>2365</v>
      </c>
      <c r="G280" s="100"/>
      <c r="H280" s="100"/>
      <c r="I280" s="100" t="s">
        <v>2361</v>
      </c>
      <c r="J280" s="100"/>
      <c r="K280" s="101" t="s">
        <v>1540</v>
      </c>
    </row>
    <row r="281" spans="1:11" ht="29" x14ac:dyDescent="0.2">
      <c r="A281" s="100" t="s">
        <v>467</v>
      </c>
      <c r="B281" s="100" t="s">
        <v>2366</v>
      </c>
      <c r="C281" s="100"/>
      <c r="D281" s="100"/>
      <c r="E281" s="100" t="s">
        <v>2367</v>
      </c>
      <c r="F281" s="100" t="s">
        <v>2365</v>
      </c>
      <c r="G281" s="100"/>
      <c r="H281" s="100"/>
      <c r="I281" s="100" t="s">
        <v>2361</v>
      </c>
      <c r="J281" s="100"/>
      <c r="K281" s="101" t="s">
        <v>1540</v>
      </c>
    </row>
    <row r="282" spans="1:11" ht="225" x14ac:dyDescent="0.2">
      <c r="A282" s="100" t="s">
        <v>493</v>
      </c>
      <c r="B282" s="100" t="s">
        <v>2368</v>
      </c>
      <c r="C282" s="100"/>
      <c r="D282" s="100"/>
      <c r="E282" s="100" t="s">
        <v>2369</v>
      </c>
      <c r="F282" s="100" t="s">
        <v>2370</v>
      </c>
      <c r="G282" s="100"/>
      <c r="H282" s="100"/>
      <c r="I282" s="100" t="s">
        <v>2361</v>
      </c>
      <c r="J282" s="100"/>
      <c r="K282" s="101" t="s">
        <v>2371</v>
      </c>
    </row>
    <row r="283" spans="1:11" ht="307" x14ac:dyDescent="0.2">
      <c r="A283" s="100" t="s">
        <v>312</v>
      </c>
      <c r="B283" s="100" t="s">
        <v>2372</v>
      </c>
      <c r="C283" s="100"/>
      <c r="D283" s="100"/>
      <c r="E283" s="100" t="s">
        <v>2373</v>
      </c>
      <c r="F283" s="100" t="s">
        <v>2374</v>
      </c>
      <c r="G283" s="100"/>
      <c r="H283" s="100"/>
      <c r="I283" s="100" t="s">
        <v>2361</v>
      </c>
      <c r="J283" s="100"/>
      <c r="K283" s="101" t="s">
        <v>2375</v>
      </c>
    </row>
    <row r="284" spans="1:11" ht="307" x14ac:dyDescent="0.2">
      <c r="A284" s="100" t="s">
        <v>312</v>
      </c>
      <c r="B284" s="100" t="s">
        <v>2376</v>
      </c>
      <c r="C284" s="100"/>
      <c r="D284" s="100"/>
      <c r="E284" s="100" t="s">
        <v>2377</v>
      </c>
      <c r="F284" s="100" t="s">
        <v>2374</v>
      </c>
      <c r="G284" s="100"/>
      <c r="H284" s="100"/>
      <c r="I284" s="100" t="s">
        <v>2361</v>
      </c>
      <c r="J284" s="100"/>
      <c r="K284" s="101" t="s">
        <v>2378</v>
      </c>
    </row>
    <row r="285" spans="1:11" ht="409.6" x14ac:dyDescent="0.2">
      <c r="A285" s="100" t="s">
        <v>633</v>
      </c>
      <c r="B285" s="100" t="s">
        <v>2379</v>
      </c>
      <c r="C285" s="100"/>
      <c r="D285" s="100"/>
      <c r="E285" s="100" t="s">
        <v>2380</v>
      </c>
      <c r="F285" s="100" t="s">
        <v>2381</v>
      </c>
      <c r="G285" s="100"/>
      <c r="H285" s="100"/>
      <c r="I285" s="100" t="s">
        <v>2382</v>
      </c>
      <c r="J285" s="100"/>
      <c r="K285" s="101" t="s">
        <v>2383</v>
      </c>
    </row>
    <row r="286" spans="1:11" ht="409.6" x14ac:dyDescent="0.2">
      <c r="A286" s="100" t="s">
        <v>633</v>
      </c>
      <c r="B286" s="100" t="s">
        <v>2384</v>
      </c>
      <c r="C286" s="100"/>
      <c r="D286" s="100"/>
      <c r="E286" s="100" t="s">
        <v>2385</v>
      </c>
      <c r="F286" s="100" t="s">
        <v>2381</v>
      </c>
      <c r="G286" s="100"/>
      <c r="H286" s="100"/>
      <c r="I286" s="100" t="s">
        <v>2382</v>
      </c>
      <c r="J286" s="100"/>
      <c r="K286" s="101" t="s">
        <v>2383</v>
      </c>
    </row>
    <row r="287" spans="1:11" ht="359" x14ac:dyDescent="0.2">
      <c r="A287" s="100" t="s">
        <v>707</v>
      </c>
      <c r="B287" s="100" t="s">
        <v>2386</v>
      </c>
      <c r="C287" s="100"/>
      <c r="D287" s="100"/>
      <c r="E287" s="100" t="s">
        <v>2387</v>
      </c>
      <c r="F287" s="100" t="s">
        <v>2388</v>
      </c>
      <c r="G287" s="100"/>
      <c r="H287" s="100"/>
      <c r="I287" s="100" t="s">
        <v>2389</v>
      </c>
      <c r="J287" s="100"/>
      <c r="K287" s="101" t="s">
        <v>2390</v>
      </c>
    </row>
    <row r="288" spans="1:11" ht="359" x14ac:dyDescent="0.2">
      <c r="A288" s="100" t="s">
        <v>707</v>
      </c>
      <c r="B288" s="100" t="s">
        <v>2391</v>
      </c>
      <c r="C288" s="100"/>
      <c r="D288" s="100"/>
      <c r="E288" s="100" t="s">
        <v>2392</v>
      </c>
      <c r="F288" s="100" t="s">
        <v>2388</v>
      </c>
      <c r="G288" s="100"/>
      <c r="H288" s="100"/>
      <c r="I288" s="100" t="s">
        <v>2389</v>
      </c>
      <c r="J288" s="100"/>
      <c r="K288" s="101" t="s">
        <v>2390</v>
      </c>
    </row>
    <row r="289" spans="1:11" ht="29" x14ac:dyDescent="0.2">
      <c r="A289" s="100" t="s">
        <v>436</v>
      </c>
      <c r="B289" s="100" t="s">
        <v>2393</v>
      </c>
      <c r="C289" s="100" t="s">
        <v>2394</v>
      </c>
      <c r="D289" s="100"/>
      <c r="E289" s="100" t="s">
        <v>2395</v>
      </c>
      <c r="F289" s="100" t="s">
        <v>2396</v>
      </c>
      <c r="G289" s="100"/>
      <c r="H289" s="100"/>
      <c r="I289" s="100" t="s">
        <v>2397</v>
      </c>
      <c r="J289" s="100"/>
      <c r="K289" s="101" t="s">
        <v>1540</v>
      </c>
    </row>
    <row r="290" spans="1:11" ht="409.6" x14ac:dyDescent="0.2">
      <c r="A290" s="100" t="s">
        <v>436</v>
      </c>
      <c r="B290" s="100" t="s">
        <v>2398</v>
      </c>
      <c r="C290" s="100" t="s">
        <v>2249</v>
      </c>
      <c r="D290" s="100"/>
      <c r="E290" s="100" t="s">
        <v>2399</v>
      </c>
      <c r="F290" s="100" t="s">
        <v>2396</v>
      </c>
      <c r="G290" s="100"/>
      <c r="H290" s="100"/>
      <c r="I290" s="100" t="s">
        <v>2397</v>
      </c>
      <c r="J290" s="100"/>
      <c r="K290" s="101" t="s">
        <v>2400</v>
      </c>
    </row>
    <row r="291" spans="1:11" ht="29" x14ac:dyDescent="0.2">
      <c r="A291" s="100" t="s">
        <v>103</v>
      </c>
      <c r="B291" s="100" t="s">
        <v>978</v>
      </c>
      <c r="C291" s="100" t="s">
        <v>2401</v>
      </c>
      <c r="D291" s="100"/>
      <c r="E291" s="100" t="s">
        <v>980</v>
      </c>
      <c r="F291" s="101" t="s">
        <v>2402</v>
      </c>
      <c r="G291" s="100"/>
      <c r="H291" s="100"/>
      <c r="I291" s="100" t="s">
        <v>2397</v>
      </c>
      <c r="J291" s="100"/>
      <c r="K291" s="101" t="s">
        <v>1540</v>
      </c>
    </row>
    <row r="292" spans="1:11" ht="85" x14ac:dyDescent="0.2">
      <c r="A292" s="100" t="s">
        <v>354</v>
      </c>
      <c r="B292" s="100" t="s">
        <v>2403</v>
      </c>
      <c r="C292" s="100" t="s">
        <v>2404</v>
      </c>
      <c r="D292" s="100"/>
      <c r="E292" s="100" t="s">
        <v>2405</v>
      </c>
      <c r="F292" s="100" t="s">
        <v>2406</v>
      </c>
      <c r="G292" s="100" t="s">
        <v>2407</v>
      </c>
      <c r="H292" s="100"/>
      <c r="I292" s="100" t="s">
        <v>2397</v>
      </c>
      <c r="J292" s="100"/>
      <c r="K292" s="101" t="s">
        <v>2408</v>
      </c>
    </row>
    <row r="293" spans="1:11" ht="57" x14ac:dyDescent="0.2">
      <c r="A293" s="100" t="s">
        <v>379</v>
      </c>
      <c r="B293" s="100" t="s">
        <v>2409</v>
      </c>
      <c r="C293" s="100" t="s">
        <v>2410</v>
      </c>
      <c r="D293" s="100"/>
      <c r="E293" s="100" t="s">
        <v>2411</v>
      </c>
      <c r="F293" s="101" t="s">
        <v>2412</v>
      </c>
      <c r="G293" s="100" t="s">
        <v>2413</v>
      </c>
      <c r="H293" s="100"/>
      <c r="I293" s="100" t="s">
        <v>2397</v>
      </c>
      <c r="J293" s="100"/>
      <c r="K293" s="100"/>
    </row>
    <row r="294" spans="1:11" ht="409.6" x14ac:dyDescent="0.2">
      <c r="A294" s="100" t="s">
        <v>454</v>
      </c>
      <c r="B294" s="100" t="s">
        <v>2414</v>
      </c>
      <c r="C294" s="100"/>
      <c r="D294" s="100"/>
      <c r="E294" s="100" t="s">
        <v>2415</v>
      </c>
      <c r="F294" s="100" t="s">
        <v>2416</v>
      </c>
      <c r="G294" s="100"/>
      <c r="H294" s="100"/>
      <c r="I294" s="100" t="s">
        <v>2397</v>
      </c>
      <c r="J294" s="100"/>
      <c r="K294" s="101" t="s">
        <v>2417</v>
      </c>
    </row>
    <row r="295" spans="1:11" ht="409.6" x14ac:dyDescent="0.2">
      <c r="A295" s="100" t="s">
        <v>454</v>
      </c>
      <c r="B295" s="100" t="s">
        <v>2418</v>
      </c>
      <c r="C295" s="100"/>
      <c r="D295" s="100"/>
      <c r="E295" s="100" t="s">
        <v>2419</v>
      </c>
      <c r="F295" s="100" t="s">
        <v>2416</v>
      </c>
      <c r="G295" s="100"/>
      <c r="H295" s="100"/>
      <c r="I295" s="100" t="s">
        <v>2397</v>
      </c>
      <c r="J295" s="100"/>
      <c r="K295" s="101" t="s">
        <v>2417</v>
      </c>
    </row>
    <row r="296" spans="1:11" ht="29" x14ac:dyDescent="0.2">
      <c r="A296" s="100" t="s">
        <v>364</v>
      </c>
      <c r="B296" s="100" t="s">
        <v>2420</v>
      </c>
      <c r="C296" s="100"/>
      <c r="D296" s="100"/>
      <c r="E296" s="100" t="s">
        <v>2421</v>
      </c>
      <c r="F296" s="100" t="s">
        <v>2422</v>
      </c>
      <c r="G296" s="100"/>
      <c r="H296" s="100"/>
      <c r="I296" s="100" t="s">
        <v>2397</v>
      </c>
      <c r="J296" s="100"/>
      <c r="K296" s="101" t="s">
        <v>1540</v>
      </c>
    </row>
    <row r="297" spans="1:11" ht="346" x14ac:dyDescent="0.2">
      <c r="A297" s="100" t="s">
        <v>487</v>
      </c>
      <c r="B297" s="100" t="s">
        <v>2423</v>
      </c>
      <c r="C297" s="100"/>
      <c r="D297" s="100"/>
      <c r="E297" s="100" t="s">
        <v>2424</v>
      </c>
      <c r="F297" s="100" t="s">
        <v>2425</v>
      </c>
      <c r="G297" s="100"/>
      <c r="H297" s="100"/>
      <c r="I297" s="100" t="s">
        <v>2397</v>
      </c>
      <c r="J297" s="100"/>
      <c r="K297" s="101" t="s">
        <v>2426</v>
      </c>
    </row>
    <row r="298" spans="1:11" ht="29" x14ac:dyDescent="0.2">
      <c r="A298" s="100" t="s">
        <v>503</v>
      </c>
      <c r="B298" s="100" t="s">
        <v>2427</v>
      </c>
      <c r="C298" s="100"/>
      <c r="D298" s="100"/>
      <c r="E298" s="100" t="s">
        <v>2428</v>
      </c>
      <c r="F298" s="100" t="s">
        <v>2429</v>
      </c>
      <c r="G298" s="100"/>
      <c r="H298" s="100"/>
      <c r="I298" s="100" t="s">
        <v>2397</v>
      </c>
      <c r="J298" s="100"/>
      <c r="K298" s="101" t="s">
        <v>1657</v>
      </c>
    </row>
    <row r="299" spans="1:11" ht="29" x14ac:dyDescent="0.2">
      <c r="A299" s="100" t="s">
        <v>503</v>
      </c>
      <c r="B299" s="100" t="s">
        <v>2430</v>
      </c>
      <c r="C299" s="100"/>
      <c r="D299" s="100"/>
      <c r="E299" s="100" t="s">
        <v>2431</v>
      </c>
      <c r="F299" s="100" t="s">
        <v>2429</v>
      </c>
      <c r="G299" s="100"/>
      <c r="H299" s="100"/>
      <c r="I299" s="100" t="s">
        <v>2397</v>
      </c>
      <c r="J299" s="100"/>
      <c r="K299" s="101" t="s">
        <v>1657</v>
      </c>
    </row>
    <row r="300" spans="1:11" ht="409.6" x14ac:dyDescent="0.2">
      <c r="A300" s="100" t="s">
        <v>517</v>
      </c>
      <c r="B300" s="100" t="s">
        <v>2432</v>
      </c>
      <c r="C300" s="100"/>
      <c r="D300" s="100"/>
      <c r="E300" s="100" t="s">
        <v>2433</v>
      </c>
      <c r="F300" s="100" t="s">
        <v>2434</v>
      </c>
      <c r="G300" s="100"/>
      <c r="H300" s="100"/>
      <c r="I300" s="100" t="s">
        <v>2397</v>
      </c>
      <c r="J300" s="100"/>
      <c r="K300" s="101" t="s">
        <v>2435</v>
      </c>
    </row>
    <row r="301" spans="1:11" ht="320" x14ac:dyDescent="0.2">
      <c r="A301" s="100" t="s">
        <v>621</v>
      </c>
      <c r="B301" s="100" t="s">
        <v>2436</v>
      </c>
      <c r="C301" s="100"/>
      <c r="D301" s="100"/>
      <c r="E301" s="100" t="s">
        <v>2437</v>
      </c>
      <c r="F301" s="100" t="s">
        <v>2438</v>
      </c>
      <c r="G301" s="100"/>
      <c r="H301" s="100"/>
      <c r="I301" s="100" t="s">
        <v>2439</v>
      </c>
      <c r="J301" s="100"/>
      <c r="K301" s="101" t="s">
        <v>2440</v>
      </c>
    </row>
    <row r="302" spans="1:11" ht="307" x14ac:dyDescent="0.2">
      <c r="A302" s="100" t="s">
        <v>621</v>
      </c>
      <c r="B302" s="100" t="s">
        <v>2441</v>
      </c>
      <c r="C302" s="100"/>
      <c r="D302" s="100"/>
      <c r="E302" s="100" t="s">
        <v>2442</v>
      </c>
      <c r="F302" s="100" t="s">
        <v>2438</v>
      </c>
      <c r="G302" s="100"/>
      <c r="H302" s="100"/>
      <c r="I302" s="100" t="s">
        <v>2439</v>
      </c>
      <c r="J302" s="100"/>
      <c r="K302" s="101" t="s">
        <v>2443</v>
      </c>
    </row>
    <row r="303" spans="1:11" ht="294" x14ac:dyDescent="0.2">
      <c r="A303" s="100" t="s">
        <v>671</v>
      </c>
      <c r="B303" s="100" t="s">
        <v>2444</v>
      </c>
      <c r="C303" s="100"/>
      <c r="D303" s="100"/>
      <c r="E303" s="100" t="s">
        <v>2445</v>
      </c>
      <c r="F303" s="100" t="s">
        <v>2446</v>
      </c>
      <c r="G303" s="100"/>
      <c r="H303" s="100"/>
      <c r="I303" s="100" t="s">
        <v>2397</v>
      </c>
      <c r="J303" s="100"/>
      <c r="K303" s="101" t="s">
        <v>2447</v>
      </c>
    </row>
    <row r="304" spans="1:11" ht="307" x14ac:dyDescent="0.2">
      <c r="A304" s="100" t="s">
        <v>695</v>
      </c>
      <c r="B304" s="100" t="s">
        <v>2448</v>
      </c>
      <c r="C304" s="100"/>
      <c r="D304" s="100"/>
      <c r="E304" s="100" t="s">
        <v>2449</v>
      </c>
      <c r="F304" s="100" t="s">
        <v>2450</v>
      </c>
      <c r="G304" s="100"/>
      <c r="H304" s="100"/>
      <c r="I304" s="100" t="s">
        <v>2397</v>
      </c>
      <c r="J304" s="100"/>
      <c r="K304" s="101" t="s">
        <v>2451</v>
      </c>
    </row>
    <row r="305" spans="1:11" ht="113" x14ac:dyDescent="0.2">
      <c r="A305" s="100" t="s">
        <v>728</v>
      </c>
      <c r="B305" s="100" t="s">
        <v>2452</v>
      </c>
      <c r="C305" s="100"/>
      <c r="D305" s="100"/>
      <c r="E305" s="100" t="s">
        <v>2453</v>
      </c>
      <c r="F305" s="100" t="s">
        <v>2454</v>
      </c>
      <c r="G305" s="100"/>
      <c r="H305" s="100"/>
      <c r="I305" s="100" t="s">
        <v>2397</v>
      </c>
      <c r="J305" s="100"/>
      <c r="K305" s="101" t="s">
        <v>2455</v>
      </c>
    </row>
    <row r="306" spans="1:11" ht="57" x14ac:dyDescent="0.2">
      <c r="A306" s="100" t="s">
        <v>728</v>
      </c>
      <c r="B306" s="100" t="s">
        <v>2456</v>
      </c>
      <c r="C306" s="100"/>
      <c r="D306" s="100"/>
      <c r="E306" s="100" t="s">
        <v>2457</v>
      </c>
      <c r="F306" s="100" t="s">
        <v>2454</v>
      </c>
      <c r="G306" s="100"/>
      <c r="H306" s="100"/>
      <c r="I306" s="100" t="s">
        <v>2397</v>
      </c>
      <c r="J306" s="100"/>
      <c r="K306" s="101" t="s">
        <v>1675</v>
      </c>
    </row>
    <row r="307" spans="1:11" ht="409.6" x14ac:dyDescent="0.2">
      <c r="A307" s="100" t="s">
        <v>736</v>
      </c>
      <c r="B307" s="100" t="s">
        <v>2458</v>
      </c>
      <c r="C307" s="100"/>
      <c r="D307" s="100"/>
      <c r="E307" s="100" t="s">
        <v>2459</v>
      </c>
      <c r="F307" s="100" t="s">
        <v>2460</v>
      </c>
      <c r="G307" s="100"/>
      <c r="H307" s="100"/>
      <c r="I307" s="100" t="s">
        <v>2397</v>
      </c>
      <c r="J307" s="100"/>
      <c r="K307" s="101" t="s">
        <v>2461</v>
      </c>
    </row>
    <row r="308" spans="1:11" ht="29" x14ac:dyDescent="0.2">
      <c r="A308" s="100" t="s">
        <v>806</v>
      </c>
      <c r="B308" s="100" t="s">
        <v>2462</v>
      </c>
      <c r="C308" s="100"/>
      <c r="D308" s="100"/>
      <c r="E308" s="100" t="s">
        <v>2463</v>
      </c>
      <c r="F308" s="101" t="s">
        <v>2464</v>
      </c>
      <c r="G308" s="100"/>
      <c r="H308" s="100"/>
      <c r="I308" s="100" t="s">
        <v>2397</v>
      </c>
      <c r="J308" s="100"/>
      <c r="K308" s="101" t="s">
        <v>1657</v>
      </c>
    </row>
    <row r="309" spans="1:11" ht="29" x14ac:dyDescent="0.2">
      <c r="A309" s="100" t="s">
        <v>806</v>
      </c>
      <c r="B309" s="100" t="s">
        <v>2465</v>
      </c>
      <c r="C309" s="100"/>
      <c r="D309" s="100"/>
      <c r="E309" s="100" t="s">
        <v>2466</v>
      </c>
      <c r="F309" s="101" t="s">
        <v>2464</v>
      </c>
      <c r="G309" s="100"/>
      <c r="H309" s="100"/>
      <c r="I309" s="100" t="s">
        <v>2397</v>
      </c>
      <c r="J309" s="100"/>
      <c r="K309" s="101" t="s">
        <v>1657</v>
      </c>
    </row>
    <row r="310" spans="1:11" ht="409.6" x14ac:dyDescent="0.2">
      <c r="A310" s="100" t="s">
        <v>864</v>
      </c>
      <c r="B310" s="100" t="s">
        <v>2467</v>
      </c>
      <c r="C310" s="100"/>
      <c r="D310" s="100"/>
      <c r="E310" s="100" t="s">
        <v>2468</v>
      </c>
      <c r="F310" s="100" t="s">
        <v>2469</v>
      </c>
      <c r="G310" s="100"/>
      <c r="H310" s="100"/>
      <c r="I310" s="100" t="s">
        <v>2397</v>
      </c>
      <c r="J310" s="100"/>
      <c r="K310" s="101" t="s">
        <v>2470</v>
      </c>
    </row>
    <row r="311" spans="1:11" ht="409.6" x14ac:dyDescent="0.2">
      <c r="A311" s="100" t="s">
        <v>864</v>
      </c>
      <c r="B311" s="100" t="s">
        <v>2471</v>
      </c>
      <c r="C311" s="100"/>
      <c r="D311" s="100"/>
      <c r="E311" s="100" t="s">
        <v>2472</v>
      </c>
      <c r="F311" s="100" t="s">
        <v>2469</v>
      </c>
      <c r="G311" s="100"/>
      <c r="H311" s="100"/>
      <c r="I311" s="100" t="s">
        <v>2397</v>
      </c>
      <c r="J311" s="100"/>
      <c r="K311" s="101" t="s">
        <v>2473</v>
      </c>
    </row>
    <row r="312" spans="1:11" ht="225" x14ac:dyDescent="0.2">
      <c r="A312" s="100" t="s">
        <v>485</v>
      </c>
      <c r="B312" s="100" t="s">
        <v>2474</v>
      </c>
      <c r="C312" s="100"/>
      <c r="D312" s="100"/>
      <c r="E312" s="100" t="s">
        <v>2475</v>
      </c>
      <c r="F312" s="100" t="s">
        <v>2476</v>
      </c>
      <c r="G312" s="100"/>
      <c r="H312" s="100"/>
      <c r="I312" s="100" t="s">
        <v>2477</v>
      </c>
      <c r="J312" s="100"/>
      <c r="K312" s="101" t="s">
        <v>2478</v>
      </c>
    </row>
    <row r="313" spans="1:11" ht="239" x14ac:dyDescent="0.2">
      <c r="A313" s="100" t="s">
        <v>485</v>
      </c>
      <c r="B313" s="100" t="s">
        <v>2479</v>
      </c>
      <c r="C313" s="100"/>
      <c r="D313" s="100"/>
      <c r="E313" s="100" t="s">
        <v>2480</v>
      </c>
      <c r="F313" s="100" t="s">
        <v>2476</v>
      </c>
      <c r="G313" s="100"/>
      <c r="H313" s="100"/>
      <c r="I313" s="100" t="s">
        <v>2477</v>
      </c>
      <c r="J313" s="100"/>
      <c r="K313" s="101" t="s">
        <v>2481</v>
      </c>
    </row>
    <row r="314" spans="1:11" ht="294" x14ac:dyDescent="0.2">
      <c r="A314" s="100" t="s">
        <v>501</v>
      </c>
      <c r="B314" s="100" t="s">
        <v>2482</v>
      </c>
      <c r="C314" s="100"/>
      <c r="D314" s="100"/>
      <c r="E314" s="100" t="s">
        <v>2483</v>
      </c>
      <c r="F314" s="100" t="s">
        <v>2484</v>
      </c>
      <c r="G314" s="100"/>
      <c r="H314" s="100"/>
      <c r="I314" s="100" t="s">
        <v>2477</v>
      </c>
      <c r="J314" s="100"/>
      <c r="K314" s="101" t="s">
        <v>2485</v>
      </c>
    </row>
    <row r="315" spans="1:11" ht="294" x14ac:dyDescent="0.2">
      <c r="A315" s="100" t="s">
        <v>501</v>
      </c>
      <c r="B315" s="100" t="s">
        <v>2486</v>
      </c>
      <c r="C315" s="100"/>
      <c r="D315" s="100"/>
      <c r="E315" s="100" t="s">
        <v>2483</v>
      </c>
      <c r="F315" s="100" t="s">
        <v>2484</v>
      </c>
      <c r="G315" s="100"/>
      <c r="H315" s="100"/>
      <c r="I315" s="100" t="s">
        <v>2477</v>
      </c>
      <c r="J315" s="100"/>
      <c r="K315" s="101" t="s">
        <v>2485</v>
      </c>
    </row>
    <row r="316" spans="1:11" ht="29" x14ac:dyDescent="0.2">
      <c r="A316" s="100" t="s">
        <v>542</v>
      </c>
      <c r="B316" s="100" t="s">
        <v>2487</v>
      </c>
      <c r="C316" s="100"/>
      <c r="D316" s="100"/>
      <c r="E316" s="100" t="s">
        <v>2488</v>
      </c>
      <c r="F316" s="100" t="s">
        <v>2489</v>
      </c>
      <c r="G316" s="100"/>
      <c r="H316" s="100"/>
      <c r="I316" s="100" t="s">
        <v>2477</v>
      </c>
      <c r="J316" s="100"/>
      <c r="K316" s="101" t="s">
        <v>1657</v>
      </c>
    </row>
    <row r="317" spans="1:11" ht="225" x14ac:dyDescent="0.2">
      <c r="A317" s="100" t="s">
        <v>1517</v>
      </c>
      <c r="B317" s="100" t="s">
        <v>2490</v>
      </c>
      <c r="C317" s="100"/>
      <c r="D317" s="100"/>
      <c r="E317" s="100" t="s">
        <v>2491</v>
      </c>
      <c r="F317" s="100" t="s">
        <v>2492</v>
      </c>
      <c r="G317" s="100"/>
      <c r="H317" s="100"/>
      <c r="I317" s="100" t="s">
        <v>2493</v>
      </c>
      <c r="J317" s="100"/>
      <c r="K317" s="101" t="s">
        <v>2494</v>
      </c>
    </row>
    <row r="318" spans="1:11" ht="211" x14ac:dyDescent="0.2">
      <c r="A318" s="100" t="s">
        <v>1517</v>
      </c>
      <c r="B318" s="100" t="s">
        <v>2495</v>
      </c>
      <c r="C318" s="100"/>
      <c r="D318" s="100"/>
      <c r="E318" s="100" t="s">
        <v>2496</v>
      </c>
      <c r="F318" s="100" t="s">
        <v>2492</v>
      </c>
      <c r="G318" s="100"/>
      <c r="H318" s="100"/>
      <c r="I318" s="100" t="s">
        <v>2497</v>
      </c>
      <c r="J318" s="100"/>
      <c r="K318" s="101" t="s">
        <v>2498</v>
      </c>
    </row>
    <row r="319" spans="1:11" ht="29" x14ac:dyDescent="0.2">
      <c r="A319" s="100" t="s">
        <v>720</v>
      </c>
      <c r="B319" s="100" t="s">
        <v>2499</v>
      </c>
      <c r="C319" s="100"/>
      <c r="D319" s="100"/>
      <c r="E319" s="100" t="s">
        <v>2500</v>
      </c>
      <c r="F319" s="100" t="s">
        <v>2501</v>
      </c>
      <c r="G319" s="100"/>
      <c r="H319" s="100"/>
      <c r="I319" s="100" t="s">
        <v>2502</v>
      </c>
      <c r="J319" s="100"/>
      <c r="K319" s="101" t="s">
        <v>1657</v>
      </c>
    </row>
    <row r="320" spans="1:11" ht="43" x14ac:dyDescent="0.2">
      <c r="A320" s="100" t="s">
        <v>720</v>
      </c>
      <c r="B320" s="100" t="s">
        <v>2503</v>
      </c>
      <c r="C320" s="100"/>
      <c r="D320" s="100"/>
      <c r="E320" s="100" t="s">
        <v>2504</v>
      </c>
      <c r="F320" s="100" t="s">
        <v>2501</v>
      </c>
      <c r="G320" s="100"/>
      <c r="H320" s="100"/>
      <c r="I320" s="100" t="s">
        <v>2502</v>
      </c>
      <c r="J320" s="100"/>
      <c r="K320" s="101" t="s">
        <v>1775</v>
      </c>
    </row>
    <row r="321" spans="1:11" ht="29" x14ac:dyDescent="0.2">
      <c r="A321" s="100" t="s">
        <v>830</v>
      </c>
      <c r="B321" s="100" t="s">
        <v>2505</v>
      </c>
      <c r="C321" s="100"/>
      <c r="D321" s="100"/>
      <c r="E321" s="100" t="s">
        <v>2506</v>
      </c>
      <c r="F321" s="100" t="s">
        <v>2507</v>
      </c>
      <c r="G321" s="100"/>
      <c r="H321" s="100"/>
      <c r="I321" s="100" t="s">
        <v>2508</v>
      </c>
      <c r="J321" s="100"/>
      <c r="K321" s="101" t="s">
        <v>1657</v>
      </c>
    </row>
    <row r="322" spans="1:11" ht="43" x14ac:dyDescent="0.2">
      <c r="A322" s="100" t="s">
        <v>2509</v>
      </c>
      <c r="B322" s="100" t="s">
        <v>2510</v>
      </c>
      <c r="C322" s="100" t="s">
        <v>1387</v>
      </c>
      <c r="D322" s="100"/>
      <c r="E322" s="100" t="s">
        <v>2511</v>
      </c>
      <c r="F322" s="101" t="s">
        <v>2512</v>
      </c>
      <c r="G322" s="100"/>
      <c r="H322" s="100"/>
      <c r="I322" s="100" t="s">
        <v>2513</v>
      </c>
      <c r="J322" s="100"/>
      <c r="K322" s="101" t="s">
        <v>1540</v>
      </c>
    </row>
    <row r="323" spans="1:11" ht="43" x14ac:dyDescent="0.2">
      <c r="A323" s="100" t="s">
        <v>2509</v>
      </c>
      <c r="B323" s="100" t="s">
        <v>2514</v>
      </c>
      <c r="C323" s="100" t="s">
        <v>1387</v>
      </c>
      <c r="D323" s="100"/>
      <c r="E323" s="100" t="s">
        <v>2511</v>
      </c>
      <c r="F323" s="101" t="s">
        <v>2512</v>
      </c>
      <c r="G323" s="100"/>
      <c r="H323" s="100"/>
      <c r="I323" s="100" t="s">
        <v>2513</v>
      </c>
      <c r="J323" s="100"/>
      <c r="K323" s="101" t="s">
        <v>1540</v>
      </c>
    </row>
    <row r="324" spans="1:11" ht="29" x14ac:dyDescent="0.2">
      <c r="A324" s="100" t="s">
        <v>1399</v>
      </c>
      <c r="B324" s="100" t="s">
        <v>2515</v>
      </c>
      <c r="C324" s="100" t="s">
        <v>914</v>
      </c>
      <c r="D324" s="100"/>
      <c r="E324" s="100" t="s">
        <v>2516</v>
      </c>
      <c r="F324" s="101" t="s">
        <v>2517</v>
      </c>
      <c r="G324" s="100"/>
      <c r="H324" s="100"/>
      <c r="I324" s="100" t="s">
        <v>2518</v>
      </c>
      <c r="J324" s="100"/>
      <c r="K324" s="101" t="s">
        <v>1540</v>
      </c>
    </row>
    <row r="325" spans="1:11" ht="29" x14ac:dyDescent="0.2">
      <c r="A325" s="100" t="s">
        <v>1399</v>
      </c>
      <c r="B325" s="100" t="s">
        <v>2519</v>
      </c>
      <c r="C325" s="100" t="s">
        <v>914</v>
      </c>
      <c r="D325" s="100"/>
      <c r="E325" s="100" t="s">
        <v>2520</v>
      </c>
      <c r="F325" s="101" t="s">
        <v>2517</v>
      </c>
      <c r="G325" s="100"/>
      <c r="H325" s="100"/>
      <c r="I325" s="100" t="s">
        <v>2518</v>
      </c>
      <c r="J325" s="100"/>
      <c r="K325" s="101" t="s">
        <v>1540</v>
      </c>
    </row>
    <row r="326" spans="1:11" ht="29" x14ac:dyDescent="0.2">
      <c r="A326" s="100" t="s">
        <v>1399</v>
      </c>
      <c r="B326" s="100" t="s">
        <v>2521</v>
      </c>
      <c r="C326" s="100" t="s">
        <v>2522</v>
      </c>
      <c r="D326" s="100"/>
      <c r="E326" s="100" t="s">
        <v>2523</v>
      </c>
      <c r="F326" s="101" t="s">
        <v>2517</v>
      </c>
      <c r="G326" s="100"/>
      <c r="H326" s="100"/>
      <c r="I326" s="100" t="s">
        <v>2518</v>
      </c>
      <c r="J326" s="100"/>
      <c r="K326" s="101" t="s">
        <v>1540</v>
      </c>
    </row>
    <row r="327" spans="1:11" ht="127" x14ac:dyDescent="0.2">
      <c r="A327" s="100" t="s">
        <v>1399</v>
      </c>
      <c r="B327" s="100" t="s">
        <v>2524</v>
      </c>
      <c r="C327" s="100" t="s">
        <v>2525</v>
      </c>
      <c r="D327" s="100"/>
      <c r="E327" s="100" t="s">
        <v>2526</v>
      </c>
      <c r="F327" s="100" t="s">
        <v>2527</v>
      </c>
      <c r="G327" s="100"/>
      <c r="H327" s="100"/>
      <c r="I327" s="100" t="s">
        <v>2528</v>
      </c>
      <c r="J327" s="101" t="s">
        <v>2529</v>
      </c>
      <c r="K327" s="101" t="s">
        <v>2530</v>
      </c>
    </row>
    <row r="328" spans="1:11" ht="43" x14ac:dyDescent="0.2">
      <c r="A328" s="100" t="s">
        <v>120</v>
      </c>
      <c r="B328" s="100" t="s">
        <v>2531</v>
      </c>
      <c r="C328" s="100" t="s">
        <v>1198</v>
      </c>
      <c r="D328" s="100"/>
      <c r="E328" s="100" t="s">
        <v>2532</v>
      </c>
      <c r="F328" s="101" t="s">
        <v>2533</v>
      </c>
      <c r="G328" s="100" t="s">
        <v>2534</v>
      </c>
      <c r="H328" s="100"/>
      <c r="I328" s="100" t="s">
        <v>2535</v>
      </c>
      <c r="J328" s="100"/>
      <c r="K328" s="101" t="s">
        <v>1540</v>
      </c>
    </row>
    <row r="329" spans="1:11" ht="43" x14ac:dyDescent="0.2">
      <c r="A329" s="100" t="s">
        <v>351</v>
      </c>
      <c r="B329" s="100" t="s">
        <v>2536</v>
      </c>
      <c r="C329" s="100" t="s">
        <v>2537</v>
      </c>
      <c r="D329" s="100"/>
      <c r="E329" s="100" t="s">
        <v>2538</v>
      </c>
      <c r="F329" s="100" t="s">
        <v>2539</v>
      </c>
      <c r="G329" s="100" t="s">
        <v>2540</v>
      </c>
      <c r="H329" s="100"/>
      <c r="I329" s="100" t="s">
        <v>2541</v>
      </c>
      <c r="J329" s="100"/>
      <c r="K329" s="101" t="s">
        <v>2542</v>
      </c>
    </row>
    <row r="330" spans="1:11" ht="85" x14ac:dyDescent="0.2">
      <c r="A330" s="100" t="s">
        <v>46</v>
      </c>
      <c r="B330" s="100" t="s">
        <v>2543</v>
      </c>
      <c r="C330" s="100" t="s">
        <v>1692</v>
      </c>
      <c r="D330" s="100"/>
      <c r="E330" s="100" t="s">
        <v>2544</v>
      </c>
      <c r="F330" s="101" t="s">
        <v>2545</v>
      </c>
      <c r="G330" s="100">
        <v>9833940211</v>
      </c>
      <c r="H330" s="100"/>
      <c r="I330" s="100" t="s">
        <v>2546</v>
      </c>
      <c r="J330" s="100"/>
      <c r="K330" s="101" t="s">
        <v>1540</v>
      </c>
    </row>
    <row r="331" spans="1:11" ht="43" x14ac:dyDescent="0.2">
      <c r="A331" s="100" t="s">
        <v>2547</v>
      </c>
      <c r="B331" s="100" t="s">
        <v>2548</v>
      </c>
      <c r="C331" s="100" t="s">
        <v>1698</v>
      </c>
      <c r="D331" s="100"/>
      <c r="E331" s="100" t="s">
        <v>2549</v>
      </c>
      <c r="F331" s="101" t="s">
        <v>2550</v>
      </c>
      <c r="G331" s="100">
        <v>8898078004</v>
      </c>
      <c r="H331" s="100"/>
      <c r="I331" s="100" t="s">
        <v>2546</v>
      </c>
      <c r="J331" s="100"/>
      <c r="K331" s="101" t="s">
        <v>1540</v>
      </c>
    </row>
    <row r="332" spans="1:11" ht="29" x14ac:dyDescent="0.2">
      <c r="A332" s="100" t="s">
        <v>814</v>
      </c>
      <c r="B332" s="100" t="s">
        <v>2551</v>
      </c>
      <c r="C332" s="100" t="s">
        <v>1387</v>
      </c>
      <c r="D332" s="100"/>
      <c r="E332" s="100" t="s">
        <v>2552</v>
      </c>
      <c r="F332" s="101" t="s">
        <v>2553</v>
      </c>
      <c r="G332" s="100" t="s">
        <v>2554</v>
      </c>
      <c r="H332" s="100"/>
      <c r="I332" s="100" t="s">
        <v>2546</v>
      </c>
      <c r="J332" s="100" t="s">
        <v>2555</v>
      </c>
      <c r="K332" s="100"/>
    </row>
    <row r="333" spans="1:11" ht="43" x14ac:dyDescent="0.2">
      <c r="A333" s="100" t="s">
        <v>42</v>
      </c>
      <c r="B333" s="100" t="s">
        <v>2556</v>
      </c>
      <c r="C333" s="100" t="s">
        <v>1089</v>
      </c>
      <c r="D333" s="100"/>
      <c r="E333" s="100" t="s">
        <v>2557</v>
      </c>
      <c r="F333" s="101" t="s">
        <v>2558</v>
      </c>
      <c r="G333" s="100"/>
      <c r="H333" s="100"/>
      <c r="I333" s="100" t="s">
        <v>2546</v>
      </c>
      <c r="J333" s="100" t="s">
        <v>2555</v>
      </c>
      <c r="K333" s="100"/>
    </row>
    <row r="334" spans="1:11" ht="85" x14ac:dyDescent="0.2">
      <c r="A334" s="100" t="s">
        <v>46</v>
      </c>
      <c r="B334" s="100" t="s">
        <v>2559</v>
      </c>
      <c r="C334" s="100" t="s">
        <v>1702</v>
      </c>
      <c r="D334" s="100"/>
      <c r="E334" s="100" t="s">
        <v>2560</v>
      </c>
      <c r="F334" s="101" t="s">
        <v>2545</v>
      </c>
      <c r="G334" s="100">
        <v>9136913366</v>
      </c>
      <c r="H334" s="100"/>
      <c r="I334" s="100" t="s">
        <v>2546</v>
      </c>
      <c r="J334" s="100"/>
      <c r="K334" s="101" t="s">
        <v>1540</v>
      </c>
    </row>
    <row r="335" spans="1:11" x14ac:dyDescent="0.2">
      <c r="A335" s="100" t="s">
        <v>1531</v>
      </c>
      <c r="B335" s="100" t="s">
        <v>2561</v>
      </c>
      <c r="C335" s="100" t="s">
        <v>2562</v>
      </c>
      <c r="D335" s="100"/>
      <c r="E335" s="100" t="s">
        <v>2563</v>
      </c>
      <c r="F335" s="100" t="s">
        <v>2564</v>
      </c>
      <c r="G335" s="100" t="s">
        <v>2565</v>
      </c>
      <c r="H335" s="100"/>
      <c r="I335" s="100" t="s">
        <v>2546</v>
      </c>
      <c r="J335" s="100" t="s">
        <v>2555</v>
      </c>
      <c r="K335" s="100"/>
    </row>
    <row r="336" spans="1:11" x14ac:dyDescent="0.2">
      <c r="A336" s="100" t="s">
        <v>1531</v>
      </c>
      <c r="B336" s="100" t="s">
        <v>2566</v>
      </c>
      <c r="C336" s="100" t="s">
        <v>2567</v>
      </c>
      <c r="D336" s="100"/>
      <c r="E336" s="100" t="s">
        <v>2568</v>
      </c>
      <c r="F336" s="100" t="s">
        <v>2569</v>
      </c>
      <c r="G336" s="100" t="s">
        <v>2570</v>
      </c>
      <c r="H336" s="100"/>
      <c r="I336" s="100" t="s">
        <v>2546</v>
      </c>
      <c r="J336" s="100" t="s">
        <v>2555</v>
      </c>
      <c r="K336" s="100"/>
    </row>
    <row r="337" spans="1:11" ht="71" x14ac:dyDescent="0.2">
      <c r="A337" s="100" t="s">
        <v>34</v>
      </c>
      <c r="B337" s="100" t="s">
        <v>2571</v>
      </c>
      <c r="C337" s="100" t="s">
        <v>2572</v>
      </c>
      <c r="D337" s="100"/>
      <c r="E337" s="100" t="s">
        <v>2573</v>
      </c>
      <c r="F337" s="101" t="s">
        <v>2574</v>
      </c>
      <c r="G337" s="100">
        <v>9717991891</v>
      </c>
      <c r="H337" s="100"/>
      <c r="I337" s="100" t="s">
        <v>2546</v>
      </c>
      <c r="J337" s="100"/>
      <c r="K337" s="101" t="s">
        <v>1540</v>
      </c>
    </row>
    <row r="338" spans="1:11" ht="71" x14ac:dyDescent="0.2">
      <c r="A338" s="100" t="s">
        <v>2575</v>
      </c>
      <c r="B338" s="100" t="s">
        <v>2576</v>
      </c>
      <c r="C338" s="100" t="s">
        <v>1103</v>
      </c>
      <c r="D338" s="100"/>
      <c r="E338" s="100" t="s">
        <v>2577</v>
      </c>
      <c r="F338" s="101" t="s">
        <v>2578</v>
      </c>
      <c r="G338" s="100" t="s">
        <v>2579</v>
      </c>
      <c r="H338" s="100"/>
      <c r="I338" s="100" t="s">
        <v>2546</v>
      </c>
      <c r="J338" s="100" t="s">
        <v>2555</v>
      </c>
      <c r="K338" s="101" t="s">
        <v>1540</v>
      </c>
    </row>
    <row r="339" spans="1:11" x14ac:dyDescent="0.2">
      <c r="A339" s="100" t="s">
        <v>63</v>
      </c>
      <c r="B339" s="100" t="s">
        <v>2580</v>
      </c>
      <c r="C339" s="100" t="s">
        <v>1103</v>
      </c>
      <c r="D339" s="100" t="s">
        <v>2581</v>
      </c>
      <c r="E339" s="100" t="s">
        <v>2582</v>
      </c>
      <c r="F339" s="100" t="s">
        <v>2583</v>
      </c>
      <c r="G339" s="100"/>
      <c r="H339" s="100"/>
      <c r="I339" s="100" t="s">
        <v>2546</v>
      </c>
      <c r="J339" s="100" t="s">
        <v>2555</v>
      </c>
      <c r="K339" s="100"/>
    </row>
    <row r="340" spans="1:11" ht="71" x14ac:dyDescent="0.2">
      <c r="A340" s="100" t="s">
        <v>42</v>
      </c>
      <c r="B340" s="100" t="s">
        <v>2584</v>
      </c>
      <c r="C340" s="100" t="s">
        <v>1198</v>
      </c>
      <c r="D340" s="100"/>
      <c r="E340" s="100" t="s">
        <v>1094</v>
      </c>
      <c r="F340" s="101" t="s">
        <v>2585</v>
      </c>
      <c r="G340" s="100" t="s">
        <v>2586</v>
      </c>
      <c r="H340" s="100"/>
      <c r="I340" s="100" t="s">
        <v>2546</v>
      </c>
      <c r="J340" s="100" t="s">
        <v>2555</v>
      </c>
      <c r="K340" s="101" t="s">
        <v>1540</v>
      </c>
    </row>
    <row r="341" spans="1:11" ht="57" x14ac:dyDescent="0.2">
      <c r="A341" s="100" t="s">
        <v>786</v>
      </c>
      <c r="B341" s="100" t="s">
        <v>2587</v>
      </c>
      <c r="C341" s="100" t="s">
        <v>2588</v>
      </c>
      <c r="D341" s="100"/>
      <c r="E341" s="100" t="s">
        <v>2589</v>
      </c>
      <c r="F341" s="101" t="s">
        <v>2590</v>
      </c>
      <c r="G341" s="100" t="s">
        <v>2591</v>
      </c>
      <c r="H341" s="100"/>
      <c r="I341" s="100" t="s">
        <v>2546</v>
      </c>
      <c r="J341" s="100"/>
      <c r="K341" s="101" t="s">
        <v>1540</v>
      </c>
    </row>
    <row r="342" spans="1:11" ht="57" x14ac:dyDescent="0.2">
      <c r="A342" s="100" t="s">
        <v>828</v>
      </c>
      <c r="B342" s="100" t="s">
        <v>2592</v>
      </c>
      <c r="C342" s="100" t="s">
        <v>2593</v>
      </c>
      <c r="D342" s="100"/>
      <c r="E342" s="100" t="s">
        <v>2594</v>
      </c>
      <c r="F342" s="101" t="s">
        <v>2595</v>
      </c>
      <c r="G342" s="100" t="s">
        <v>2596</v>
      </c>
      <c r="H342" s="100"/>
      <c r="I342" s="100" t="s">
        <v>2597</v>
      </c>
      <c r="J342" s="100"/>
      <c r="K342" s="101" t="s">
        <v>1540</v>
      </c>
    </row>
    <row r="343" spans="1:11" ht="57" x14ac:dyDescent="0.2">
      <c r="A343" s="100" t="s">
        <v>195</v>
      </c>
      <c r="B343" s="100" t="s">
        <v>2598</v>
      </c>
      <c r="C343" s="100" t="s">
        <v>2599</v>
      </c>
      <c r="D343" s="100"/>
      <c r="E343" s="100" t="s">
        <v>2600</v>
      </c>
      <c r="F343" s="101" t="s">
        <v>2601</v>
      </c>
      <c r="G343" s="100" t="s">
        <v>2602</v>
      </c>
      <c r="H343" s="100"/>
      <c r="I343" s="100" t="s">
        <v>2546</v>
      </c>
      <c r="J343" s="100"/>
      <c r="K343" s="101" t="s">
        <v>1540</v>
      </c>
    </row>
    <row r="344" spans="1:11" x14ac:dyDescent="0.2">
      <c r="A344" s="100" t="s">
        <v>2575</v>
      </c>
      <c r="B344" s="100" t="s">
        <v>2603</v>
      </c>
      <c r="C344" s="100" t="s">
        <v>1020</v>
      </c>
      <c r="D344" s="100"/>
      <c r="E344" s="100" t="s">
        <v>2604</v>
      </c>
      <c r="F344" s="100" t="s">
        <v>2605</v>
      </c>
      <c r="G344" s="100" t="s">
        <v>2606</v>
      </c>
      <c r="H344" s="100"/>
      <c r="I344" s="100" t="s">
        <v>2546</v>
      </c>
      <c r="J344" s="100" t="s">
        <v>2555</v>
      </c>
      <c r="K344" s="100"/>
    </row>
    <row r="345" spans="1:11" ht="57" x14ac:dyDescent="0.2">
      <c r="A345" s="100" t="s">
        <v>318</v>
      </c>
      <c r="B345" s="100" t="s">
        <v>2607</v>
      </c>
      <c r="C345" s="100" t="s">
        <v>2608</v>
      </c>
      <c r="D345" s="100"/>
      <c r="E345" s="100"/>
      <c r="F345" s="100"/>
      <c r="G345" s="100" t="s">
        <v>2609</v>
      </c>
      <c r="H345" s="100"/>
      <c r="I345" s="100" t="s">
        <v>2546</v>
      </c>
      <c r="J345" s="100" t="s">
        <v>2555</v>
      </c>
      <c r="K345" s="101" t="s">
        <v>2610</v>
      </c>
    </row>
    <row r="346" spans="1:11" ht="57" x14ac:dyDescent="0.2">
      <c r="A346" s="100" t="s">
        <v>860</v>
      </c>
      <c r="B346" s="100" t="s">
        <v>939</v>
      </c>
      <c r="C346" s="100" t="s">
        <v>2611</v>
      </c>
      <c r="D346" s="100"/>
      <c r="E346" s="100" t="s">
        <v>2612</v>
      </c>
      <c r="F346" s="101" t="s">
        <v>2613</v>
      </c>
      <c r="G346" s="100" t="s">
        <v>1264</v>
      </c>
      <c r="H346" s="100"/>
      <c r="I346" s="100" t="s">
        <v>2546</v>
      </c>
      <c r="J346" s="100"/>
      <c r="K346" s="101" t="s">
        <v>2614</v>
      </c>
    </row>
    <row r="347" spans="1:11" ht="43" x14ac:dyDescent="0.2">
      <c r="A347" s="100" t="s">
        <v>238</v>
      </c>
      <c r="B347" s="100" t="s">
        <v>2615</v>
      </c>
      <c r="C347" s="100" t="s">
        <v>2616</v>
      </c>
      <c r="D347" s="100"/>
      <c r="E347" s="100" t="s">
        <v>2617</v>
      </c>
      <c r="F347" s="101" t="s">
        <v>2618</v>
      </c>
      <c r="G347" s="100" t="s">
        <v>2619</v>
      </c>
      <c r="H347" s="100"/>
      <c r="I347" s="100" t="s">
        <v>2546</v>
      </c>
      <c r="J347" s="100"/>
      <c r="K347" s="101" t="s">
        <v>1540</v>
      </c>
    </row>
    <row r="348" spans="1:11" ht="71" x14ac:dyDescent="0.2">
      <c r="A348" s="100" t="s">
        <v>697</v>
      </c>
      <c r="B348" s="100" t="s">
        <v>2620</v>
      </c>
      <c r="C348" s="100" t="s">
        <v>2621</v>
      </c>
      <c r="D348" s="100"/>
      <c r="E348" s="100" t="s">
        <v>2622</v>
      </c>
      <c r="F348" s="101" t="s">
        <v>2623</v>
      </c>
      <c r="G348" s="100">
        <v>9769418402</v>
      </c>
      <c r="H348" s="100"/>
      <c r="I348" s="100" t="s">
        <v>2546</v>
      </c>
      <c r="J348" s="100"/>
      <c r="K348" s="101" t="s">
        <v>1540</v>
      </c>
    </row>
    <row r="349" spans="1:11" ht="29" x14ac:dyDescent="0.2">
      <c r="A349" s="100" t="s">
        <v>122</v>
      </c>
      <c r="B349" s="100" t="s">
        <v>1082</v>
      </c>
      <c r="C349" s="100" t="s">
        <v>1083</v>
      </c>
      <c r="D349" s="100"/>
      <c r="E349" s="100" t="s">
        <v>1084</v>
      </c>
      <c r="F349" s="100"/>
      <c r="G349" s="100" t="s">
        <v>1085</v>
      </c>
      <c r="H349" s="100"/>
      <c r="I349" s="100" t="s">
        <v>2546</v>
      </c>
      <c r="J349" s="100"/>
      <c r="K349" s="101" t="s">
        <v>1540</v>
      </c>
    </row>
    <row r="350" spans="1:11" ht="57" x14ac:dyDescent="0.2">
      <c r="A350" s="100" t="s">
        <v>217</v>
      </c>
      <c r="B350" s="100" t="s">
        <v>2624</v>
      </c>
      <c r="C350" s="100" t="s">
        <v>1714</v>
      </c>
      <c r="D350" s="100"/>
      <c r="E350" s="100" t="s">
        <v>2625</v>
      </c>
      <c r="F350" s="101" t="s">
        <v>2626</v>
      </c>
      <c r="G350" s="100">
        <v>9892477919</v>
      </c>
      <c r="H350" s="100"/>
      <c r="I350" s="100" t="s">
        <v>2546</v>
      </c>
      <c r="J350" s="100"/>
      <c r="K350" s="101" t="s">
        <v>1540</v>
      </c>
    </row>
    <row r="351" spans="1:11" ht="43" x14ac:dyDescent="0.2">
      <c r="A351" s="100" t="s">
        <v>563</v>
      </c>
      <c r="B351" s="100" t="s">
        <v>2627</v>
      </c>
      <c r="C351" s="100"/>
      <c r="D351" s="100"/>
      <c r="E351" s="100" t="s">
        <v>2628</v>
      </c>
      <c r="F351" s="101" t="s">
        <v>2629</v>
      </c>
      <c r="G351" s="100">
        <v>9820920504</v>
      </c>
      <c r="H351" s="100"/>
      <c r="I351" s="100" t="s">
        <v>2546</v>
      </c>
      <c r="J351" s="100"/>
      <c r="K351" s="101" t="s">
        <v>1540</v>
      </c>
    </row>
    <row r="352" spans="1:11" ht="71" x14ac:dyDescent="0.2">
      <c r="A352" s="100" t="s">
        <v>112</v>
      </c>
      <c r="B352" s="100" t="s">
        <v>2630</v>
      </c>
      <c r="C352" s="100"/>
      <c r="D352" s="100"/>
      <c r="E352" s="100" t="s">
        <v>2631</v>
      </c>
      <c r="F352" s="101" t="s">
        <v>2632</v>
      </c>
      <c r="G352" s="100" t="s">
        <v>2633</v>
      </c>
      <c r="H352" s="100"/>
      <c r="I352" s="100" t="s">
        <v>2546</v>
      </c>
      <c r="J352" s="100" t="s">
        <v>2634</v>
      </c>
      <c r="K352" s="101" t="s">
        <v>2635</v>
      </c>
    </row>
    <row r="353" spans="1:11" ht="253" x14ac:dyDescent="0.2">
      <c r="A353" s="100" t="s">
        <v>112</v>
      </c>
      <c r="B353" s="100" t="s">
        <v>2636</v>
      </c>
      <c r="C353" s="100"/>
      <c r="D353" s="100"/>
      <c r="E353" s="100" t="s">
        <v>2637</v>
      </c>
      <c r="F353" s="100" t="s">
        <v>2638</v>
      </c>
      <c r="G353" s="100" t="s">
        <v>2639</v>
      </c>
      <c r="H353" s="100"/>
      <c r="I353" s="100" t="s">
        <v>2546</v>
      </c>
      <c r="J353" s="100"/>
      <c r="K353" s="101" t="s">
        <v>2640</v>
      </c>
    </row>
    <row r="354" spans="1:11" ht="57" x14ac:dyDescent="0.2">
      <c r="A354" s="100" t="s">
        <v>2641</v>
      </c>
      <c r="B354" s="100" t="s">
        <v>2642</v>
      </c>
      <c r="C354" s="100"/>
      <c r="D354" s="100"/>
      <c r="E354" s="100" t="s">
        <v>2643</v>
      </c>
      <c r="F354" s="101" t="s">
        <v>2644</v>
      </c>
      <c r="G354" s="100" t="s">
        <v>2645</v>
      </c>
      <c r="H354" s="100"/>
      <c r="I354" s="100" t="s">
        <v>2546</v>
      </c>
      <c r="J354" s="100" t="s">
        <v>2555</v>
      </c>
      <c r="K354" s="101" t="s">
        <v>2646</v>
      </c>
    </row>
    <row r="355" spans="1:11" x14ac:dyDescent="0.2">
      <c r="A355" s="100" t="s">
        <v>705</v>
      </c>
      <c r="B355" s="100" t="s">
        <v>2647</v>
      </c>
      <c r="C355" s="100"/>
      <c r="D355" s="100"/>
      <c r="E355" s="100" t="s">
        <v>2648</v>
      </c>
      <c r="F355" s="100" t="s">
        <v>2649</v>
      </c>
      <c r="G355" s="100" t="s">
        <v>2650</v>
      </c>
      <c r="H355" s="100"/>
      <c r="I355" s="100" t="s">
        <v>2546</v>
      </c>
      <c r="J355" s="100"/>
      <c r="K355" s="100"/>
    </row>
    <row r="356" spans="1:11" ht="85" x14ac:dyDescent="0.2">
      <c r="A356" s="100" t="s">
        <v>328</v>
      </c>
      <c r="B356" s="100" t="s">
        <v>2651</v>
      </c>
      <c r="C356" s="100"/>
      <c r="D356" s="100"/>
      <c r="E356" s="100"/>
      <c r="F356" s="101" t="s">
        <v>2652</v>
      </c>
      <c r="G356" s="100" t="s">
        <v>2653</v>
      </c>
      <c r="H356" s="100"/>
      <c r="I356" s="100" t="s">
        <v>2546</v>
      </c>
      <c r="J356" s="100"/>
      <c r="K356" s="101" t="s">
        <v>1540</v>
      </c>
    </row>
    <row r="357" spans="1:11" ht="43" x14ac:dyDescent="0.2">
      <c r="A357" s="100" t="s">
        <v>2654</v>
      </c>
      <c r="B357" s="100" t="s">
        <v>2655</v>
      </c>
      <c r="C357" s="100" t="s">
        <v>2656</v>
      </c>
      <c r="D357" s="100"/>
      <c r="E357" s="100" t="s">
        <v>2657</v>
      </c>
      <c r="F357" s="101" t="s">
        <v>2658</v>
      </c>
      <c r="G357" s="100" t="s">
        <v>2659</v>
      </c>
      <c r="H357" s="100"/>
      <c r="I357" s="100" t="s">
        <v>2660</v>
      </c>
      <c r="J357" s="100"/>
      <c r="K357" s="101" t="s">
        <v>1540</v>
      </c>
    </row>
    <row r="358" spans="1:11" ht="99" x14ac:dyDescent="0.2">
      <c r="A358" s="100" t="s">
        <v>581</v>
      </c>
      <c r="B358" s="100" t="s">
        <v>2661</v>
      </c>
      <c r="C358" s="100" t="s">
        <v>2662</v>
      </c>
      <c r="D358" s="100"/>
      <c r="E358" s="100" t="s">
        <v>2663</v>
      </c>
      <c r="F358" s="101" t="s">
        <v>2664</v>
      </c>
      <c r="G358" s="100" t="s">
        <v>2665</v>
      </c>
      <c r="H358" s="100"/>
      <c r="I358" s="100" t="s">
        <v>2660</v>
      </c>
      <c r="J358" s="100"/>
      <c r="K358" s="101" t="s">
        <v>1540</v>
      </c>
    </row>
    <row r="359" spans="1:11" ht="409.6" x14ac:dyDescent="0.2">
      <c r="A359" s="100" t="s">
        <v>438</v>
      </c>
      <c r="B359" s="100" t="s">
        <v>2666</v>
      </c>
      <c r="C359" s="100" t="s">
        <v>2667</v>
      </c>
      <c r="D359" s="100"/>
      <c r="E359" s="100" t="s">
        <v>2668</v>
      </c>
      <c r="F359" s="100" t="s">
        <v>2669</v>
      </c>
      <c r="G359" s="100"/>
      <c r="H359" s="100"/>
      <c r="I359" s="100" t="s">
        <v>2670</v>
      </c>
      <c r="J359" s="100"/>
      <c r="K359" s="101" t="s">
        <v>2671</v>
      </c>
    </row>
    <row r="360" spans="1:11" ht="409.6" x14ac:dyDescent="0.2">
      <c r="A360" s="100" t="s">
        <v>438</v>
      </c>
      <c r="B360" s="100" t="s">
        <v>2672</v>
      </c>
      <c r="C360" s="100" t="s">
        <v>2667</v>
      </c>
      <c r="D360" s="100"/>
      <c r="E360" s="100" t="s">
        <v>2673</v>
      </c>
      <c r="F360" s="100" t="s">
        <v>2669</v>
      </c>
      <c r="G360" s="100"/>
      <c r="H360" s="100"/>
      <c r="I360" s="100" t="s">
        <v>2670</v>
      </c>
      <c r="J360" s="100"/>
      <c r="K360" s="101" t="s">
        <v>2674</v>
      </c>
    </row>
    <row r="361" spans="1:11" ht="409.6" x14ac:dyDescent="0.2">
      <c r="A361" s="100" t="s">
        <v>452</v>
      </c>
      <c r="B361" s="100" t="s">
        <v>2675</v>
      </c>
      <c r="C361" s="100"/>
      <c r="D361" s="100"/>
      <c r="E361" s="100" t="s">
        <v>2676</v>
      </c>
      <c r="F361" s="100" t="s">
        <v>2677</v>
      </c>
      <c r="G361" s="100"/>
      <c r="H361" s="100"/>
      <c r="I361" s="100" t="s">
        <v>2670</v>
      </c>
      <c r="J361" s="100"/>
      <c r="K361" s="101" t="s">
        <v>2678</v>
      </c>
    </row>
    <row r="362" spans="1:11" ht="267" x14ac:dyDescent="0.2">
      <c r="A362" s="100" t="s">
        <v>456</v>
      </c>
      <c r="B362" s="100" t="s">
        <v>2679</v>
      </c>
      <c r="C362" s="100"/>
      <c r="D362" s="100"/>
      <c r="E362" s="100" t="s">
        <v>2680</v>
      </c>
      <c r="F362" s="100" t="s">
        <v>2681</v>
      </c>
      <c r="G362" s="100"/>
      <c r="H362" s="100"/>
      <c r="I362" s="100" t="s">
        <v>2670</v>
      </c>
      <c r="J362" s="100"/>
      <c r="K362" s="101" t="s">
        <v>2682</v>
      </c>
    </row>
    <row r="363" spans="1:11" ht="267" x14ac:dyDescent="0.2">
      <c r="A363" s="100" t="s">
        <v>456</v>
      </c>
      <c r="B363" s="100" t="s">
        <v>2683</v>
      </c>
      <c r="C363" s="100"/>
      <c r="D363" s="100"/>
      <c r="E363" s="100" t="s">
        <v>2684</v>
      </c>
      <c r="F363" s="100" t="s">
        <v>2681</v>
      </c>
      <c r="G363" s="100"/>
      <c r="H363" s="100"/>
      <c r="I363" s="100" t="s">
        <v>2670</v>
      </c>
      <c r="J363" s="100"/>
      <c r="K363" s="101" t="s">
        <v>2682</v>
      </c>
    </row>
    <row r="364" spans="1:11" ht="294" x14ac:dyDescent="0.2">
      <c r="A364" s="100" t="s">
        <v>475</v>
      </c>
      <c r="B364" s="100" t="s">
        <v>2685</v>
      </c>
      <c r="C364" s="100"/>
      <c r="D364" s="100"/>
      <c r="E364" s="100" t="s">
        <v>2686</v>
      </c>
      <c r="F364" s="100" t="s">
        <v>2687</v>
      </c>
      <c r="G364" s="100"/>
      <c r="H364" s="100"/>
      <c r="I364" s="100" t="s">
        <v>2670</v>
      </c>
      <c r="J364" s="100"/>
      <c r="K364" s="101" t="s">
        <v>2688</v>
      </c>
    </row>
    <row r="365" spans="1:11" ht="307" x14ac:dyDescent="0.2">
      <c r="A365" s="100" t="s">
        <v>475</v>
      </c>
      <c r="B365" s="100" t="s">
        <v>2689</v>
      </c>
      <c r="C365" s="100"/>
      <c r="D365" s="100"/>
      <c r="E365" s="100" t="s">
        <v>2690</v>
      </c>
      <c r="F365" s="100" t="s">
        <v>2687</v>
      </c>
      <c r="G365" s="100"/>
      <c r="H365" s="100"/>
      <c r="I365" s="100" t="s">
        <v>2670</v>
      </c>
      <c r="J365" s="100"/>
      <c r="K365" s="101" t="s">
        <v>2691</v>
      </c>
    </row>
    <row r="366" spans="1:11" ht="372" x14ac:dyDescent="0.2">
      <c r="A366" s="100" t="s">
        <v>479</v>
      </c>
      <c r="B366" s="100" t="s">
        <v>2692</v>
      </c>
      <c r="C366" s="100"/>
      <c r="D366" s="100"/>
      <c r="E366" s="100" t="s">
        <v>2693</v>
      </c>
      <c r="F366" s="100" t="s">
        <v>2694</v>
      </c>
      <c r="G366" s="100"/>
      <c r="H366" s="100"/>
      <c r="I366" s="100" t="s">
        <v>2670</v>
      </c>
      <c r="J366" s="100"/>
      <c r="K366" s="101" t="s">
        <v>2695</v>
      </c>
    </row>
    <row r="367" spans="1:11" ht="372" x14ac:dyDescent="0.2">
      <c r="A367" s="100" t="s">
        <v>479</v>
      </c>
      <c r="B367" s="100" t="s">
        <v>2696</v>
      </c>
      <c r="C367" s="100"/>
      <c r="D367" s="100"/>
      <c r="E367" s="100" t="s">
        <v>2697</v>
      </c>
      <c r="F367" s="100" t="s">
        <v>2694</v>
      </c>
      <c r="G367" s="100"/>
      <c r="H367" s="100"/>
      <c r="I367" s="100" t="s">
        <v>2670</v>
      </c>
      <c r="J367" s="100"/>
      <c r="K367" s="101" t="s">
        <v>2695</v>
      </c>
    </row>
    <row r="368" spans="1:11" ht="409.6" x14ac:dyDescent="0.2">
      <c r="A368" s="100" t="s">
        <v>495</v>
      </c>
      <c r="B368" s="100" t="s">
        <v>2698</v>
      </c>
      <c r="C368" s="100"/>
      <c r="D368" s="100"/>
      <c r="E368" s="100" t="s">
        <v>2699</v>
      </c>
      <c r="F368" s="100" t="s">
        <v>2700</v>
      </c>
      <c r="G368" s="100"/>
      <c r="H368" s="100"/>
      <c r="I368" s="100" t="s">
        <v>2670</v>
      </c>
      <c r="J368" s="100"/>
      <c r="K368" s="101" t="s">
        <v>2701</v>
      </c>
    </row>
    <row r="369" spans="1:11" ht="409.6" x14ac:dyDescent="0.2">
      <c r="A369" s="100" t="s">
        <v>495</v>
      </c>
      <c r="B369" s="100" t="s">
        <v>2702</v>
      </c>
      <c r="C369" s="100"/>
      <c r="D369" s="100"/>
      <c r="E369" s="100" t="s">
        <v>2703</v>
      </c>
      <c r="F369" s="100" t="s">
        <v>2700</v>
      </c>
      <c r="G369" s="100"/>
      <c r="H369" s="100"/>
      <c r="I369" s="100" t="s">
        <v>2670</v>
      </c>
      <c r="J369" s="100"/>
      <c r="K369" s="101" t="s">
        <v>2704</v>
      </c>
    </row>
    <row r="370" spans="1:11" ht="409.6" x14ac:dyDescent="0.2">
      <c r="A370" s="100" t="s">
        <v>497</v>
      </c>
      <c r="B370" s="100" t="s">
        <v>2705</v>
      </c>
      <c r="C370" s="100"/>
      <c r="D370" s="100"/>
      <c r="E370" s="100" t="s">
        <v>2706</v>
      </c>
      <c r="F370" s="100" t="s">
        <v>2707</v>
      </c>
      <c r="G370" s="100"/>
      <c r="H370" s="100"/>
      <c r="I370" s="100" t="s">
        <v>2670</v>
      </c>
      <c r="J370" s="100"/>
      <c r="K370" s="101" t="s">
        <v>2708</v>
      </c>
    </row>
    <row r="371" spans="1:11" ht="409.6" x14ac:dyDescent="0.2">
      <c r="A371" s="100" t="s">
        <v>497</v>
      </c>
      <c r="B371" s="100" t="s">
        <v>2709</v>
      </c>
      <c r="C371" s="100"/>
      <c r="D371" s="100"/>
      <c r="E371" s="100" t="s">
        <v>2710</v>
      </c>
      <c r="F371" s="100" t="s">
        <v>2707</v>
      </c>
      <c r="G371" s="100"/>
      <c r="H371" s="100"/>
      <c r="I371" s="100" t="s">
        <v>2670</v>
      </c>
      <c r="J371" s="100"/>
      <c r="K371" s="101" t="s">
        <v>2708</v>
      </c>
    </row>
    <row r="372" spans="1:11" ht="409.6" x14ac:dyDescent="0.2">
      <c r="A372" s="100" t="s">
        <v>519</v>
      </c>
      <c r="B372" s="100" t="s">
        <v>2711</v>
      </c>
      <c r="C372" s="100"/>
      <c r="D372" s="100"/>
      <c r="E372" s="100" t="s">
        <v>2712</v>
      </c>
      <c r="F372" s="100" t="s">
        <v>2713</v>
      </c>
      <c r="G372" s="100"/>
      <c r="H372" s="100"/>
      <c r="I372" s="100" t="s">
        <v>2670</v>
      </c>
      <c r="J372" s="100"/>
      <c r="K372" s="101" t="s">
        <v>2714</v>
      </c>
    </row>
    <row r="373" spans="1:11" ht="409.6" x14ac:dyDescent="0.2">
      <c r="A373" s="100" t="s">
        <v>525</v>
      </c>
      <c r="B373" s="100" t="s">
        <v>2715</v>
      </c>
      <c r="C373" s="100"/>
      <c r="D373" s="100"/>
      <c r="E373" s="100" t="s">
        <v>2716</v>
      </c>
      <c r="F373" s="100" t="s">
        <v>2717</v>
      </c>
      <c r="G373" s="100"/>
      <c r="H373" s="100"/>
      <c r="I373" s="100" t="s">
        <v>2670</v>
      </c>
      <c r="J373" s="100"/>
      <c r="K373" s="101" t="s">
        <v>2718</v>
      </c>
    </row>
    <row r="374" spans="1:11" ht="267" x14ac:dyDescent="0.2">
      <c r="A374" s="100" t="s">
        <v>1518</v>
      </c>
      <c r="B374" s="100" t="s">
        <v>2719</v>
      </c>
      <c r="C374" s="100"/>
      <c r="D374" s="100"/>
      <c r="E374" s="100" t="s">
        <v>2720</v>
      </c>
      <c r="F374" s="100" t="s">
        <v>2721</v>
      </c>
      <c r="G374" s="100"/>
      <c r="H374" s="100"/>
      <c r="I374" s="100" t="s">
        <v>2670</v>
      </c>
      <c r="J374" s="100"/>
      <c r="K374" s="101" t="s">
        <v>2722</v>
      </c>
    </row>
    <row r="375" spans="1:11" ht="409.6" x14ac:dyDescent="0.2">
      <c r="A375" s="100" t="s">
        <v>546</v>
      </c>
      <c r="B375" s="100" t="s">
        <v>2723</v>
      </c>
      <c r="C375" s="100"/>
      <c r="D375" s="100"/>
      <c r="E375" s="100" t="s">
        <v>2724</v>
      </c>
      <c r="F375" s="100" t="s">
        <v>2725</v>
      </c>
      <c r="G375" s="100"/>
      <c r="H375" s="100"/>
      <c r="I375" s="100" t="s">
        <v>2670</v>
      </c>
      <c r="J375" s="100"/>
      <c r="K375" s="101" t="s">
        <v>2726</v>
      </c>
    </row>
    <row r="376" spans="1:11" ht="409.6" x14ac:dyDescent="0.2">
      <c r="A376" s="100" t="s">
        <v>546</v>
      </c>
      <c r="B376" s="100" t="s">
        <v>2727</v>
      </c>
      <c r="C376" s="100"/>
      <c r="D376" s="100"/>
      <c r="E376" s="100" t="s">
        <v>2728</v>
      </c>
      <c r="F376" s="100" t="s">
        <v>2725</v>
      </c>
      <c r="G376" s="100"/>
      <c r="H376" s="100"/>
      <c r="I376" s="100" t="s">
        <v>2670</v>
      </c>
      <c r="J376" s="100"/>
      <c r="K376" s="101" t="s">
        <v>2729</v>
      </c>
    </row>
    <row r="377" spans="1:11" ht="225" x14ac:dyDescent="0.2">
      <c r="A377" s="100" t="s">
        <v>2730</v>
      </c>
      <c r="B377" s="100" t="s">
        <v>2731</v>
      </c>
      <c r="C377" s="100"/>
      <c r="D377" s="100"/>
      <c r="E377" s="100" t="s">
        <v>2732</v>
      </c>
      <c r="F377" s="100" t="s">
        <v>2733</v>
      </c>
      <c r="G377" s="100"/>
      <c r="H377" s="100"/>
      <c r="I377" s="100" t="s">
        <v>2670</v>
      </c>
      <c r="J377" s="100"/>
      <c r="K377" s="101" t="s">
        <v>2734</v>
      </c>
    </row>
    <row r="378" spans="1:11" ht="239" x14ac:dyDescent="0.2">
      <c r="A378" s="100" t="s">
        <v>2730</v>
      </c>
      <c r="B378" s="100" t="s">
        <v>2735</v>
      </c>
      <c r="C378" s="100"/>
      <c r="D378" s="100"/>
      <c r="E378" s="100" t="s">
        <v>2736</v>
      </c>
      <c r="F378" s="100" t="s">
        <v>2733</v>
      </c>
      <c r="G378" s="100"/>
      <c r="H378" s="100"/>
      <c r="I378" s="100" t="s">
        <v>2670</v>
      </c>
      <c r="J378" s="100"/>
      <c r="K378" s="101" t="s">
        <v>2737</v>
      </c>
    </row>
    <row r="379" spans="1:11" ht="409.6" x14ac:dyDescent="0.2">
      <c r="A379" s="100" t="s">
        <v>1519</v>
      </c>
      <c r="B379" s="100" t="s">
        <v>2738</v>
      </c>
      <c r="C379" s="100"/>
      <c r="D379" s="100"/>
      <c r="E379" s="100" t="s">
        <v>2739</v>
      </c>
      <c r="F379" s="100" t="s">
        <v>2740</v>
      </c>
      <c r="G379" s="100"/>
      <c r="H379" s="100"/>
      <c r="I379" s="100" t="s">
        <v>2670</v>
      </c>
      <c r="J379" s="100"/>
      <c r="K379" s="101" t="s">
        <v>2741</v>
      </c>
    </row>
    <row r="380" spans="1:11" ht="409.6" x14ac:dyDescent="0.2">
      <c r="A380" s="100" t="s">
        <v>1519</v>
      </c>
      <c r="B380" s="100" t="s">
        <v>2742</v>
      </c>
      <c r="C380" s="100"/>
      <c r="D380" s="100"/>
      <c r="E380" s="100" t="s">
        <v>2743</v>
      </c>
      <c r="F380" s="100" t="s">
        <v>2740</v>
      </c>
      <c r="G380" s="100"/>
      <c r="H380" s="100"/>
      <c r="I380" s="100" t="s">
        <v>2670</v>
      </c>
      <c r="J380" s="100"/>
      <c r="K380" s="101" t="s">
        <v>2741</v>
      </c>
    </row>
    <row r="381" spans="1:11" ht="239" x14ac:dyDescent="0.2">
      <c r="A381" s="100" t="s">
        <v>558</v>
      </c>
      <c r="B381" s="100" t="s">
        <v>2744</v>
      </c>
      <c r="C381" s="100"/>
      <c r="D381" s="100"/>
      <c r="E381" s="100" t="s">
        <v>2745</v>
      </c>
      <c r="F381" s="100" t="s">
        <v>2746</v>
      </c>
      <c r="G381" s="100"/>
      <c r="H381" s="100"/>
      <c r="I381" s="100" t="s">
        <v>2670</v>
      </c>
      <c r="J381" s="100"/>
      <c r="K381" s="101" t="s">
        <v>2747</v>
      </c>
    </row>
    <row r="382" spans="1:11" ht="398" x14ac:dyDescent="0.2">
      <c r="A382" s="100" t="s">
        <v>579</v>
      </c>
      <c r="B382" s="100" t="s">
        <v>2748</v>
      </c>
      <c r="C382" s="100"/>
      <c r="D382" s="100"/>
      <c r="E382" s="100" t="s">
        <v>2749</v>
      </c>
      <c r="F382" s="100" t="s">
        <v>2750</v>
      </c>
      <c r="G382" s="100"/>
      <c r="H382" s="100"/>
      <c r="I382" s="100" t="s">
        <v>2670</v>
      </c>
      <c r="J382" s="100"/>
      <c r="K382" s="101" t="s">
        <v>2751</v>
      </c>
    </row>
    <row r="383" spans="1:11" ht="385" x14ac:dyDescent="0.2">
      <c r="A383" s="100" t="s">
        <v>579</v>
      </c>
      <c r="B383" s="100" t="s">
        <v>2752</v>
      </c>
      <c r="C383" s="100"/>
      <c r="D383" s="100"/>
      <c r="E383" s="100" t="s">
        <v>2753</v>
      </c>
      <c r="F383" s="100" t="s">
        <v>2750</v>
      </c>
      <c r="G383" s="100"/>
      <c r="H383" s="100"/>
      <c r="I383" s="100" t="s">
        <v>2670</v>
      </c>
      <c r="J383" s="100"/>
      <c r="K383" s="101" t="s">
        <v>2754</v>
      </c>
    </row>
    <row r="384" spans="1:11" ht="320" x14ac:dyDescent="0.2">
      <c r="A384" s="100" t="s">
        <v>595</v>
      </c>
      <c r="B384" s="100" t="s">
        <v>2755</v>
      </c>
      <c r="C384" s="100"/>
      <c r="D384" s="100"/>
      <c r="E384" s="100" t="s">
        <v>2756</v>
      </c>
      <c r="F384" s="100" t="s">
        <v>2757</v>
      </c>
      <c r="G384" s="100"/>
      <c r="H384" s="100"/>
      <c r="I384" s="100" t="s">
        <v>2670</v>
      </c>
      <c r="J384" s="100"/>
      <c r="K384" s="101" t="s">
        <v>2758</v>
      </c>
    </row>
    <row r="385" spans="1:11" ht="29" x14ac:dyDescent="0.2">
      <c r="A385" s="100" t="s">
        <v>601</v>
      </c>
      <c r="B385" s="100" t="s">
        <v>2759</v>
      </c>
      <c r="C385" s="100"/>
      <c r="D385" s="100"/>
      <c r="E385" s="100" t="s">
        <v>2760</v>
      </c>
      <c r="F385" s="100" t="s">
        <v>2761</v>
      </c>
      <c r="G385" s="100"/>
      <c r="H385" s="100"/>
      <c r="I385" s="100" t="s">
        <v>2670</v>
      </c>
      <c r="J385" s="100"/>
      <c r="K385" s="101" t="s">
        <v>1657</v>
      </c>
    </row>
    <row r="386" spans="1:11" ht="398" x14ac:dyDescent="0.2">
      <c r="A386" s="100" t="s">
        <v>654</v>
      </c>
      <c r="B386" s="100" t="s">
        <v>2762</v>
      </c>
      <c r="C386" s="100"/>
      <c r="D386" s="100"/>
      <c r="E386" s="100" t="s">
        <v>2763</v>
      </c>
      <c r="F386" s="100" t="s">
        <v>2764</v>
      </c>
      <c r="G386" s="100"/>
      <c r="H386" s="100"/>
      <c r="I386" s="100" t="s">
        <v>2670</v>
      </c>
      <c r="J386" s="100"/>
      <c r="K386" s="101" t="s">
        <v>2765</v>
      </c>
    </row>
    <row r="387" spans="1:11" ht="385" x14ac:dyDescent="0.2">
      <c r="A387" s="100" t="s">
        <v>654</v>
      </c>
      <c r="B387" s="100" t="s">
        <v>2766</v>
      </c>
      <c r="C387" s="100"/>
      <c r="D387" s="100"/>
      <c r="E387" s="100" t="s">
        <v>2767</v>
      </c>
      <c r="F387" s="100" t="s">
        <v>2764</v>
      </c>
      <c r="G387" s="100"/>
      <c r="H387" s="100"/>
      <c r="I387" s="100" t="s">
        <v>2670</v>
      </c>
      <c r="J387" s="100"/>
      <c r="K387" s="101" t="s">
        <v>2768</v>
      </c>
    </row>
    <row r="388" spans="1:11" ht="239" x14ac:dyDescent="0.2">
      <c r="A388" s="100" t="s">
        <v>693</v>
      </c>
      <c r="B388" s="100" t="s">
        <v>2769</v>
      </c>
      <c r="C388" s="100"/>
      <c r="D388" s="100"/>
      <c r="E388" s="100" t="s">
        <v>2770</v>
      </c>
      <c r="F388" s="100" t="s">
        <v>2771</v>
      </c>
      <c r="G388" s="100"/>
      <c r="H388" s="100"/>
      <c r="I388" s="100" t="s">
        <v>2670</v>
      </c>
      <c r="J388" s="100"/>
      <c r="K388" s="101" t="s">
        <v>2772</v>
      </c>
    </row>
    <row r="389" spans="1:11" ht="253" x14ac:dyDescent="0.2">
      <c r="A389" s="100" t="s">
        <v>693</v>
      </c>
      <c r="B389" s="100" t="s">
        <v>2773</v>
      </c>
      <c r="C389" s="100"/>
      <c r="D389" s="100"/>
      <c r="E389" s="100" t="s">
        <v>2774</v>
      </c>
      <c r="F389" s="100" t="s">
        <v>2771</v>
      </c>
      <c r="G389" s="100"/>
      <c r="H389" s="100"/>
      <c r="I389" s="100" t="s">
        <v>2670</v>
      </c>
      <c r="J389" s="100"/>
      <c r="K389" s="101" t="s">
        <v>2775</v>
      </c>
    </row>
    <row r="390" spans="1:11" ht="57" x14ac:dyDescent="0.2">
      <c r="A390" s="100" t="s">
        <v>714</v>
      </c>
      <c r="B390" s="100" t="s">
        <v>2776</v>
      </c>
      <c r="C390" s="100"/>
      <c r="D390" s="100"/>
      <c r="E390" s="100" t="s">
        <v>2777</v>
      </c>
      <c r="F390" s="100" t="s">
        <v>2778</v>
      </c>
      <c r="G390" s="100"/>
      <c r="H390" s="100"/>
      <c r="I390" s="100" t="s">
        <v>2670</v>
      </c>
      <c r="J390" s="100"/>
      <c r="K390" s="101" t="s">
        <v>1675</v>
      </c>
    </row>
    <row r="391" spans="1:11" ht="29" x14ac:dyDescent="0.2">
      <c r="A391" s="100" t="s">
        <v>714</v>
      </c>
      <c r="B391" s="100" t="s">
        <v>2779</v>
      </c>
      <c r="C391" s="100"/>
      <c r="D391" s="100"/>
      <c r="E391" s="100" t="s">
        <v>2780</v>
      </c>
      <c r="F391" s="100" t="s">
        <v>2778</v>
      </c>
      <c r="G391" s="100"/>
      <c r="H391" s="100"/>
      <c r="I391" s="100" t="s">
        <v>2670</v>
      </c>
      <c r="J391" s="100"/>
      <c r="K391" s="101" t="s">
        <v>1657</v>
      </c>
    </row>
    <row r="392" spans="1:11" ht="320" x14ac:dyDescent="0.2">
      <c r="A392" s="100" t="s">
        <v>738</v>
      </c>
      <c r="B392" s="100" t="s">
        <v>2781</v>
      </c>
      <c r="C392" s="100"/>
      <c r="D392" s="100"/>
      <c r="E392" s="100" t="s">
        <v>2782</v>
      </c>
      <c r="F392" s="100" t="s">
        <v>2783</v>
      </c>
      <c r="G392" s="100"/>
      <c r="H392" s="100"/>
      <c r="I392" s="100" t="s">
        <v>2670</v>
      </c>
      <c r="J392" s="100"/>
      <c r="K392" s="101" t="s">
        <v>2784</v>
      </c>
    </row>
    <row r="393" spans="1:11" ht="409.6" x14ac:dyDescent="0.2">
      <c r="A393" s="100" t="s">
        <v>1527</v>
      </c>
      <c r="B393" s="100" t="s">
        <v>2785</v>
      </c>
      <c r="C393" s="100"/>
      <c r="D393" s="100"/>
      <c r="E393" s="100" t="s">
        <v>2786</v>
      </c>
      <c r="F393" s="100" t="s">
        <v>2787</v>
      </c>
      <c r="G393" s="100"/>
      <c r="H393" s="100"/>
      <c r="I393" s="100" t="s">
        <v>2670</v>
      </c>
      <c r="J393" s="100"/>
      <c r="K393" s="101" t="s">
        <v>2788</v>
      </c>
    </row>
    <row r="394" spans="1:11" ht="409.6" x14ac:dyDescent="0.2">
      <c r="A394" s="100" t="s">
        <v>1527</v>
      </c>
      <c r="B394" s="100" t="s">
        <v>2789</v>
      </c>
      <c r="C394" s="100"/>
      <c r="D394" s="100"/>
      <c r="E394" s="100" t="s">
        <v>2790</v>
      </c>
      <c r="F394" s="100" t="s">
        <v>2787</v>
      </c>
      <c r="G394" s="100"/>
      <c r="H394" s="100"/>
      <c r="I394" s="100" t="s">
        <v>2670</v>
      </c>
      <c r="J394" s="100"/>
      <c r="K394" s="101" t="s">
        <v>2791</v>
      </c>
    </row>
    <row r="395" spans="1:11" ht="29" x14ac:dyDescent="0.2">
      <c r="A395" s="100" t="s">
        <v>834</v>
      </c>
      <c r="B395" s="100" t="s">
        <v>2792</v>
      </c>
      <c r="C395" s="100"/>
      <c r="D395" s="100"/>
      <c r="E395" s="100" t="s">
        <v>2793</v>
      </c>
      <c r="F395" s="100" t="s">
        <v>2794</v>
      </c>
      <c r="G395" s="100"/>
      <c r="H395" s="100"/>
      <c r="I395" s="100" t="s">
        <v>2670</v>
      </c>
      <c r="J395" s="100"/>
      <c r="K395" s="101" t="s">
        <v>1657</v>
      </c>
    </row>
    <row r="396" spans="1:11" ht="253" x14ac:dyDescent="0.2">
      <c r="A396" s="100" t="s">
        <v>866</v>
      </c>
      <c r="B396" s="100" t="s">
        <v>2795</v>
      </c>
      <c r="C396" s="100"/>
      <c r="D396" s="100"/>
      <c r="E396" s="100" t="s">
        <v>2796</v>
      </c>
      <c r="F396" s="100" t="s">
        <v>2797</v>
      </c>
      <c r="G396" s="100"/>
      <c r="H396" s="100"/>
      <c r="I396" s="100" t="s">
        <v>2670</v>
      </c>
      <c r="J396" s="100"/>
      <c r="K396" s="101" t="s">
        <v>2798</v>
      </c>
    </row>
    <row r="397" spans="1:11" ht="239" x14ac:dyDescent="0.2">
      <c r="A397" s="100" t="s">
        <v>866</v>
      </c>
      <c r="B397" s="100" t="s">
        <v>2799</v>
      </c>
      <c r="C397" s="100"/>
      <c r="D397" s="100"/>
      <c r="E397" s="100" t="s">
        <v>2800</v>
      </c>
      <c r="F397" s="100" t="s">
        <v>2797</v>
      </c>
      <c r="G397" s="100"/>
      <c r="H397" s="100"/>
      <c r="I397" s="100" t="s">
        <v>2670</v>
      </c>
      <c r="J397" s="100"/>
      <c r="K397" s="101" t="s">
        <v>2801</v>
      </c>
    </row>
    <row r="398" spans="1:11" ht="267" x14ac:dyDescent="0.2">
      <c r="A398" s="100" t="s">
        <v>878</v>
      </c>
      <c r="B398" s="100" t="s">
        <v>2802</v>
      </c>
      <c r="C398" s="100"/>
      <c r="D398" s="100"/>
      <c r="E398" s="100" t="s">
        <v>2803</v>
      </c>
      <c r="F398" s="100" t="s">
        <v>2804</v>
      </c>
      <c r="G398" s="100"/>
      <c r="H398" s="100"/>
      <c r="I398" s="100" t="s">
        <v>2670</v>
      </c>
      <c r="J398" s="100"/>
      <c r="K398" s="101" t="s">
        <v>2805</v>
      </c>
    </row>
    <row r="399" spans="1:11" ht="281" x14ac:dyDescent="0.2">
      <c r="A399" s="100" t="s">
        <v>878</v>
      </c>
      <c r="B399" s="100" t="s">
        <v>2806</v>
      </c>
      <c r="C399" s="100"/>
      <c r="D399" s="100"/>
      <c r="E399" s="100" t="s">
        <v>2807</v>
      </c>
      <c r="F399" s="100" t="s">
        <v>2804</v>
      </c>
      <c r="G399" s="100"/>
      <c r="H399" s="100"/>
      <c r="I399" s="100" t="s">
        <v>2670</v>
      </c>
      <c r="J399" s="100"/>
      <c r="K399" s="101" t="s">
        <v>2808</v>
      </c>
    </row>
    <row r="400" spans="1:11" ht="333" x14ac:dyDescent="0.2">
      <c r="A400" s="100" t="s">
        <v>892</v>
      </c>
      <c r="B400" s="100" t="s">
        <v>2809</v>
      </c>
      <c r="C400" s="100"/>
      <c r="D400" s="100"/>
      <c r="E400" s="100" t="s">
        <v>2810</v>
      </c>
      <c r="F400" s="100" t="s">
        <v>2811</v>
      </c>
      <c r="G400" s="100"/>
      <c r="H400" s="100"/>
      <c r="I400" s="100" t="s">
        <v>2670</v>
      </c>
      <c r="J400" s="100"/>
      <c r="K400" s="101" t="s">
        <v>2812</v>
      </c>
    </row>
    <row r="401" spans="1:11" ht="320" x14ac:dyDescent="0.2">
      <c r="A401" s="100" t="s">
        <v>892</v>
      </c>
      <c r="B401" s="100" t="s">
        <v>2813</v>
      </c>
      <c r="C401" s="100"/>
      <c r="D401" s="100"/>
      <c r="E401" s="100" t="s">
        <v>2814</v>
      </c>
      <c r="F401" s="100" t="s">
        <v>2811</v>
      </c>
      <c r="G401" s="100"/>
      <c r="H401" s="100"/>
      <c r="I401" s="100" t="s">
        <v>2670</v>
      </c>
      <c r="J401" s="100"/>
      <c r="K401" s="101" t="s">
        <v>2815</v>
      </c>
    </row>
    <row r="402" spans="1:11" ht="29" x14ac:dyDescent="0.2">
      <c r="A402" s="100" t="s">
        <v>798</v>
      </c>
      <c r="B402" s="100" t="e">
        <v>#NAME?</v>
      </c>
      <c r="C402" s="100"/>
      <c r="D402" s="100"/>
      <c r="E402" s="100" t="s">
        <v>2816</v>
      </c>
      <c r="F402" s="100" t="s">
        <v>2817</v>
      </c>
      <c r="G402" s="100"/>
      <c r="H402" s="100"/>
      <c r="I402" s="100" t="s">
        <v>2818</v>
      </c>
      <c r="J402" s="100"/>
      <c r="K402" s="101" t="s">
        <v>1540</v>
      </c>
    </row>
    <row r="403" spans="1:11" ht="320" x14ac:dyDescent="0.2">
      <c r="A403" s="100" t="s">
        <v>589</v>
      </c>
      <c r="B403" s="100" t="s">
        <v>2819</v>
      </c>
      <c r="C403" s="100"/>
      <c r="D403" s="100"/>
      <c r="E403" s="100" t="s">
        <v>2820</v>
      </c>
      <c r="F403" s="100" t="s">
        <v>2821</v>
      </c>
      <c r="G403" s="100"/>
      <c r="H403" s="100"/>
      <c r="I403" s="100" t="s">
        <v>2822</v>
      </c>
      <c r="J403" s="100"/>
      <c r="K403" s="101" t="s">
        <v>2823</v>
      </c>
    </row>
    <row r="404" spans="1:11" ht="320" x14ac:dyDescent="0.2">
      <c r="A404" s="100" t="s">
        <v>589</v>
      </c>
      <c r="B404" s="100" t="s">
        <v>2824</v>
      </c>
      <c r="C404" s="100"/>
      <c r="D404" s="100"/>
      <c r="E404" s="100" t="s">
        <v>2825</v>
      </c>
      <c r="F404" s="100" t="s">
        <v>2821</v>
      </c>
      <c r="G404" s="100"/>
      <c r="H404" s="100"/>
      <c r="I404" s="100" t="s">
        <v>2822</v>
      </c>
      <c r="J404" s="100"/>
      <c r="K404" s="101" t="s">
        <v>2823</v>
      </c>
    </row>
    <row r="405" spans="1:11" ht="43" x14ac:dyDescent="0.2">
      <c r="A405" s="100" t="s">
        <v>59</v>
      </c>
      <c r="B405" s="100" t="s">
        <v>2826</v>
      </c>
      <c r="C405" s="100" t="s">
        <v>1020</v>
      </c>
      <c r="D405" s="100"/>
      <c r="E405" s="100" t="s">
        <v>2827</v>
      </c>
      <c r="F405" s="101" t="s">
        <v>2828</v>
      </c>
      <c r="G405" s="100" t="s">
        <v>2829</v>
      </c>
      <c r="H405" s="100"/>
      <c r="I405" s="100" t="s">
        <v>2830</v>
      </c>
      <c r="J405" s="100"/>
      <c r="K405" s="101" t="s">
        <v>1540</v>
      </c>
    </row>
    <row r="406" spans="1:11" ht="29" x14ac:dyDescent="0.2">
      <c r="A406" s="100" t="s">
        <v>1399</v>
      </c>
      <c r="B406" s="100" t="s">
        <v>2831</v>
      </c>
      <c r="C406" s="100" t="s">
        <v>2832</v>
      </c>
      <c r="D406" s="100"/>
      <c r="E406" s="100" t="s">
        <v>2833</v>
      </c>
      <c r="F406" s="101" t="s">
        <v>2834</v>
      </c>
      <c r="G406" s="100"/>
      <c r="H406" s="100"/>
      <c r="I406" s="100" t="s">
        <v>2835</v>
      </c>
      <c r="J406" s="100"/>
      <c r="K406" s="101" t="s">
        <v>1540</v>
      </c>
    </row>
    <row r="407" spans="1:11" x14ac:dyDescent="0.2">
      <c r="A407" s="100" t="s">
        <v>36</v>
      </c>
      <c r="B407" s="100" t="s">
        <v>2836</v>
      </c>
      <c r="C407" s="100" t="s">
        <v>2837</v>
      </c>
      <c r="D407" s="100"/>
      <c r="E407" s="100" t="s">
        <v>2838</v>
      </c>
      <c r="F407" s="100" t="s">
        <v>2839</v>
      </c>
      <c r="G407" s="100"/>
      <c r="H407" s="100"/>
      <c r="I407" s="100" t="s">
        <v>2835</v>
      </c>
      <c r="J407" s="100"/>
      <c r="K407" s="100"/>
    </row>
    <row r="408" spans="1:11" ht="43" x14ac:dyDescent="0.2">
      <c r="A408" s="100" t="s">
        <v>119</v>
      </c>
      <c r="B408" s="100" t="s">
        <v>2840</v>
      </c>
      <c r="C408" s="100" t="s">
        <v>1209</v>
      </c>
      <c r="D408" s="100"/>
      <c r="E408" s="100" t="s">
        <v>2841</v>
      </c>
      <c r="F408" s="101" t="s">
        <v>2842</v>
      </c>
      <c r="G408" s="100"/>
      <c r="H408" s="100"/>
      <c r="I408" s="100" t="s">
        <v>2835</v>
      </c>
      <c r="J408" s="100"/>
      <c r="K408" s="101" t="s">
        <v>1540</v>
      </c>
    </row>
    <row r="409" spans="1:11" ht="43" x14ac:dyDescent="0.2">
      <c r="A409" s="100" t="s">
        <v>1525</v>
      </c>
      <c r="B409" s="100" t="s">
        <v>2843</v>
      </c>
      <c r="C409" s="100" t="s">
        <v>1209</v>
      </c>
      <c r="D409" s="100"/>
      <c r="E409" s="100" t="s">
        <v>1210</v>
      </c>
      <c r="F409" s="101" t="s">
        <v>2844</v>
      </c>
      <c r="G409" s="100"/>
      <c r="H409" s="100"/>
      <c r="I409" s="100" t="s">
        <v>2835</v>
      </c>
      <c r="J409" s="100">
        <v>110001</v>
      </c>
      <c r="K409" s="101" t="s">
        <v>1540</v>
      </c>
    </row>
    <row r="410" spans="1:11" ht="43" x14ac:dyDescent="0.2">
      <c r="A410" s="100" t="s">
        <v>687</v>
      </c>
      <c r="B410" s="100" t="s">
        <v>2845</v>
      </c>
      <c r="C410" s="100" t="s">
        <v>2846</v>
      </c>
      <c r="D410" s="100"/>
      <c r="E410" s="100" t="s">
        <v>2847</v>
      </c>
      <c r="F410" s="101" t="s">
        <v>2848</v>
      </c>
      <c r="G410" s="100" t="s">
        <v>2849</v>
      </c>
      <c r="H410" s="100"/>
      <c r="I410" s="100" t="s">
        <v>2835</v>
      </c>
      <c r="J410" s="100"/>
      <c r="K410" s="101" t="s">
        <v>1540</v>
      </c>
    </row>
    <row r="411" spans="1:11" ht="29" x14ac:dyDescent="0.2">
      <c r="A411" s="100" t="s">
        <v>1399</v>
      </c>
      <c r="B411" s="100" t="s">
        <v>2850</v>
      </c>
      <c r="C411" s="100" t="s">
        <v>2851</v>
      </c>
      <c r="D411" s="100"/>
      <c r="E411" s="100" t="s">
        <v>2852</v>
      </c>
      <c r="F411" s="101" t="s">
        <v>2834</v>
      </c>
      <c r="G411" s="100"/>
      <c r="H411" s="100"/>
      <c r="I411" s="100" t="s">
        <v>2835</v>
      </c>
      <c r="J411" s="100"/>
      <c r="K411" s="101" t="s">
        <v>1540</v>
      </c>
    </row>
    <row r="412" spans="1:11" ht="43" x14ac:dyDescent="0.2">
      <c r="A412" s="100" t="s">
        <v>68</v>
      </c>
      <c r="B412" s="100" t="s">
        <v>2853</v>
      </c>
      <c r="C412" s="100" t="s">
        <v>1198</v>
      </c>
      <c r="D412" s="100"/>
      <c r="E412" s="100" t="s">
        <v>2854</v>
      </c>
      <c r="F412" s="101" t="s">
        <v>2855</v>
      </c>
      <c r="G412" s="100" t="s">
        <v>2856</v>
      </c>
      <c r="H412" s="100"/>
      <c r="I412" s="100" t="s">
        <v>2835</v>
      </c>
      <c r="J412" s="100"/>
      <c r="K412" s="101" t="s">
        <v>1540</v>
      </c>
    </row>
    <row r="413" spans="1:11" ht="43" x14ac:dyDescent="0.2">
      <c r="A413" s="100" t="s">
        <v>73</v>
      </c>
      <c r="B413" s="100" t="s">
        <v>2857</v>
      </c>
      <c r="C413" s="100" t="s">
        <v>2858</v>
      </c>
      <c r="D413" s="100"/>
      <c r="E413" s="100" t="s">
        <v>2859</v>
      </c>
      <c r="F413" s="101" t="s">
        <v>2860</v>
      </c>
      <c r="G413" s="100">
        <v>9500022290</v>
      </c>
      <c r="H413" s="100"/>
      <c r="I413" s="100" t="s">
        <v>2835</v>
      </c>
      <c r="J413" s="100"/>
      <c r="K413" s="101" t="s">
        <v>1540</v>
      </c>
    </row>
    <row r="414" spans="1:11" ht="57" x14ac:dyDescent="0.2">
      <c r="A414" s="100" t="s">
        <v>392</v>
      </c>
      <c r="B414" s="100" t="s">
        <v>2861</v>
      </c>
      <c r="C414" s="100" t="s">
        <v>2862</v>
      </c>
      <c r="D414" s="100"/>
      <c r="E414" s="100" t="s">
        <v>2863</v>
      </c>
      <c r="F414" s="101" t="s">
        <v>2864</v>
      </c>
      <c r="G414" s="100" t="s">
        <v>2865</v>
      </c>
      <c r="H414" s="100"/>
      <c r="I414" s="100" t="s">
        <v>2835</v>
      </c>
      <c r="J414" s="100"/>
      <c r="K414" s="100"/>
    </row>
    <row r="415" spans="1:11" ht="29" x14ac:dyDescent="0.2">
      <c r="A415" s="100" t="s">
        <v>2866</v>
      </c>
      <c r="B415" s="100" t="s">
        <v>2867</v>
      </c>
      <c r="C415" s="100" t="s">
        <v>2868</v>
      </c>
      <c r="D415" s="100"/>
      <c r="E415" s="100" t="s">
        <v>2869</v>
      </c>
      <c r="F415" s="100" t="s">
        <v>2870</v>
      </c>
      <c r="G415" s="100" t="s">
        <v>2871</v>
      </c>
      <c r="H415" s="100"/>
      <c r="I415" s="100" t="s">
        <v>2835</v>
      </c>
      <c r="J415" s="100"/>
      <c r="K415" s="101" t="s">
        <v>1540</v>
      </c>
    </row>
    <row r="416" spans="1:11" ht="43" x14ac:dyDescent="0.2">
      <c r="A416" s="100" t="s">
        <v>113</v>
      </c>
      <c r="B416" s="100" t="s">
        <v>2872</v>
      </c>
      <c r="C416" s="100" t="s">
        <v>1134</v>
      </c>
      <c r="D416" s="100"/>
      <c r="E416" s="100" t="s">
        <v>2873</v>
      </c>
      <c r="F416" s="101" t="s">
        <v>2874</v>
      </c>
      <c r="G416" s="100">
        <v>9899361390</v>
      </c>
      <c r="H416" s="100"/>
      <c r="I416" s="100" t="s">
        <v>2835</v>
      </c>
      <c r="J416" s="100"/>
      <c r="K416" s="101" t="s">
        <v>1540</v>
      </c>
    </row>
    <row r="417" spans="1:11" ht="43" x14ac:dyDescent="0.2">
      <c r="A417" s="100" t="s">
        <v>119</v>
      </c>
      <c r="B417" s="100" t="s">
        <v>1070</v>
      </c>
      <c r="C417" s="100" t="s">
        <v>1071</v>
      </c>
      <c r="D417" s="100"/>
      <c r="E417" s="100" t="s">
        <v>1072</v>
      </c>
      <c r="F417" s="101" t="s">
        <v>2875</v>
      </c>
      <c r="G417" s="100"/>
      <c r="H417" s="100"/>
      <c r="I417" s="100" t="s">
        <v>2835</v>
      </c>
      <c r="J417" s="100">
        <v>110037</v>
      </c>
      <c r="K417" s="101" t="s">
        <v>1540</v>
      </c>
    </row>
    <row r="418" spans="1:11" ht="29" x14ac:dyDescent="0.2">
      <c r="A418" s="100" t="s">
        <v>1399</v>
      </c>
      <c r="B418" s="100" t="s">
        <v>2876</v>
      </c>
      <c r="C418" s="100" t="s">
        <v>2877</v>
      </c>
      <c r="D418" s="100"/>
      <c r="E418" s="100" t="s">
        <v>2878</v>
      </c>
      <c r="F418" s="101" t="s">
        <v>2834</v>
      </c>
      <c r="G418" s="100" t="s">
        <v>2879</v>
      </c>
      <c r="H418" s="100"/>
      <c r="I418" s="100" t="s">
        <v>2835</v>
      </c>
      <c r="J418" s="100"/>
      <c r="K418" s="101" t="s">
        <v>1540</v>
      </c>
    </row>
    <row r="419" spans="1:11" ht="43" x14ac:dyDescent="0.2">
      <c r="A419" s="100" t="s">
        <v>224</v>
      </c>
      <c r="B419" s="100" t="s">
        <v>2880</v>
      </c>
      <c r="C419" s="100" t="s">
        <v>1217</v>
      </c>
      <c r="D419" s="100"/>
      <c r="E419" s="100" t="s">
        <v>2881</v>
      </c>
      <c r="F419" s="101" t="s">
        <v>2842</v>
      </c>
      <c r="G419" s="100"/>
      <c r="H419" s="100"/>
      <c r="I419" s="100" t="s">
        <v>2835</v>
      </c>
      <c r="J419" s="100">
        <v>110001</v>
      </c>
      <c r="K419" s="101" t="s">
        <v>2882</v>
      </c>
    </row>
    <row r="420" spans="1:11" ht="43" x14ac:dyDescent="0.2">
      <c r="A420" s="100" t="s">
        <v>57</v>
      </c>
      <c r="B420" s="100" t="s">
        <v>2883</v>
      </c>
      <c r="C420" s="100" t="s">
        <v>2884</v>
      </c>
      <c r="D420" s="100"/>
      <c r="E420" s="100" t="s">
        <v>1218</v>
      </c>
      <c r="F420" s="101" t="s">
        <v>2844</v>
      </c>
      <c r="G420" s="100"/>
      <c r="H420" s="100"/>
      <c r="I420" s="100" t="s">
        <v>2835</v>
      </c>
      <c r="J420" s="100"/>
      <c r="K420" s="101" t="s">
        <v>1540</v>
      </c>
    </row>
    <row r="421" spans="1:11" ht="29" x14ac:dyDescent="0.2">
      <c r="A421" s="100" t="s">
        <v>304</v>
      </c>
      <c r="B421" s="100" t="s">
        <v>2885</v>
      </c>
      <c r="C421" s="100" t="s">
        <v>2886</v>
      </c>
      <c r="D421" s="100"/>
      <c r="E421" s="100" t="s">
        <v>2887</v>
      </c>
      <c r="F421" s="100" t="s">
        <v>2888</v>
      </c>
      <c r="G421" s="100" t="s">
        <v>2889</v>
      </c>
      <c r="H421" s="100"/>
      <c r="I421" s="100" t="s">
        <v>2835</v>
      </c>
      <c r="J421" s="100"/>
      <c r="K421" s="101" t="s">
        <v>1540</v>
      </c>
    </row>
    <row r="422" spans="1:11" ht="29" x14ac:dyDescent="0.2">
      <c r="A422" s="100" t="s">
        <v>1399</v>
      </c>
      <c r="B422" s="100" t="s">
        <v>2890</v>
      </c>
      <c r="C422" s="100" t="s">
        <v>2891</v>
      </c>
      <c r="D422" s="100"/>
      <c r="E422" s="100" t="s">
        <v>2892</v>
      </c>
      <c r="F422" s="101" t="s">
        <v>2834</v>
      </c>
      <c r="G422" s="100" t="s">
        <v>2893</v>
      </c>
      <c r="H422" s="100"/>
      <c r="I422" s="100" t="s">
        <v>2835</v>
      </c>
      <c r="J422" s="100"/>
      <c r="K422" s="101" t="s">
        <v>1540</v>
      </c>
    </row>
    <row r="423" spans="1:11" ht="57" x14ac:dyDescent="0.2">
      <c r="A423" s="100" t="s">
        <v>304</v>
      </c>
      <c r="B423" s="100" t="s">
        <v>2894</v>
      </c>
      <c r="C423" s="100" t="s">
        <v>2895</v>
      </c>
      <c r="D423" s="100"/>
      <c r="E423" s="100" t="s">
        <v>2896</v>
      </c>
      <c r="F423" s="101" t="s">
        <v>2897</v>
      </c>
      <c r="G423" s="100" t="s">
        <v>2898</v>
      </c>
      <c r="H423" s="100"/>
      <c r="I423" s="100" t="s">
        <v>2835</v>
      </c>
      <c r="J423" s="100"/>
      <c r="K423" s="101" t="s">
        <v>1540</v>
      </c>
    </row>
    <row r="424" spans="1:11" ht="29" x14ac:dyDescent="0.2">
      <c r="A424" s="100" t="s">
        <v>304</v>
      </c>
      <c r="B424" s="100" t="s">
        <v>2899</v>
      </c>
      <c r="C424" s="100" t="s">
        <v>2900</v>
      </c>
      <c r="D424" s="100"/>
      <c r="E424" s="100" t="s">
        <v>2901</v>
      </c>
      <c r="F424" s="100" t="s">
        <v>2888</v>
      </c>
      <c r="G424" s="100"/>
      <c r="H424" s="100"/>
      <c r="I424" s="100" t="s">
        <v>2835</v>
      </c>
      <c r="J424" s="100"/>
      <c r="K424" s="101" t="s">
        <v>1540</v>
      </c>
    </row>
    <row r="425" spans="1:11" x14ac:dyDescent="0.2">
      <c r="A425" s="100" t="s">
        <v>304</v>
      </c>
      <c r="B425" s="100" t="s">
        <v>2902</v>
      </c>
      <c r="C425" s="100" t="s">
        <v>2903</v>
      </c>
      <c r="D425" s="100" t="s">
        <v>2904</v>
      </c>
      <c r="E425" s="100" t="s">
        <v>2905</v>
      </c>
      <c r="F425" s="100" t="s">
        <v>2906</v>
      </c>
      <c r="G425" s="100" t="s">
        <v>2907</v>
      </c>
      <c r="H425" s="100"/>
      <c r="I425" s="100" t="s">
        <v>2835</v>
      </c>
      <c r="J425" s="100"/>
      <c r="K425" s="100"/>
    </row>
    <row r="426" spans="1:11" ht="29" x14ac:dyDescent="0.2">
      <c r="A426" s="100" t="s">
        <v>1399</v>
      </c>
      <c r="B426" s="100" t="s">
        <v>2908</v>
      </c>
      <c r="C426" s="100" t="s">
        <v>2909</v>
      </c>
      <c r="D426" s="100"/>
      <c r="E426" s="100" t="s">
        <v>2910</v>
      </c>
      <c r="F426" s="101" t="s">
        <v>2834</v>
      </c>
      <c r="G426" s="100"/>
      <c r="H426" s="100"/>
      <c r="I426" s="100" t="s">
        <v>2835</v>
      </c>
      <c r="J426" s="100"/>
      <c r="K426" s="101" t="s">
        <v>1540</v>
      </c>
    </row>
    <row r="427" spans="1:11" ht="29" x14ac:dyDescent="0.2">
      <c r="A427" s="100" t="s">
        <v>1399</v>
      </c>
      <c r="B427" s="100" t="s">
        <v>2911</v>
      </c>
      <c r="C427" s="100" t="s">
        <v>2912</v>
      </c>
      <c r="D427" s="100"/>
      <c r="E427" s="100" t="s">
        <v>2913</v>
      </c>
      <c r="F427" s="101" t="s">
        <v>2834</v>
      </c>
      <c r="G427" s="100"/>
      <c r="H427" s="100"/>
      <c r="I427" s="100" t="s">
        <v>2835</v>
      </c>
      <c r="J427" s="100"/>
      <c r="K427" s="101" t="s">
        <v>1540</v>
      </c>
    </row>
    <row r="428" spans="1:11" ht="29" x14ac:dyDescent="0.2">
      <c r="A428" s="100" t="s">
        <v>1399</v>
      </c>
      <c r="B428" s="100" t="s">
        <v>2914</v>
      </c>
      <c r="C428" s="100" t="s">
        <v>2915</v>
      </c>
      <c r="D428" s="100"/>
      <c r="E428" s="100" t="s">
        <v>2916</v>
      </c>
      <c r="F428" s="101" t="s">
        <v>2834</v>
      </c>
      <c r="G428" s="100"/>
      <c r="H428" s="100"/>
      <c r="I428" s="100" t="s">
        <v>2835</v>
      </c>
      <c r="J428" s="100"/>
      <c r="K428" s="101" t="s">
        <v>1540</v>
      </c>
    </row>
    <row r="429" spans="1:11" ht="71" x14ac:dyDescent="0.2">
      <c r="A429" s="100" t="s">
        <v>605</v>
      </c>
      <c r="B429" s="100" t="s">
        <v>2917</v>
      </c>
      <c r="C429" s="100"/>
      <c r="D429" s="100"/>
      <c r="E429" s="100" t="s">
        <v>2918</v>
      </c>
      <c r="F429" s="101" t="s">
        <v>2919</v>
      </c>
      <c r="G429" s="100" t="s">
        <v>2920</v>
      </c>
      <c r="H429" s="100"/>
      <c r="I429" s="100" t="s">
        <v>2835</v>
      </c>
      <c r="J429" s="100"/>
      <c r="K429" s="101" t="s">
        <v>1540</v>
      </c>
    </row>
    <row r="430" spans="1:11" x14ac:dyDescent="0.2">
      <c r="A430" s="100" t="s">
        <v>1524</v>
      </c>
      <c r="B430" s="100" t="s">
        <v>2921</v>
      </c>
      <c r="C430" s="100"/>
      <c r="D430" s="100"/>
      <c r="E430" s="100"/>
      <c r="F430" s="100" t="s">
        <v>2922</v>
      </c>
      <c r="G430" s="100" t="s">
        <v>2923</v>
      </c>
      <c r="H430" s="100"/>
      <c r="I430" s="100" t="s">
        <v>2835</v>
      </c>
      <c r="J430" s="100"/>
      <c r="K430" s="100"/>
    </row>
    <row r="431" spans="1:11" ht="71" x14ac:dyDescent="0.2">
      <c r="A431" s="100" t="s">
        <v>36</v>
      </c>
      <c r="B431" s="100" t="s">
        <v>2924</v>
      </c>
      <c r="C431" s="100" t="s">
        <v>2925</v>
      </c>
      <c r="D431" s="100"/>
      <c r="E431" s="100" t="s">
        <v>2926</v>
      </c>
      <c r="F431" s="101" t="s">
        <v>2927</v>
      </c>
      <c r="G431" s="100"/>
      <c r="H431" s="100"/>
      <c r="I431" s="100" t="s">
        <v>2928</v>
      </c>
      <c r="J431" s="100"/>
      <c r="K431" s="101" t="s">
        <v>1540</v>
      </c>
    </row>
    <row r="432" spans="1:11" ht="43" x14ac:dyDescent="0.2">
      <c r="A432" s="100" t="s">
        <v>36</v>
      </c>
      <c r="B432" s="100" t="s">
        <v>2929</v>
      </c>
      <c r="C432" s="100" t="s">
        <v>2572</v>
      </c>
      <c r="D432" s="100"/>
      <c r="E432" s="100" t="s">
        <v>2930</v>
      </c>
      <c r="F432" s="101" t="s">
        <v>2931</v>
      </c>
      <c r="G432" s="100" t="s">
        <v>2932</v>
      </c>
      <c r="H432" s="100"/>
      <c r="I432" s="100" t="s">
        <v>2933</v>
      </c>
      <c r="J432" s="100"/>
      <c r="K432" s="101" t="s">
        <v>1540</v>
      </c>
    </row>
    <row r="433" spans="1:11" ht="29" x14ac:dyDescent="0.2">
      <c r="A433" s="100" t="s">
        <v>36</v>
      </c>
      <c r="B433" s="100" t="s">
        <v>2934</v>
      </c>
      <c r="C433" s="100" t="s">
        <v>2935</v>
      </c>
      <c r="D433" s="100"/>
      <c r="E433" s="100" t="s">
        <v>2936</v>
      </c>
      <c r="F433" s="101" t="s">
        <v>2937</v>
      </c>
      <c r="G433" s="100" t="s">
        <v>2938</v>
      </c>
      <c r="H433" s="100"/>
      <c r="I433" s="100" t="s">
        <v>2939</v>
      </c>
      <c r="J433" s="100"/>
      <c r="K433" s="101" t="s">
        <v>1540</v>
      </c>
    </row>
    <row r="434" spans="1:11" ht="43" x14ac:dyDescent="0.2">
      <c r="A434" s="100" t="s">
        <v>59</v>
      </c>
      <c r="B434" s="100" t="s">
        <v>2940</v>
      </c>
      <c r="C434" s="100" t="s">
        <v>1103</v>
      </c>
      <c r="D434" s="100"/>
      <c r="E434" s="100" t="s">
        <v>2941</v>
      </c>
      <c r="F434" s="101" t="s">
        <v>2942</v>
      </c>
      <c r="G434" s="100" t="s">
        <v>2943</v>
      </c>
      <c r="H434" s="100"/>
      <c r="I434" s="100" t="s">
        <v>2944</v>
      </c>
      <c r="J434" s="100"/>
      <c r="K434" s="101" t="s">
        <v>1540</v>
      </c>
    </row>
    <row r="435" spans="1:11" ht="43" x14ac:dyDescent="0.2">
      <c r="A435" s="100" t="s">
        <v>113</v>
      </c>
      <c r="B435" s="100" t="s">
        <v>2945</v>
      </c>
      <c r="C435" s="100" t="s">
        <v>1134</v>
      </c>
      <c r="D435" s="100"/>
      <c r="E435" s="100" t="s">
        <v>2946</v>
      </c>
      <c r="F435" s="101" t="s">
        <v>2947</v>
      </c>
      <c r="G435" s="100" t="s">
        <v>2948</v>
      </c>
      <c r="H435" s="100"/>
      <c r="I435" s="100" t="s">
        <v>2949</v>
      </c>
      <c r="J435" s="100"/>
      <c r="K435" s="101" t="s">
        <v>1540</v>
      </c>
    </row>
    <row r="436" spans="1:11" x14ac:dyDescent="0.2">
      <c r="A436" s="100" t="s">
        <v>1520</v>
      </c>
      <c r="B436" s="100" t="s">
        <v>2950</v>
      </c>
      <c r="C436" s="100" t="s">
        <v>2951</v>
      </c>
      <c r="D436" s="100"/>
      <c r="E436" s="100" t="s">
        <v>2952</v>
      </c>
      <c r="F436" s="100" t="s">
        <v>2953</v>
      </c>
      <c r="G436" s="100">
        <f>886-931-255955</f>
        <v>-256000</v>
      </c>
      <c r="H436" s="100"/>
      <c r="I436" s="100" t="s">
        <v>2954</v>
      </c>
      <c r="J436" s="100"/>
      <c r="K436" s="100" t="s">
        <v>2955</v>
      </c>
    </row>
    <row r="437" spans="1:11" ht="29" x14ac:dyDescent="0.2">
      <c r="A437" s="100" t="s">
        <v>587</v>
      </c>
      <c r="B437" s="100" t="s">
        <v>2956</v>
      </c>
      <c r="C437" s="100" t="s">
        <v>2957</v>
      </c>
      <c r="D437" s="100"/>
      <c r="E437" s="100" t="s">
        <v>2958</v>
      </c>
      <c r="F437" s="101" t="s">
        <v>2959</v>
      </c>
      <c r="G437" s="100"/>
      <c r="H437" s="100"/>
      <c r="I437" s="100" t="s">
        <v>2960</v>
      </c>
      <c r="J437" s="100" t="s">
        <v>2961</v>
      </c>
      <c r="K437" s="100"/>
    </row>
    <row r="438" spans="1:11" ht="320" x14ac:dyDescent="0.2">
      <c r="A438" s="100" t="s">
        <v>499</v>
      </c>
      <c r="B438" s="100" t="s">
        <v>2962</v>
      </c>
      <c r="C438" s="100" t="s">
        <v>2963</v>
      </c>
      <c r="D438" s="100"/>
      <c r="E438" s="100" t="s">
        <v>2964</v>
      </c>
      <c r="F438" s="100" t="s">
        <v>2965</v>
      </c>
      <c r="G438" s="100" t="s">
        <v>2966</v>
      </c>
      <c r="H438" s="100"/>
      <c r="I438" s="100" t="s">
        <v>2967</v>
      </c>
      <c r="J438" s="100" t="s">
        <v>2961</v>
      </c>
      <c r="K438" s="101" t="s">
        <v>2968</v>
      </c>
    </row>
    <row r="439" spans="1:11" ht="346" x14ac:dyDescent="0.2">
      <c r="A439" s="100" t="s">
        <v>818</v>
      </c>
      <c r="B439" s="100" t="s">
        <v>2969</v>
      </c>
      <c r="C439" s="100"/>
      <c r="D439" s="100"/>
      <c r="E439" s="100" t="s">
        <v>2970</v>
      </c>
      <c r="F439" s="100" t="s">
        <v>2971</v>
      </c>
      <c r="G439" s="100"/>
      <c r="H439" s="100"/>
      <c r="I439" s="100" t="s">
        <v>2960</v>
      </c>
      <c r="J439" s="100"/>
      <c r="K439" s="101" t="s">
        <v>2972</v>
      </c>
    </row>
    <row r="440" spans="1:11" ht="359" x14ac:dyDescent="0.2">
      <c r="A440" s="100" t="s">
        <v>818</v>
      </c>
      <c r="B440" s="100" t="s">
        <v>2973</v>
      </c>
      <c r="C440" s="100"/>
      <c r="D440" s="100"/>
      <c r="E440" s="100" t="s">
        <v>2974</v>
      </c>
      <c r="F440" s="100" t="s">
        <v>2971</v>
      </c>
      <c r="G440" s="100"/>
      <c r="H440" s="100"/>
      <c r="I440" s="100" t="s">
        <v>2960</v>
      </c>
      <c r="J440" s="100"/>
      <c r="K440" s="101" t="s">
        <v>2975</v>
      </c>
    </row>
    <row r="441" spans="1:11" ht="409.6" x14ac:dyDescent="0.2">
      <c r="A441" s="100" t="s">
        <v>784</v>
      </c>
      <c r="B441" s="100" t="s">
        <v>2976</v>
      </c>
      <c r="C441" s="100"/>
      <c r="D441" s="100"/>
      <c r="E441" s="100" t="s">
        <v>2977</v>
      </c>
      <c r="F441" s="100" t="s">
        <v>2978</v>
      </c>
      <c r="G441" s="100"/>
      <c r="H441" s="100"/>
      <c r="I441" s="100" t="s">
        <v>2979</v>
      </c>
      <c r="J441" s="100"/>
      <c r="K441" s="101" t="s">
        <v>2980</v>
      </c>
    </row>
    <row r="442" spans="1:11" ht="398" x14ac:dyDescent="0.2">
      <c r="A442" s="100" t="s">
        <v>784</v>
      </c>
      <c r="B442" s="100" t="s">
        <v>2981</v>
      </c>
      <c r="C442" s="100"/>
      <c r="D442" s="100"/>
      <c r="E442" s="100" t="s">
        <v>2982</v>
      </c>
      <c r="F442" s="100" t="s">
        <v>2978</v>
      </c>
      <c r="G442" s="100"/>
      <c r="H442" s="100"/>
      <c r="I442" s="100" t="s">
        <v>2979</v>
      </c>
      <c r="J442" s="100"/>
      <c r="K442" s="101" t="s">
        <v>2983</v>
      </c>
    </row>
    <row r="443" spans="1:11" ht="43" x14ac:dyDescent="0.2">
      <c r="A443" s="100" t="s">
        <v>762</v>
      </c>
      <c r="B443" s="100" t="s">
        <v>2984</v>
      </c>
      <c r="C443" s="100"/>
      <c r="D443" s="100"/>
      <c r="E443" s="100" t="s">
        <v>2985</v>
      </c>
      <c r="F443" s="100" t="s">
        <v>2986</v>
      </c>
      <c r="G443" s="100"/>
      <c r="H443" s="100"/>
      <c r="I443" s="100" t="s">
        <v>2987</v>
      </c>
      <c r="J443" s="100"/>
      <c r="K443" s="101" t="s">
        <v>1775</v>
      </c>
    </row>
    <row r="444" spans="1:11" ht="29" x14ac:dyDescent="0.2">
      <c r="A444" s="100" t="s">
        <v>762</v>
      </c>
      <c r="B444" s="100" t="s">
        <v>2988</v>
      </c>
      <c r="C444" s="100"/>
      <c r="D444" s="100"/>
      <c r="E444" s="100" t="s">
        <v>2989</v>
      </c>
      <c r="F444" s="100" t="s">
        <v>2986</v>
      </c>
      <c r="G444" s="100"/>
      <c r="H444" s="100"/>
      <c r="I444" s="100" t="s">
        <v>2987</v>
      </c>
      <c r="J444" s="100"/>
      <c r="K444" s="101" t="s">
        <v>1657</v>
      </c>
    </row>
    <row r="445" spans="1:11" ht="372" x14ac:dyDescent="0.2">
      <c r="A445" s="100" t="s">
        <v>1522</v>
      </c>
      <c r="B445" s="100" t="s">
        <v>2990</v>
      </c>
      <c r="C445" s="100"/>
      <c r="D445" s="100"/>
      <c r="E445" s="100" t="s">
        <v>2991</v>
      </c>
      <c r="F445" s="100" t="s">
        <v>2992</v>
      </c>
      <c r="G445" s="100"/>
      <c r="H445" s="100"/>
      <c r="I445" s="100" t="s">
        <v>2993</v>
      </c>
      <c r="J445" s="100"/>
      <c r="K445" s="101" t="s">
        <v>2994</v>
      </c>
    </row>
    <row r="446" spans="1:11" ht="211" x14ac:dyDescent="0.2">
      <c r="A446" s="100" t="s">
        <v>593</v>
      </c>
      <c r="B446" s="100" t="s">
        <v>2995</v>
      </c>
      <c r="C446" s="100" t="s">
        <v>2996</v>
      </c>
      <c r="D446" s="100"/>
      <c r="E446" s="100" t="s">
        <v>2997</v>
      </c>
      <c r="F446" s="101" t="s">
        <v>2998</v>
      </c>
      <c r="G446" s="100" t="s">
        <v>2999</v>
      </c>
      <c r="H446" s="100"/>
      <c r="I446" s="100" t="s">
        <v>3000</v>
      </c>
      <c r="J446" s="100"/>
      <c r="K446" s="101" t="s">
        <v>3001</v>
      </c>
    </row>
    <row r="447" spans="1:11" ht="57" x14ac:dyDescent="0.2">
      <c r="A447" s="100" t="s">
        <v>561</v>
      </c>
      <c r="B447" s="100" t="s">
        <v>3002</v>
      </c>
      <c r="C447" s="100"/>
      <c r="D447" s="100"/>
      <c r="E447" s="100" t="s">
        <v>3003</v>
      </c>
      <c r="F447" s="101" t="s">
        <v>3004</v>
      </c>
      <c r="G447" s="100"/>
      <c r="H447" s="100"/>
      <c r="I447" s="100" t="s">
        <v>3005</v>
      </c>
      <c r="J447" s="100"/>
      <c r="K447" s="101" t="s">
        <v>1540</v>
      </c>
    </row>
    <row r="448" spans="1:11" ht="409.6" x14ac:dyDescent="0.2">
      <c r="A448" s="100" t="s">
        <v>473</v>
      </c>
      <c r="B448" s="100" t="s">
        <v>3006</v>
      </c>
      <c r="C448" s="100"/>
      <c r="D448" s="100"/>
      <c r="E448" s="100" t="s">
        <v>3007</v>
      </c>
      <c r="F448" s="100" t="s">
        <v>3008</v>
      </c>
      <c r="G448" s="100"/>
      <c r="H448" s="100"/>
      <c r="I448" s="100" t="s">
        <v>3009</v>
      </c>
      <c r="J448" s="100"/>
      <c r="K448" s="101" t="s">
        <v>3010</v>
      </c>
    </row>
    <row r="449" spans="1:11" ht="409.6" x14ac:dyDescent="0.2">
      <c r="A449" s="100" t="s">
        <v>473</v>
      </c>
      <c r="B449" s="100" t="s">
        <v>3011</v>
      </c>
      <c r="C449" s="100"/>
      <c r="D449" s="100"/>
      <c r="E449" s="100" t="s">
        <v>3012</v>
      </c>
      <c r="F449" s="100" t="s">
        <v>3008</v>
      </c>
      <c r="G449" s="100"/>
      <c r="H449" s="100"/>
      <c r="I449" s="100" t="s">
        <v>3009</v>
      </c>
      <c r="J449" s="100"/>
      <c r="K449" s="101" t="s">
        <v>3010</v>
      </c>
    </row>
    <row r="450" spans="1:11" ht="409.6" x14ac:dyDescent="0.2">
      <c r="A450" s="100" t="s">
        <v>611</v>
      </c>
      <c r="B450" s="100" t="s">
        <v>3013</v>
      </c>
      <c r="C450" s="100"/>
      <c r="D450" s="100"/>
      <c r="E450" s="100" t="s">
        <v>3014</v>
      </c>
      <c r="F450" s="100" t="s">
        <v>3015</v>
      </c>
      <c r="G450" s="100"/>
      <c r="H450" s="100"/>
      <c r="I450" s="100" t="s">
        <v>3009</v>
      </c>
      <c r="J450" s="100"/>
      <c r="K450" s="101" t="s">
        <v>3016</v>
      </c>
    </row>
    <row r="451" spans="1:11" ht="409.6" x14ac:dyDescent="0.2">
      <c r="A451" s="100" t="s">
        <v>611</v>
      </c>
      <c r="B451" s="100" t="s">
        <v>3017</v>
      </c>
      <c r="C451" s="100"/>
      <c r="D451" s="100"/>
      <c r="E451" s="100" t="s">
        <v>3018</v>
      </c>
      <c r="F451" s="100" t="s">
        <v>3015</v>
      </c>
      <c r="G451" s="100"/>
      <c r="H451" s="100"/>
      <c r="I451" s="100" t="s">
        <v>3009</v>
      </c>
      <c r="J451" s="100"/>
      <c r="K451" s="101" t="s">
        <v>3019</v>
      </c>
    </row>
    <row r="452" spans="1:11" ht="29" x14ac:dyDescent="0.2">
      <c r="A452" s="100" t="s">
        <v>796</v>
      </c>
      <c r="B452" s="100" t="s">
        <v>3020</v>
      </c>
      <c r="C452" s="100"/>
      <c r="D452" s="100"/>
      <c r="E452" s="100" t="s">
        <v>3021</v>
      </c>
      <c r="F452" s="100" t="s">
        <v>3022</v>
      </c>
      <c r="G452" s="100"/>
      <c r="H452" s="100"/>
      <c r="I452" s="100" t="s">
        <v>3009</v>
      </c>
      <c r="J452" s="100"/>
      <c r="K452" s="101" t="s">
        <v>1657</v>
      </c>
    </row>
    <row r="453" spans="1:11" ht="29" x14ac:dyDescent="0.2">
      <c r="A453" s="100" t="s">
        <v>800</v>
      </c>
      <c r="B453" s="100" t="s">
        <v>3023</v>
      </c>
      <c r="C453" s="100"/>
      <c r="D453" s="100"/>
      <c r="E453" s="100" t="s">
        <v>3024</v>
      </c>
      <c r="F453" s="100" t="s">
        <v>3025</v>
      </c>
      <c r="G453" s="100"/>
      <c r="H453" s="100"/>
      <c r="I453" s="100" t="s">
        <v>3009</v>
      </c>
      <c r="J453" s="100"/>
      <c r="K453" s="101" t="s">
        <v>1657</v>
      </c>
    </row>
    <row r="454" spans="1:11" ht="43" x14ac:dyDescent="0.2">
      <c r="A454" s="100" t="s">
        <v>850</v>
      </c>
      <c r="B454" s="100" t="s">
        <v>3026</v>
      </c>
      <c r="C454" s="100"/>
      <c r="D454" s="100"/>
      <c r="E454" s="100" t="s">
        <v>3027</v>
      </c>
      <c r="F454" s="100" t="s">
        <v>3028</v>
      </c>
      <c r="G454" s="100"/>
      <c r="H454" s="100"/>
      <c r="I454" s="100" t="s">
        <v>3009</v>
      </c>
      <c r="J454" s="100"/>
      <c r="K454" s="101" t="s">
        <v>1775</v>
      </c>
    </row>
    <row r="455" spans="1:11" ht="29" x14ac:dyDescent="0.2">
      <c r="A455" s="100" t="s">
        <v>850</v>
      </c>
      <c r="B455" s="100" t="s">
        <v>3029</v>
      </c>
      <c r="C455" s="100"/>
      <c r="D455" s="100"/>
      <c r="E455" s="100" t="s">
        <v>3030</v>
      </c>
      <c r="F455" s="100" t="s">
        <v>3028</v>
      </c>
      <c r="G455" s="100"/>
      <c r="H455" s="100"/>
      <c r="I455" s="100" t="s">
        <v>3009</v>
      </c>
      <c r="J455" s="100"/>
      <c r="K455" s="101" t="s">
        <v>1657</v>
      </c>
    </row>
    <row r="456" spans="1:11" ht="281" x14ac:dyDescent="0.2">
      <c r="A456" s="100" t="s">
        <v>397</v>
      </c>
      <c r="B456" s="100" t="s">
        <v>3031</v>
      </c>
      <c r="C456" s="100"/>
      <c r="D456" s="100"/>
      <c r="E456" s="100" t="s">
        <v>3032</v>
      </c>
      <c r="F456" s="100" t="s">
        <v>3033</v>
      </c>
      <c r="G456" s="100"/>
      <c r="H456" s="100"/>
      <c r="I456" s="100" t="s">
        <v>3034</v>
      </c>
      <c r="J456" s="100"/>
      <c r="K456" s="101" t="s">
        <v>3035</v>
      </c>
    </row>
    <row r="457" spans="1:11" ht="267" x14ac:dyDescent="0.2">
      <c r="A457" s="100" t="s">
        <v>397</v>
      </c>
      <c r="B457" s="100" t="s">
        <v>3036</v>
      </c>
      <c r="C457" s="100"/>
      <c r="D457" s="100"/>
      <c r="E457" s="100" t="s">
        <v>3037</v>
      </c>
      <c r="F457" s="100" t="s">
        <v>3033</v>
      </c>
      <c r="G457" s="100"/>
      <c r="H457" s="100"/>
      <c r="I457" s="100" t="s">
        <v>3034</v>
      </c>
      <c r="J457" s="100"/>
      <c r="K457" s="101" t="s">
        <v>3038</v>
      </c>
    </row>
    <row r="458" spans="1:11" ht="169" x14ac:dyDescent="0.2">
      <c r="A458" s="100" t="s">
        <v>675</v>
      </c>
      <c r="B458" s="100" t="s">
        <v>3039</v>
      </c>
      <c r="C458" s="100"/>
      <c r="D458" s="100"/>
      <c r="E458" s="100" t="s">
        <v>3040</v>
      </c>
      <c r="F458" s="100" t="s">
        <v>3041</v>
      </c>
      <c r="G458" s="100"/>
      <c r="H458" s="100"/>
      <c r="I458" s="100" t="s">
        <v>3042</v>
      </c>
      <c r="J458" s="100"/>
      <c r="K458" s="101" t="s">
        <v>3043</v>
      </c>
    </row>
    <row r="459" spans="1:11" ht="359" x14ac:dyDescent="0.2">
      <c r="A459" s="100" t="s">
        <v>629</v>
      </c>
      <c r="B459" s="100" t="s">
        <v>3044</v>
      </c>
      <c r="C459" s="100"/>
      <c r="D459" s="100"/>
      <c r="E459" s="100" t="s">
        <v>3045</v>
      </c>
      <c r="F459" s="100" t="s">
        <v>3046</v>
      </c>
      <c r="G459" s="100"/>
      <c r="H459" s="100"/>
      <c r="I459" s="100" t="s">
        <v>3047</v>
      </c>
      <c r="J459" s="100"/>
      <c r="K459" s="101" t="s">
        <v>3048</v>
      </c>
    </row>
    <row r="460" spans="1:11" ht="346" x14ac:dyDescent="0.2">
      <c r="A460" s="100" t="s">
        <v>629</v>
      </c>
      <c r="B460" s="100" t="s">
        <v>3049</v>
      </c>
      <c r="C460" s="100"/>
      <c r="D460" s="100"/>
      <c r="E460" s="100" t="s">
        <v>3050</v>
      </c>
      <c r="F460" s="100" t="s">
        <v>3046</v>
      </c>
      <c r="G460" s="100"/>
      <c r="H460" s="100"/>
      <c r="I460" s="100" t="s">
        <v>3047</v>
      </c>
      <c r="J460" s="100"/>
      <c r="K460" s="101" t="s">
        <v>3051</v>
      </c>
    </row>
    <row r="461" spans="1:11" ht="29" x14ac:dyDescent="0.2">
      <c r="A461" s="100" t="s">
        <v>450</v>
      </c>
      <c r="B461" s="100" t="s">
        <v>3052</v>
      </c>
      <c r="C461" s="100" t="s">
        <v>1387</v>
      </c>
      <c r="D461" s="100"/>
      <c r="E461" s="100" t="s">
        <v>3053</v>
      </c>
      <c r="F461" s="101" t="s">
        <v>3054</v>
      </c>
      <c r="G461" s="100" t="s">
        <v>3055</v>
      </c>
      <c r="H461" s="100"/>
      <c r="I461" s="100" t="s">
        <v>3056</v>
      </c>
      <c r="J461" s="100"/>
      <c r="K461" s="101" t="s">
        <v>1540</v>
      </c>
    </row>
    <row r="462" spans="1:11" ht="29" x14ac:dyDescent="0.2">
      <c r="A462" s="100" t="s">
        <v>130</v>
      </c>
      <c r="B462" s="100" t="s">
        <v>3057</v>
      </c>
      <c r="C462" s="100" t="s">
        <v>3058</v>
      </c>
      <c r="D462" s="100"/>
      <c r="E462" s="100" t="s">
        <v>3059</v>
      </c>
      <c r="F462" s="101" t="s">
        <v>3060</v>
      </c>
      <c r="G462" s="100" t="s">
        <v>3061</v>
      </c>
      <c r="H462" s="100"/>
      <c r="I462" s="100" t="s">
        <v>3062</v>
      </c>
      <c r="J462" s="100"/>
      <c r="K462" s="101" t="s">
        <v>1540</v>
      </c>
    </row>
    <row r="463" spans="1:11" ht="29" x14ac:dyDescent="0.2">
      <c r="A463" s="100" t="s">
        <v>130</v>
      </c>
      <c r="B463" s="100" t="s">
        <v>1140</v>
      </c>
      <c r="C463" s="100" t="s">
        <v>1141</v>
      </c>
      <c r="D463" s="100"/>
      <c r="E463" s="100" t="s">
        <v>1142</v>
      </c>
      <c r="F463" s="101" t="s">
        <v>3060</v>
      </c>
      <c r="G463" s="100" t="s">
        <v>1143</v>
      </c>
      <c r="H463" s="100"/>
      <c r="I463" s="100" t="s">
        <v>3062</v>
      </c>
      <c r="J463" s="100"/>
      <c r="K463" s="101" t="s">
        <v>1540</v>
      </c>
    </row>
    <row r="464" spans="1:11" ht="29" x14ac:dyDescent="0.2">
      <c r="A464" s="100" t="s">
        <v>513</v>
      </c>
      <c r="B464" s="100" t="s">
        <v>3063</v>
      </c>
      <c r="C464" s="100" t="s">
        <v>3064</v>
      </c>
      <c r="D464" s="100"/>
      <c r="E464" s="100" t="s">
        <v>3065</v>
      </c>
      <c r="F464" s="100" t="s">
        <v>3066</v>
      </c>
      <c r="G464" s="100"/>
      <c r="H464" s="100"/>
      <c r="I464" s="100" t="s">
        <v>3067</v>
      </c>
      <c r="J464" s="100"/>
      <c r="K464" s="101" t="s">
        <v>1540</v>
      </c>
    </row>
    <row r="465" spans="1:11" ht="57" x14ac:dyDescent="0.2">
      <c r="A465" s="100" t="s">
        <v>552</v>
      </c>
      <c r="B465" s="100" t="s">
        <v>3068</v>
      </c>
      <c r="C465" s="100" t="s">
        <v>3069</v>
      </c>
      <c r="D465" s="100"/>
      <c r="E465" s="100" t="s">
        <v>3070</v>
      </c>
      <c r="F465" s="101" t="s">
        <v>3071</v>
      </c>
      <c r="G465" s="100"/>
      <c r="H465" s="100"/>
      <c r="I465" s="100" t="s">
        <v>3072</v>
      </c>
      <c r="J465" s="100"/>
      <c r="K465" s="101" t="s">
        <v>1540</v>
      </c>
    </row>
    <row r="466" spans="1:11" x14ac:dyDescent="0.2">
      <c r="A466" s="100" t="s">
        <v>304</v>
      </c>
      <c r="B466" s="100" t="s">
        <v>3073</v>
      </c>
      <c r="C466" s="100" t="s">
        <v>3074</v>
      </c>
      <c r="D466" s="100" t="s">
        <v>3075</v>
      </c>
      <c r="E466" s="100" t="s">
        <v>3076</v>
      </c>
      <c r="F466" s="100" t="s">
        <v>3077</v>
      </c>
      <c r="G466" s="100" t="s">
        <v>3078</v>
      </c>
      <c r="H466" s="100"/>
      <c r="I466" s="100" t="s">
        <v>3072</v>
      </c>
      <c r="J466" s="100"/>
      <c r="K466" s="100"/>
    </row>
    <row r="467" spans="1:11" ht="29" x14ac:dyDescent="0.2">
      <c r="A467" s="100" t="s">
        <v>266</v>
      </c>
      <c r="B467" s="100" t="s">
        <v>3079</v>
      </c>
      <c r="C467" s="100" t="s">
        <v>1020</v>
      </c>
      <c r="D467" s="100"/>
      <c r="E467" s="100"/>
      <c r="F467" s="100" t="s">
        <v>3080</v>
      </c>
      <c r="G467" s="100">
        <v>6596664976</v>
      </c>
      <c r="H467" s="100"/>
      <c r="I467" s="100" t="s">
        <v>3072</v>
      </c>
      <c r="J467" s="100"/>
      <c r="K467" s="101" t="s">
        <v>3081</v>
      </c>
    </row>
    <row r="468" spans="1:11" ht="113" x14ac:dyDescent="0.2">
      <c r="A468" s="100" t="s">
        <v>304</v>
      </c>
      <c r="B468" s="100" t="s">
        <v>3082</v>
      </c>
      <c r="C468" s="100" t="s">
        <v>3083</v>
      </c>
      <c r="D468" s="100"/>
      <c r="E468" s="100" t="s">
        <v>3084</v>
      </c>
      <c r="F468" s="101" t="s">
        <v>3085</v>
      </c>
      <c r="G468" s="100" t="s">
        <v>3086</v>
      </c>
      <c r="H468" s="100"/>
      <c r="I468" s="100" t="s">
        <v>3072</v>
      </c>
      <c r="J468" s="100"/>
      <c r="K468" s="101" t="s">
        <v>3087</v>
      </c>
    </row>
    <row r="469" spans="1:11" ht="57" x14ac:dyDescent="0.2">
      <c r="A469" s="100" t="s">
        <v>60</v>
      </c>
      <c r="B469" s="100" t="s">
        <v>3088</v>
      </c>
      <c r="C469" s="100" t="s">
        <v>3089</v>
      </c>
      <c r="D469" s="100"/>
      <c r="E469" s="100" t="s">
        <v>3090</v>
      </c>
      <c r="F469" s="101" t="s">
        <v>3091</v>
      </c>
      <c r="G469" s="100" t="s">
        <v>3092</v>
      </c>
      <c r="H469" s="100"/>
      <c r="I469" s="100" t="s">
        <v>3072</v>
      </c>
      <c r="J469" s="100"/>
      <c r="K469" s="101" t="s">
        <v>1540</v>
      </c>
    </row>
    <row r="470" spans="1:11" ht="43" x14ac:dyDescent="0.2">
      <c r="A470" s="100" t="s">
        <v>60</v>
      </c>
      <c r="B470" s="100" t="s">
        <v>3093</v>
      </c>
      <c r="C470" s="100" t="s">
        <v>3094</v>
      </c>
      <c r="D470" s="100"/>
      <c r="E470" s="100" t="s">
        <v>3095</v>
      </c>
      <c r="F470" s="101" t="s">
        <v>3096</v>
      </c>
      <c r="G470" s="100" t="s">
        <v>3097</v>
      </c>
      <c r="H470" s="100"/>
      <c r="I470" s="100" t="s">
        <v>3072</v>
      </c>
      <c r="J470" s="100"/>
      <c r="K470" s="101" t="s">
        <v>1540</v>
      </c>
    </row>
    <row r="471" spans="1:11" ht="409.6" x14ac:dyDescent="0.2">
      <c r="A471" s="100" t="s">
        <v>507</v>
      </c>
      <c r="B471" s="100" t="s">
        <v>3098</v>
      </c>
      <c r="C471" s="100"/>
      <c r="D471" s="100"/>
      <c r="E471" s="100" t="s">
        <v>3099</v>
      </c>
      <c r="F471" s="100" t="s">
        <v>3100</v>
      </c>
      <c r="G471" s="100"/>
      <c r="H471" s="100"/>
      <c r="I471" s="100" t="s">
        <v>3072</v>
      </c>
      <c r="J471" s="100"/>
      <c r="K471" s="101" t="s">
        <v>3101</v>
      </c>
    </row>
    <row r="472" spans="1:11" ht="409.6" x14ac:dyDescent="0.2">
      <c r="A472" s="100" t="s">
        <v>507</v>
      </c>
      <c r="B472" s="100" t="s">
        <v>3102</v>
      </c>
      <c r="C472" s="100"/>
      <c r="D472" s="100"/>
      <c r="E472" s="100" t="s">
        <v>3103</v>
      </c>
      <c r="F472" s="100" t="s">
        <v>3100</v>
      </c>
      <c r="G472" s="100"/>
      <c r="H472" s="100"/>
      <c r="I472" s="100" t="s">
        <v>3072</v>
      </c>
      <c r="J472" s="100"/>
      <c r="K472" s="101" t="s">
        <v>3104</v>
      </c>
    </row>
    <row r="473" spans="1:11" ht="57" x14ac:dyDescent="0.2">
      <c r="A473" s="100" t="s">
        <v>3105</v>
      </c>
      <c r="B473" s="100" t="s">
        <v>3106</v>
      </c>
      <c r="C473" s="100" t="s">
        <v>3107</v>
      </c>
      <c r="D473" s="100"/>
      <c r="E473" s="100" t="s">
        <v>3108</v>
      </c>
      <c r="F473" s="101" t="s">
        <v>3109</v>
      </c>
      <c r="G473" s="100" t="s">
        <v>3110</v>
      </c>
      <c r="H473" s="100"/>
      <c r="I473" s="100" t="s">
        <v>3111</v>
      </c>
      <c r="J473" s="100"/>
      <c r="K473" s="101" t="s">
        <v>1540</v>
      </c>
    </row>
    <row r="474" spans="1:11" x14ac:dyDescent="0.2">
      <c r="A474" s="100" t="s">
        <v>285</v>
      </c>
      <c r="B474" s="100" t="s">
        <v>3112</v>
      </c>
      <c r="C474" s="100" t="s">
        <v>3113</v>
      </c>
      <c r="D474" s="100" t="s">
        <v>3114</v>
      </c>
      <c r="E474" s="100" t="s">
        <v>3115</v>
      </c>
      <c r="F474" s="100" t="s">
        <v>3116</v>
      </c>
      <c r="G474" s="100" t="s">
        <v>3117</v>
      </c>
      <c r="H474" s="100"/>
      <c r="I474" s="100" t="s">
        <v>3118</v>
      </c>
      <c r="J474" s="100"/>
      <c r="K474" s="100" t="s">
        <v>3119</v>
      </c>
    </row>
    <row r="475" spans="1:11" ht="29" x14ac:dyDescent="0.2">
      <c r="A475" s="100" t="s">
        <v>868</v>
      </c>
      <c r="B475" s="100" t="s">
        <v>3120</v>
      </c>
      <c r="C475" s="100" t="s">
        <v>1387</v>
      </c>
      <c r="D475" s="100"/>
      <c r="E475" s="100" t="s">
        <v>3121</v>
      </c>
      <c r="F475" s="101" t="s">
        <v>3122</v>
      </c>
      <c r="G475" s="100" t="s">
        <v>3123</v>
      </c>
      <c r="H475" s="100"/>
      <c r="I475" s="100" t="s">
        <v>3124</v>
      </c>
      <c r="J475" s="100"/>
      <c r="K475" s="101" t="s">
        <v>1540</v>
      </c>
    </row>
    <row r="476" spans="1:11" ht="29" x14ac:dyDescent="0.2">
      <c r="A476" s="100" t="s">
        <v>868</v>
      </c>
      <c r="B476" s="100" t="s">
        <v>3125</v>
      </c>
      <c r="C476" s="100" t="s">
        <v>3126</v>
      </c>
      <c r="D476" s="100"/>
      <c r="E476" s="100" t="s">
        <v>3127</v>
      </c>
      <c r="F476" s="101" t="s">
        <v>3122</v>
      </c>
      <c r="G476" s="100" t="s">
        <v>3128</v>
      </c>
      <c r="H476" s="100"/>
      <c r="I476" s="100" t="s">
        <v>3124</v>
      </c>
      <c r="J476" s="100"/>
      <c r="K476" s="101" t="s">
        <v>1540</v>
      </c>
    </row>
    <row r="477" spans="1:11" ht="29" x14ac:dyDescent="0.2">
      <c r="A477" s="100" t="s">
        <v>868</v>
      </c>
      <c r="B477" s="100" t="s">
        <v>3129</v>
      </c>
      <c r="C477" s="100" t="s">
        <v>3130</v>
      </c>
      <c r="D477" s="100"/>
      <c r="E477" s="100" t="s">
        <v>3131</v>
      </c>
      <c r="F477" s="101" t="s">
        <v>3122</v>
      </c>
      <c r="G477" s="100" t="s">
        <v>3132</v>
      </c>
      <c r="H477" s="100"/>
      <c r="I477" s="100" t="s">
        <v>3124</v>
      </c>
      <c r="J477" s="100"/>
      <c r="K477" s="101" t="s">
        <v>1540</v>
      </c>
    </row>
    <row r="478" spans="1:11" ht="113" x14ac:dyDescent="0.2">
      <c r="A478" s="100" t="s">
        <v>874</v>
      </c>
      <c r="B478" s="100" t="s">
        <v>3133</v>
      </c>
      <c r="C478" s="100" t="s">
        <v>1761</v>
      </c>
      <c r="D478" s="100"/>
      <c r="E478" s="100"/>
      <c r="F478" s="101" t="s">
        <v>3134</v>
      </c>
      <c r="G478" s="100" t="s">
        <v>3135</v>
      </c>
      <c r="H478" s="100"/>
      <c r="I478" s="100" t="s">
        <v>3124</v>
      </c>
      <c r="J478" s="100"/>
      <c r="K478" s="101" t="s">
        <v>3136</v>
      </c>
    </row>
    <row r="479" spans="1:11" ht="346" x14ac:dyDescent="0.2">
      <c r="A479" s="100" t="s">
        <v>523</v>
      </c>
      <c r="B479" s="100" t="s">
        <v>3137</v>
      </c>
      <c r="C479" s="100"/>
      <c r="D479" s="100"/>
      <c r="E479" s="100" t="s">
        <v>3138</v>
      </c>
      <c r="F479" s="100" t="s">
        <v>3139</v>
      </c>
      <c r="G479" s="100"/>
      <c r="H479" s="100"/>
      <c r="I479" s="100" t="s">
        <v>3140</v>
      </c>
      <c r="J479" s="100"/>
      <c r="K479" s="101" t="s">
        <v>3141</v>
      </c>
    </row>
    <row r="480" spans="1:11" ht="29" x14ac:dyDescent="0.2">
      <c r="A480" s="100" t="s">
        <v>724</v>
      </c>
      <c r="B480" s="100" t="s">
        <v>3142</v>
      </c>
      <c r="C480" s="100"/>
      <c r="D480" s="100"/>
      <c r="E480" s="100" t="s">
        <v>3143</v>
      </c>
      <c r="F480" s="100" t="s">
        <v>3144</v>
      </c>
      <c r="G480" s="100"/>
      <c r="H480" s="100"/>
      <c r="I480" s="100" t="s">
        <v>3140</v>
      </c>
      <c r="J480" s="100"/>
      <c r="K480" s="101" t="s">
        <v>1657</v>
      </c>
    </row>
    <row r="481" spans="1:11" ht="29" x14ac:dyDescent="0.2">
      <c r="A481" s="100" t="s">
        <v>399</v>
      </c>
      <c r="B481" s="100" t="s">
        <v>3145</v>
      </c>
      <c r="C481" s="100" t="s">
        <v>3146</v>
      </c>
      <c r="D481" s="100"/>
      <c r="E481" s="100" t="s">
        <v>3147</v>
      </c>
      <c r="F481" s="101" t="s">
        <v>3148</v>
      </c>
      <c r="G481" s="100"/>
      <c r="H481" s="100"/>
      <c r="I481" s="100" t="s">
        <v>1236</v>
      </c>
      <c r="J481" s="100"/>
      <c r="K481" s="101" t="s">
        <v>1540</v>
      </c>
    </row>
    <row r="482" spans="1:11" ht="43" x14ac:dyDescent="0.2">
      <c r="A482" s="100" t="s">
        <v>86</v>
      </c>
      <c r="B482" s="100" t="s">
        <v>1107</v>
      </c>
      <c r="C482" s="100" t="s">
        <v>1108</v>
      </c>
      <c r="D482" s="100"/>
      <c r="E482" s="100" t="s">
        <v>1109</v>
      </c>
      <c r="F482" s="101" t="s">
        <v>3149</v>
      </c>
      <c r="G482" s="100" t="s">
        <v>3150</v>
      </c>
      <c r="H482" s="100"/>
      <c r="I482" s="100" t="s">
        <v>3151</v>
      </c>
      <c r="J482" s="100"/>
      <c r="K482" s="101" t="s">
        <v>1540</v>
      </c>
    </row>
    <row r="483" spans="1:11" ht="43" x14ac:dyDescent="0.2">
      <c r="A483" s="100" t="s">
        <v>86</v>
      </c>
      <c r="B483" s="100" t="s">
        <v>1111</v>
      </c>
      <c r="C483" s="100" t="s">
        <v>1108</v>
      </c>
      <c r="D483" s="100"/>
      <c r="E483" s="100" t="s">
        <v>1112</v>
      </c>
      <c r="F483" s="101" t="s">
        <v>3149</v>
      </c>
      <c r="G483" s="100" t="s">
        <v>3152</v>
      </c>
      <c r="H483" s="100"/>
      <c r="I483" s="100" t="s">
        <v>3151</v>
      </c>
      <c r="J483" s="100"/>
      <c r="K483" s="101" t="s">
        <v>1540</v>
      </c>
    </row>
    <row r="484" spans="1:11" ht="43" x14ac:dyDescent="0.2">
      <c r="A484" s="100" t="s">
        <v>86</v>
      </c>
      <c r="B484" s="100" t="s">
        <v>3153</v>
      </c>
      <c r="C484" s="100"/>
      <c r="D484" s="100"/>
      <c r="E484" s="100" t="s">
        <v>3154</v>
      </c>
      <c r="F484" s="101" t="s">
        <v>3149</v>
      </c>
      <c r="G484" s="100" t="s">
        <v>3155</v>
      </c>
      <c r="H484" s="100"/>
      <c r="I484" s="100" t="s">
        <v>3151</v>
      </c>
      <c r="J484" s="100"/>
      <c r="K484" s="101" t="s">
        <v>1540</v>
      </c>
    </row>
    <row r="485" spans="1:11" ht="409.6" x14ac:dyDescent="0.2">
      <c r="A485" s="100" t="s">
        <v>710</v>
      </c>
      <c r="B485" s="100" t="s">
        <v>3156</v>
      </c>
      <c r="C485" s="100" t="s">
        <v>3157</v>
      </c>
      <c r="D485" s="100"/>
      <c r="E485" s="100" t="s">
        <v>3158</v>
      </c>
      <c r="F485" s="100" t="s">
        <v>3159</v>
      </c>
      <c r="G485" s="100"/>
      <c r="H485" s="100"/>
      <c r="I485" s="100" t="s">
        <v>3160</v>
      </c>
      <c r="J485" s="100" t="s">
        <v>3161</v>
      </c>
      <c r="K485" s="101" t="s">
        <v>3162</v>
      </c>
    </row>
    <row r="486" spans="1:11" ht="409.6" x14ac:dyDescent="0.2">
      <c r="A486" s="100" t="s">
        <v>509</v>
      </c>
      <c r="B486" s="100" t="s">
        <v>3163</v>
      </c>
      <c r="C486" s="100"/>
      <c r="D486" s="100"/>
      <c r="E486" s="100" t="s">
        <v>3164</v>
      </c>
      <c r="F486" s="100" t="s">
        <v>3165</v>
      </c>
      <c r="G486" s="100"/>
      <c r="H486" s="100"/>
      <c r="I486" s="100" t="s">
        <v>3166</v>
      </c>
      <c r="J486" s="100"/>
      <c r="K486" s="101" t="s">
        <v>3167</v>
      </c>
    </row>
    <row r="487" spans="1:11" ht="29" x14ac:dyDescent="0.2">
      <c r="A487" s="100" t="s">
        <v>127</v>
      </c>
      <c r="B487" s="100" t="s">
        <v>1125</v>
      </c>
      <c r="C487" s="100" t="s">
        <v>1126</v>
      </c>
      <c r="D487" s="100"/>
      <c r="E487" s="100" t="s">
        <v>1127</v>
      </c>
      <c r="F487" s="100" t="s">
        <v>3168</v>
      </c>
      <c r="G487" s="100"/>
      <c r="H487" s="100"/>
      <c r="I487" s="100" t="s">
        <v>3169</v>
      </c>
      <c r="J487" s="100"/>
      <c r="K487" s="101" t="s">
        <v>1540</v>
      </c>
    </row>
    <row r="488" spans="1:11" ht="29" x14ac:dyDescent="0.2">
      <c r="A488" s="100" t="s">
        <v>127</v>
      </c>
      <c r="B488" s="100" t="s">
        <v>1121</v>
      </c>
      <c r="C488" s="100" t="s">
        <v>1122</v>
      </c>
      <c r="D488" s="100"/>
      <c r="E488" s="100" t="s">
        <v>1123</v>
      </c>
      <c r="F488" s="100" t="s">
        <v>3168</v>
      </c>
      <c r="G488" s="100"/>
      <c r="H488" s="100"/>
      <c r="I488" s="100" t="s">
        <v>3169</v>
      </c>
      <c r="J488" s="100"/>
      <c r="K488" s="101" t="s">
        <v>1540</v>
      </c>
    </row>
    <row r="489" spans="1:11" ht="320" x14ac:dyDescent="0.2">
      <c r="A489" s="100" t="s">
        <v>841</v>
      </c>
      <c r="B489" s="100" t="s">
        <v>3170</v>
      </c>
      <c r="C489" s="100"/>
      <c r="D489" s="100"/>
      <c r="E489" s="100" t="s">
        <v>3171</v>
      </c>
      <c r="F489" s="100" t="s">
        <v>3172</v>
      </c>
      <c r="G489" s="100"/>
      <c r="H489" s="100"/>
      <c r="I489" s="100" t="s">
        <v>3173</v>
      </c>
      <c r="J489" s="100"/>
      <c r="K489" s="101" t="s">
        <v>3174</v>
      </c>
    </row>
    <row r="490" spans="1:11" ht="333" x14ac:dyDescent="0.2">
      <c r="A490" s="100" t="s">
        <v>841</v>
      </c>
      <c r="B490" s="100" t="s">
        <v>3175</v>
      </c>
      <c r="C490" s="100"/>
      <c r="D490" s="100"/>
      <c r="E490" s="100" t="s">
        <v>3176</v>
      </c>
      <c r="F490" s="100" t="s">
        <v>3172</v>
      </c>
      <c r="G490" s="100"/>
      <c r="H490" s="100"/>
      <c r="I490" s="100" t="s">
        <v>3173</v>
      </c>
      <c r="J490" s="100"/>
      <c r="K490" s="101" t="s">
        <v>3177</v>
      </c>
    </row>
    <row r="491" spans="1:11" ht="57" x14ac:dyDescent="0.2">
      <c r="A491" s="100" t="s">
        <v>609</v>
      </c>
      <c r="B491" s="100" t="s">
        <v>3178</v>
      </c>
      <c r="C491" s="100"/>
      <c r="D491" s="100"/>
      <c r="E491" s="100" t="s">
        <v>3179</v>
      </c>
      <c r="F491" s="100" t="s">
        <v>3180</v>
      </c>
      <c r="G491" s="100"/>
      <c r="H491" s="100"/>
      <c r="I491" s="100" t="s">
        <v>3181</v>
      </c>
      <c r="J491" s="100"/>
      <c r="K491" s="101" t="s">
        <v>1675</v>
      </c>
    </row>
    <row r="492" spans="1:11" ht="57" x14ac:dyDescent="0.2">
      <c r="A492" s="100" t="s">
        <v>609</v>
      </c>
      <c r="B492" s="100" t="s">
        <v>3182</v>
      </c>
      <c r="C492" s="100"/>
      <c r="D492" s="100"/>
      <c r="E492" s="100" t="s">
        <v>3183</v>
      </c>
      <c r="F492" s="100" t="s">
        <v>3180</v>
      </c>
      <c r="G492" s="100"/>
      <c r="H492" s="100"/>
      <c r="I492" s="100" t="s">
        <v>3181</v>
      </c>
      <c r="J492" s="100"/>
      <c r="K492" s="101" t="s">
        <v>1675</v>
      </c>
    </row>
    <row r="493" spans="1:11" ht="320" x14ac:dyDescent="0.2">
      <c r="A493" s="100" t="s">
        <v>1521</v>
      </c>
      <c r="B493" s="100" t="s">
        <v>3184</v>
      </c>
      <c r="C493" s="100"/>
      <c r="D493" s="100"/>
      <c r="E493" s="100" t="s">
        <v>3185</v>
      </c>
      <c r="F493" s="100" t="s">
        <v>3186</v>
      </c>
      <c r="G493" s="100"/>
      <c r="H493" s="100"/>
      <c r="I493" s="100" t="s">
        <v>3187</v>
      </c>
      <c r="J493" s="100"/>
      <c r="K493" s="101" t="s">
        <v>3188</v>
      </c>
    </row>
    <row r="494" spans="1:11" ht="169" x14ac:dyDescent="0.2">
      <c r="A494" s="100" t="s">
        <v>750</v>
      </c>
      <c r="B494" s="100" t="s">
        <v>3189</v>
      </c>
      <c r="C494" s="100"/>
      <c r="D494" s="100"/>
      <c r="E494" s="100" t="s">
        <v>3190</v>
      </c>
      <c r="F494" s="100" t="s">
        <v>3191</v>
      </c>
      <c r="G494" s="100"/>
      <c r="H494" s="100"/>
      <c r="I494" s="100" t="s">
        <v>3187</v>
      </c>
      <c r="J494" s="100"/>
      <c r="K494" s="101" t="s">
        <v>3192</v>
      </c>
    </row>
    <row r="495" spans="1:11" ht="333" x14ac:dyDescent="0.2">
      <c r="A495" s="100" t="s">
        <v>565</v>
      </c>
      <c r="B495" s="100" t="s">
        <v>3193</v>
      </c>
      <c r="C495" s="100"/>
      <c r="D495" s="100"/>
      <c r="E495" s="100" t="s">
        <v>3194</v>
      </c>
      <c r="F495" s="100" t="s">
        <v>3195</v>
      </c>
      <c r="G495" s="100"/>
      <c r="H495" s="100"/>
      <c r="I495" s="100" t="s">
        <v>3196</v>
      </c>
      <c r="J495" s="100"/>
      <c r="K495" s="101" t="s">
        <v>3197</v>
      </c>
    </row>
    <row r="496" spans="1:11" ht="333" x14ac:dyDescent="0.2">
      <c r="A496" s="100" t="s">
        <v>565</v>
      </c>
      <c r="B496" s="100" t="s">
        <v>3198</v>
      </c>
      <c r="C496" s="100"/>
      <c r="D496" s="100"/>
      <c r="E496" s="100" t="s">
        <v>3199</v>
      </c>
      <c r="F496" s="100" t="s">
        <v>3195</v>
      </c>
      <c r="G496" s="100"/>
      <c r="H496" s="100"/>
      <c r="I496" s="100" t="s">
        <v>3196</v>
      </c>
      <c r="J496" s="100"/>
      <c r="K496" s="101" t="s">
        <v>3197</v>
      </c>
    </row>
    <row r="497" spans="1:11" ht="211" x14ac:dyDescent="0.2">
      <c r="A497" s="100" t="s">
        <v>316</v>
      </c>
      <c r="B497" s="100" t="s">
        <v>3200</v>
      </c>
      <c r="C497" s="100" t="s">
        <v>1020</v>
      </c>
      <c r="D497" s="100"/>
      <c r="E497" s="100" t="s">
        <v>3201</v>
      </c>
      <c r="F497" s="100" t="s">
        <v>3202</v>
      </c>
      <c r="G497" s="100"/>
      <c r="H497" s="100"/>
      <c r="I497" s="100" t="s">
        <v>3203</v>
      </c>
      <c r="J497" s="100"/>
      <c r="K497" s="101" t="s">
        <v>3204</v>
      </c>
    </row>
    <row r="498" spans="1:11" ht="385" x14ac:dyDescent="0.2">
      <c r="A498" s="100" t="s">
        <v>856</v>
      </c>
      <c r="B498" s="100" t="s">
        <v>3205</v>
      </c>
      <c r="C498" s="100" t="s">
        <v>1067</v>
      </c>
      <c r="D498" s="100"/>
      <c r="E498" s="100" t="s">
        <v>3206</v>
      </c>
      <c r="F498" s="100" t="s">
        <v>3207</v>
      </c>
      <c r="G498" s="100"/>
      <c r="H498" s="100"/>
      <c r="I498" s="100" t="s">
        <v>3208</v>
      </c>
      <c r="J498" s="100"/>
      <c r="K498" s="101" t="s">
        <v>3209</v>
      </c>
    </row>
    <row r="499" spans="1:11" ht="267" x14ac:dyDescent="0.2">
      <c r="A499" s="100" t="s">
        <v>460</v>
      </c>
      <c r="B499" s="100" t="s">
        <v>3210</v>
      </c>
      <c r="C499" s="100"/>
      <c r="D499" s="100"/>
      <c r="E499" s="100" t="s">
        <v>3211</v>
      </c>
      <c r="F499" s="100" t="s">
        <v>3212</v>
      </c>
      <c r="G499" s="100"/>
      <c r="H499" s="100"/>
      <c r="I499" s="100" t="s">
        <v>3208</v>
      </c>
      <c r="J499" s="100"/>
      <c r="K499" s="101" t="s">
        <v>3213</v>
      </c>
    </row>
    <row r="500" spans="1:11" ht="372" x14ac:dyDescent="0.2">
      <c r="A500" s="100" t="s">
        <v>530</v>
      </c>
      <c r="B500" s="100" t="s">
        <v>3214</v>
      </c>
      <c r="C500" s="100"/>
      <c r="D500" s="100"/>
      <c r="E500" s="100" t="s">
        <v>3215</v>
      </c>
      <c r="F500" s="100" t="s">
        <v>3216</v>
      </c>
      <c r="G500" s="100"/>
      <c r="H500" s="100"/>
      <c r="I500" s="100" t="s">
        <v>3208</v>
      </c>
      <c r="J500" s="100"/>
      <c r="K500" s="101" t="s">
        <v>3217</v>
      </c>
    </row>
    <row r="501" spans="1:11" ht="372" x14ac:dyDescent="0.2">
      <c r="A501" s="100" t="s">
        <v>530</v>
      </c>
      <c r="B501" s="100" t="s">
        <v>3218</v>
      </c>
      <c r="C501" s="100"/>
      <c r="D501" s="100"/>
      <c r="E501" s="100" t="s">
        <v>3219</v>
      </c>
      <c r="F501" s="100" t="s">
        <v>3216</v>
      </c>
      <c r="G501" s="100"/>
      <c r="H501" s="100"/>
      <c r="I501" s="100" t="s">
        <v>3208</v>
      </c>
      <c r="J501" s="100"/>
      <c r="K501" s="101" t="s">
        <v>3217</v>
      </c>
    </row>
    <row r="502" spans="1:11" ht="57" x14ac:dyDescent="0.2">
      <c r="A502" s="100" t="s">
        <v>607</v>
      </c>
      <c r="B502" s="100" t="s">
        <v>3220</v>
      </c>
      <c r="C502" s="100"/>
      <c r="D502" s="100"/>
      <c r="E502" s="100" t="s">
        <v>3221</v>
      </c>
      <c r="F502" s="100" t="s">
        <v>3222</v>
      </c>
      <c r="G502" s="100"/>
      <c r="H502" s="100"/>
      <c r="I502" s="100" t="s">
        <v>3208</v>
      </c>
      <c r="J502" s="100"/>
      <c r="K502" s="101" t="s">
        <v>1675</v>
      </c>
    </row>
    <row r="503" spans="1:11" ht="385" x14ac:dyDescent="0.2">
      <c r="A503" s="100" t="s">
        <v>617</v>
      </c>
      <c r="B503" s="100" t="s">
        <v>3223</v>
      </c>
      <c r="C503" s="100"/>
      <c r="D503" s="100"/>
      <c r="E503" s="100" t="s">
        <v>3224</v>
      </c>
      <c r="F503" s="100" t="s">
        <v>3225</v>
      </c>
      <c r="G503" s="100"/>
      <c r="H503" s="100"/>
      <c r="I503" s="100" t="s">
        <v>3208</v>
      </c>
      <c r="J503" s="100"/>
      <c r="K503" s="101" t="s">
        <v>3226</v>
      </c>
    </row>
    <row r="504" spans="1:11" ht="385" x14ac:dyDescent="0.2">
      <c r="A504" s="100" t="s">
        <v>617</v>
      </c>
      <c r="B504" s="100" t="s">
        <v>3227</v>
      </c>
      <c r="C504" s="100"/>
      <c r="D504" s="100"/>
      <c r="E504" s="100" t="s">
        <v>3228</v>
      </c>
      <c r="F504" s="100" t="s">
        <v>3225</v>
      </c>
      <c r="G504" s="100"/>
      <c r="H504" s="100"/>
      <c r="I504" s="100" t="s">
        <v>3208</v>
      </c>
      <c r="J504" s="100"/>
      <c r="K504" s="101" t="s">
        <v>3226</v>
      </c>
    </row>
    <row r="505" spans="1:11" ht="409.6" x14ac:dyDescent="0.2">
      <c r="A505" s="100" t="s">
        <v>780</v>
      </c>
      <c r="B505" s="100" t="s">
        <v>3229</v>
      </c>
      <c r="C505" s="100"/>
      <c r="D505" s="100"/>
      <c r="E505" s="100" t="s">
        <v>3230</v>
      </c>
      <c r="F505" s="101" t="s">
        <v>3231</v>
      </c>
      <c r="G505" s="100"/>
      <c r="H505" s="100"/>
      <c r="I505" s="100" t="s">
        <v>3208</v>
      </c>
      <c r="J505" s="100"/>
      <c r="K505" s="101" t="s">
        <v>3232</v>
      </c>
    </row>
    <row r="506" spans="1:11" ht="409.6" x14ac:dyDescent="0.2">
      <c r="A506" s="100" t="s">
        <v>846</v>
      </c>
      <c r="B506" s="100" t="s">
        <v>3233</v>
      </c>
      <c r="C506" s="100"/>
      <c r="D506" s="100"/>
      <c r="E506" s="100" t="s">
        <v>3234</v>
      </c>
      <c r="F506" s="100" t="s">
        <v>3235</v>
      </c>
      <c r="G506" s="100"/>
      <c r="H506" s="100"/>
      <c r="I506" s="100" t="s">
        <v>3208</v>
      </c>
      <c r="J506" s="100"/>
      <c r="K506" s="101" t="s">
        <v>3236</v>
      </c>
    </row>
    <row r="507" spans="1:11" ht="409.6" x14ac:dyDescent="0.2">
      <c r="A507" s="100" t="s">
        <v>846</v>
      </c>
      <c r="B507" s="100" t="s">
        <v>3237</v>
      </c>
      <c r="C507" s="100"/>
      <c r="D507" s="100"/>
      <c r="E507" s="100" t="s">
        <v>3238</v>
      </c>
      <c r="F507" s="100" t="s">
        <v>3235</v>
      </c>
      <c r="G507" s="100"/>
      <c r="H507" s="100"/>
      <c r="I507" s="100" t="s">
        <v>3208</v>
      </c>
      <c r="J507" s="100"/>
      <c r="K507" s="101" t="s">
        <v>3239</v>
      </c>
    </row>
    <row r="508" spans="1:11" ht="398" x14ac:dyDescent="0.2">
      <c r="A508" s="100" t="s">
        <v>856</v>
      </c>
      <c r="B508" s="100" t="s">
        <v>3240</v>
      </c>
      <c r="C508" s="100"/>
      <c r="D508" s="100"/>
      <c r="E508" s="100" t="s">
        <v>3206</v>
      </c>
      <c r="F508" s="100" t="s">
        <v>3207</v>
      </c>
      <c r="G508" s="100"/>
      <c r="H508" s="100"/>
      <c r="I508" s="100" t="s">
        <v>3208</v>
      </c>
      <c r="J508" s="100"/>
      <c r="K508" s="101" t="s">
        <v>3241</v>
      </c>
    </row>
    <row r="509" spans="1:11" ht="409.6" x14ac:dyDescent="0.2">
      <c r="A509" s="100" t="s">
        <v>862</v>
      </c>
      <c r="B509" s="100" t="s">
        <v>3242</v>
      </c>
      <c r="C509" s="100"/>
      <c r="D509" s="100"/>
      <c r="E509" s="100" t="s">
        <v>3243</v>
      </c>
      <c r="F509" s="100" t="s">
        <v>3244</v>
      </c>
      <c r="G509" s="100"/>
      <c r="H509" s="100"/>
      <c r="I509" s="100" t="s">
        <v>3208</v>
      </c>
      <c r="J509" s="100"/>
      <c r="K509" s="101" t="s">
        <v>3245</v>
      </c>
    </row>
    <row r="510" spans="1:11" ht="409.6" x14ac:dyDescent="0.2">
      <c r="A510" s="100" t="s">
        <v>862</v>
      </c>
      <c r="B510" s="100" t="s">
        <v>3246</v>
      </c>
      <c r="C510" s="100"/>
      <c r="D510" s="100"/>
      <c r="E510" s="100" t="s">
        <v>3247</v>
      </c>
      <c r="F510" s="100" t="s">
        <v>3244</v>
      </c>
      <c r="G510" s="100"/>
      <c r="H510" s="100"/>
      <c r="I510" s="100" t="s">
        <v>3208</v>
      </c>
      <c r="J510" s="100"/>
      <c r="K510" s="101" t="s">
        <v>3248</v>
      </c>
    </row>
    <row r="511" spans="1:11" ht="307" x14ac:dyDescent="0.2">
      <c r="A511" s="100" t="s">
        <v>427</v>
      </c>
      <c r="B511" s="100" t="s">
        <v>3249</v>
      </c>
      <c r="C511" s="100"/>
      <c r="D511" s="100"/>
      <c r="E511" s="100" t="s">
        <v>3250</v>
      </c>
      <c r="F511" s="100" t="s">
        <v>3251</v>
      </c>
      <c r="G511" s="100"/>
      <c r="H511" s="100"/>
      <c r="I511" s="100" t="s">
        <v>3208</v>
      </c>
      <c r="J511" s="100"/>
      <c r="K511" s="101" t="s">
        <v>3252</v>
      </c>
    </row>
    <row r="512" spans="1:11" x14ac:dyDescent="0.2">
      <c r="A512" s="100" t="s">
        <v>3253</v>
      </c>
      <c r="B512" s="100" t="s">
        <v>3254</v>
      </c>
      <c r="C512" s="100" t="s">
        <v>1054</v>
      </c>
      <c r="D512" s="100"/>
      <c r="E512" s="100" t="s">
        <v>3255</v>
      </c>
      <c r="F512" s="100"/>
      <c r="G512" s="100"/>
      <c r="H512" s="100"/>
      <c r="I512" s="100"/>
      <c r="J512" s="100"/>
      <c r="K512" s="100"/>
    </row>
    <row r="513" spans="1:11" ht="29" x14ac:dyDescent="0.2">
      <c r="A513" s="100" t="s">
        <v>63</v>
      </c>
      <c r="B513" s="100" t="s">
        <v>3256</v>
      </c>
      <c r="C513" s="100" t="s">
        <v>3257</v>
      </c>
      <c r="D513" s="100"/>
      <c r="E513" s="100" t="s">
        <v>3258</v>
      </c>
      <c r="F513" s="100"/>
      <c r="G513" s="100" t="s">
        <v>3259</v>
      </c>
      <c r="H513" s="100"/>
      <c r="I513" s="100"/>
      <c r="J513" s="100"/>
      <c r="K513" s="101" t="s">
        <v>1540</v>
      </c>
    </row>
    <row r="514" spans="1:11" ht="99" x14ac:dyDescent="0.2">
      <c r="A514" s="100" t="s">
        <v>548</v>
      </c>
      <c r="B514" s="100" t="s">
        <v>3260</v>
      </c>
      <c r="C514" s="100" t="s">
        <v>3261</v>
      </c>
      <c r="D514" s="100"/>
      <c r="E514" s="100" t="s">
        <v>3262</v>
      </c>
      <c r="F514" s="100"/>
      <c r="G514" s="100" t="s">
        <v>3263</v>
      </c>
      <c r="H514" s="100"/>
      <c r="I514" s="100" t="s">
        <v>2341</v>
      </c>
      <c r="J514" s="100"/>
      <c r="K514" s="101" t="s">
        <v>3264</v>
      </c>
    </row>
    <row r="515" spans="1:11" ht="197" x14ac:dyDescent="0.2">
      <c r="A515" s="100" t="s">
        <v>342</v>
      </c>
      <c r="B515" s="100" t="s">
        <v>3265</v>
      </c>
      <c r="C515" s="100" t="s">
        <v>1032</v>
      </c>
      <c r="D515" s="100"/>
      <c r="E515" s="100" t="s">
        <v>3266</v>
      </c>
      <c r="F515" s="100"/>
      <c r="G515" s="100"/>
      <c r="H515" s="100"/>
      <c r="I515" s="100"/>
      <c r="J515" s="100"/>
      <c r="K515" s="101" t="s">
        <v>3267</v>
      </c>
    </row>
    <row r="516" spans="1:11" ht="169" x14ac:dyDescent="0.2">
      <c r="A516" s="100" t="s">
        <v>255</v>
      </c>
      <c r="B516" s="100" t="s">
        <v>3268</v>
      </c>
      <c r="C516" s="100" t="s">
        <v>3269</v>
      </c>
      <c r="D516" s="100"/>
      <c r="E516" s="100" t="s">
        <v>3270</v>
      </c>
      <c r="F516" s="100"/>
      <c r="G516" s="100" t="s">
        <v>3271</v>
      </c>
      <c r="H516" s="100"/>
      <c r="I516" s="100" t="s">
        <v>3272</v>
      </c>
      <c r="J516" s="100"/>
      <c r="K516" s="101" t="s">
        <v>3273</v>
      </c>
    </row>
    <row r="517" spans="1:11" ht="239" x14ac:dyDescent="0.2">
      <c r="A517" s="100" t="s">
        <v>322</v>
      </c>
      <c r="B517" s="100" t="s">
        <v>3274</v>
      </c>
      <c r="C517" s="100" t="s">
        <v>1387</v>
      </c>
      <c r="D517" s="100"/>
      <c r="E517" s="100" t="s">
        <v>3275</v>
      </c>
      <c r="F517" s="100"/>
      <c r="G517" s="100" t="s">
        <v>3276</v>
      </c>
      <c r="H517" s="100"/>
      <c r="I517" s="100" t="s">
        <v>2397</v>
      </c>
      <c r="J517" s="100"/>
      <c r="K517" s="101" t="s">
        <v>3277</v>
      </c>
    </row>
    <row r="518" spans="1:11" ht="85" x14ac:dyDescent="0.2">
      <c r="A518" s="100" t="s">
        <v>681</v>
      </c>
      <c r="B518" s="100" t="s">
        <v>3278</v>
      </c>
      <c r="C518" s="100" t="s">
        <v>1387</v>
      </c>
      <c r="D518" s="100"/>
      <c r="E518" s="100" t="s">
        <v>3279</v>
      </c>
      <c r="F518" s="100"/>
      <c r="G518" s="100"/>
      <c r="H518" s="100"/>
      <c r="I518" s="100"/>
      <c r="J518" s="100"/>
      <c r="K518" s="101" t="s">
        <v>3280</v>
      </c>
    </row>
    <row r="519" spans="1:11" ht="169" x14ac:dyDescent="0.2">
      <c r="A519" s="100" t="s">
        <v>848</v>
      </c>
      <c r="B519" s="100" t="s">
        <v>3281</v>
      </c>
      <c r="C519" s="100" t="s">
        <v>1387</v>
      </c>
      <c r="D519" s="100"/>
      <c r="E519" s="100" t="s">
        <v>3282</v>
      </c>
      <c r="F519" s="100"/>
      <c r="G519" s="100" t="s">
        <v>3283</v>
      </c>
      <c r="H519" s="100"/>
      <c r="I519" s="100"/>
      <c r="J519" s="100"/>
      <c r="K519" s="101" t="s">
        <v>3284</v>
      </c>
    </row>
    <row r="520" spans="1:11" ht="225" x14ac:dyDescent="0.2">
      <c r="A520" s="100" t="s">
        <v>3285</v>
      </c>
      <c r="B520" s="100" t="s">
        <v>3286</v>
      </c>
      <c r="C520" s="100" t="s">
        <v>1096</v>
      </c>
      <c r="D520" s="100"/>
      <c r="E520" s="100" t="s">
        <v>3287</v>
      </c>
      <c r="F520" s="100"/>
      <c r="G520" s="100"/>
      <c r="H520" s="100"/>
      <c r="I520" s="100"/>
      <c r="J520" s="100"/>
      <c r="K520" s="101" t="s">
        <v>3288</v>
      </c>
    </row>
    <row r="521" spans="1:11" x14ac:dyDescent="0.2">
      <c r="A521" s="100" t="s">
        <v>591</v>
      </c>
      <c r="B521" s="100" t="s">
        <v>3289</v>
      </c>
      <c r="C521" s="100" t="s">
        <v>3290</v>
      </c>
      <c r="D521" s="100"/>
      <c r="E521" s="100" t="s">
        <v>3291</v>
      </c>
      <c r="F521" s="100"/>
      <c r="G521" s="100" t="s">
        <v>3292</v>
      </c>
      <c r="H521" s="100"/>
      <c r="I521" s="100"/>
      <c r="J521" s="100"/>
      <c r="K521" s="100"/>
    </row>
    <row r="522" spans="1:11" ht="113" x14ac:dyDescent="0.2">
      <c r="A522" s="100" t="s">
        <v>136</v>
      </c>
      <c r="B522" s="100" t="s">
        <v>1193</v>
      </c>
      <c r="C522" s="100" t="s">
        <v>1194</v>
      </c>
      <c r="D522" s="100" t="s">
        <v>3293</v>
      </c>
      <c r="E522" s="100" t="s">
        <v>1195</v>
      </c>
      <c r="F522" s="100"/>
      <c r="G522" s="100" t="s">
        <v>1196</v>
      </c>
      <c r="H522" s="100"/>
      <c r="I522" s="100"/>
      <c r="J522" s="100"/>
      <c r="K522" s="101" t="s">
        <v>3294</v>
      </c>
    </row>
    <row r="523" spans="1:11" ht="57" x14ac:dyDescent="0.2">
      <c r="A523" s="100" t="s">
        <v>133</v>
      </c>
      <c r="B523" s="100" t="s">
        <v>1172</v>
      </c>
      <c r="C523" s="100" t="s">
        <v>1173</v>
      </c>
      <c r="D523" s="100"/>
      <c r="E523" s="100" t="s">
        <v>1174</v>
      </c>
      <c r="F523" s="100"/>
      <c r="G523" s="100" t="s">
        <v>1175</v>
      </c>
      <c r="H523" s="100"/>
      <c r="I523" s="100"/>
      <c r="J523" s="100"/>
      <c r="K523" s="101" t="s">
        <v>3295</v>
      </c>
    </row>
    <row r="524" spans="1:11" ht="57" x14ac:dyDescent="0.2">
      <c r="A524" s="100" t="s">
        <v>98</v>
      </c>
      <c r="B524" s="100" t="s">
        <v>3296</v>
      </c>
      <c r="C524" s="100" t="s">
        <v>3297</v>
      </c>
      <c r="D524" s="100"/>
      <c r="E524" s="100" t="s">
        <v>3298</v>
      </c>
      <c r="F524" s="100"/>
      <c r="G524" s="100" t="s">
        <v>3299</v>
      </c>
      <c r="H524" s="100"/>
      <c r="I524" s="100"/>
      <c r="J524" s="100"/>
      <c r="K524" s="101" t="s">
        <v>3300</v>
      </c>
    </row>
    <row r="525" spans="1:11" ht="43" x14ac:dyDescent="0.2">
      <c r="A525" s="100" t="s">
        <v>383</v>
      </c>
      <c r="B525" s="100" t="s">
        <v>3301</v>
      </c>
      <c r="C525" s="100" t="s">
        <v>3302</v>
      </c>
      <c r="D525" s="100"/>
      <c r="E525" s="100" t="s">
        <v>3303</v>
      </c>
      <c r="F525" s="101" t="s">
        <v>3304</v>
      </c>
      <c r="G525" s="100"/>
      <c r="H525" s="100"/>
      <c r="I525" s="100"/>
      <c r="J525" s="100"/>
      <c r="K525" s="101" t="s">
        <v>1540</v>
      </c>
    </row>
    <row r="526" spans="1:11" ht="294" x14ac:dyDescent="0.2">
      <c r="A526" s="100" t="s">
        <v>3285</v>
      </c>
      <c r="B526" s="100" t="s">
        <v>3305</v>
      </c>
      <c r="C526" s="100" t="s">
        <v>3306</v>
      </c>
      <c r="D526" s="100"/>
      <c r="E526" s="100" t="s">
        <v>3307</v>
      </c>
      <c r="F526" s="100"/>
      <c r="G526" s="100" t="s">
        <v>3308</v>
      </c>
      <c r="H526" s="100"/>
      <c r="I526" s="100"/>
      <c r="J526" s="100"/>
      <c r="K526" s="101" t="s">
        <v>3309</v>
      </c>
    </row>
    <row r="527" spans="1:11" ht="29" x14ac:dyDescent="0.2">
      <c r="A527" s="100" t="s">
        <v>63</v>
      </c>
      <c r="B527" s="100" t="s">
        <v>3310</v>
      </c>
      <c r="C527" s="100" t="s">
        <v>3311</v>
      </c>
      <c r="D527" s="100"/>
      <c r="E527" s="100" t="s">
        <v>3312</v>
      </c>
      <c r="F527" s="100"/>
      <c r="G527" s="100" t="s">
        <v>3313</v>
      </c>
      <c r="H527" s="100"/>
      <c r="I527" s="100"/>
      <c r="J527" s="100"/>
      <c r="K527" s="101" t="s">
        <v>3314</v>
      </c>
    </row>
    <row r="528" spans="1:11" ht="29" x14ac:dyDescent="0.2">
      <c r="A528" s="100" t="s">
        <v>52</v>
      </c>
      <c r="B528" s="100" t="s">
        <v>3315</v>
      </c>
      <c r="C528" s="100" t="s">
        <v>3316</v>
      </c>
      <c r="D528" s="100"/>
      <c r="E528" s="100" t="s">
        <v>3317</v>
      </c>
      <c r="F528" s="100"/>
      <c r="G528" s="100" t="s">
        <v>3318</v>
      </c>
      <c r="H528" s="100"/>
      <c r="I528" s="100"/>
      <c r="J528" s="100"/>
      <c r="K528" s="101" t="s">
        <v>3319</v>
      </c>
    </row>
    <row r="529" spans="1:11" x14ac:dyDescent="0.2">
      <c r="A529" s="100" t="s">
        <v>782</v>
      </c>
      <c r="B529" s="100" t="s">
        <v>3320</v>
      </c>
      <c r="C529" s="100" t="s">
        <v>914</v>
      </c>
      <c r="D529" s="100"/>
      <c r="E529" s="100"/>
      <c r="F529" s="100" t="s">
        <v>3321</v>
      </c>
      <c r="G529" s="100"/>
      <c r="H529" s="100"/>
      <c r="I529" s="100"/>
      <c r="J529" s="100"/>
      <c r="K529" s="100"/>
    </row>
    <row r="530" spans="1:11" ht="253" x14ac:dyDescent="0.2">
      <c r="A530" s="100" t="s">
        <v>224</v>
      </c>
      <c r="B530" s="100" t="s">
        <v>3322</v>
      </c>
      <c r="C530" s="100" t="s">
        <v>3323</v>
      </c>
      <c r="D530" s="100"/>
      <c r="E530" s="100" t="s">
        <v>3324</v>
      </c>
      <c r="F530" s="100"/>
      <c r="G530" s="100"/>
      <c r="H530" s="100"/>
      <c r="I530" s="100"/>
      <c r="J530" s="100"/>
      <c r="K530" s="101" t="s">
        <v>3325</v>
      </c>
    </row>
    <row r="531" spans="1:11" x14ac:dyDescent="0.2">
      <c r="A531" s="100" t="s">
        <v>344</v>
      </c>
      <c r="B531" s="100" t="s">
        <v>1129</v>
      </c>
      <c r="C531" s="100" t="s">
        <v>1130</v>
      </c>
      <c r="D531" s="100"/>
      <c r="E531" s="100" t="s">
        <v>1131</v>
      </c>
      <c r="F531" s="100"/>
      <c r="G531" s="100"/>
      <c r="H531" s="100"/>
      <c r="I531" s="100"/>
      <c r="J531" s="100"/>
      <c r="K531" s="100"/>
    </row>
    <row r="532" spans="1:11" ht="183" x14ac:dyDescent="0.2">
      <c r="A532" s="100" t="s">
        <v>3326</v>
      </c>
      <c r="B532" s="100" t="s">
        <v>3327</v>
      </c>
      <c r="C532" s="100" t="s">
        <v>3328</v>
      </c>
      <c r="D532" s="100"/>
      <c r="E532" s="100" t="s">
        <v>3329</v>
      </c>
      <c r="F532" s="100" t="s">
        <v>3330</v>
      </c>
      <c r="G532" s="100" t="s">
        <v>3331</v>
      </c>
      <c r="H532" s="100"/>
      <c r="I532" s="100"/>
      <c r="J532" s="100"/>
      <c r="K532" s="101" t="s">
        <v>3332</v>
      </c>
    </row>
    <row r="533" spans="1:11" ht="57" x14ac:dyDescent="0.2">
      <c r="A533" s="100" t="s">
        <v>46</v>
      </c>
      <c r="B533" s="100" t="s">
        <v>3333</v>
      </c>
      <c r="C533" s="100" t="s">
        <v>3334</v>
      </c>
      <c r="D533" s="100"/>
      <c r="E533" s="100" t="s">
        <v>3335</v>
      </c>
      <c r="F533" s="100"/>
      <c r="G533" s="100" t="s">
        <v>3336</v>
      </c>
      <c r="H533" s="100"/>
      <c r="I533" s="100"/>
      <c r="J533" s="100"/>
      <c r="K533" s="101" t="s">
        <v>3337</v>
      </c>
    </row>
    <row r="534" spans="1:11" ht="29" x14ac:dyDescent="0.2">
      <c r="A534" s="100" t="s">
        <v>82</v>
      </c>
      <c r="B534" s="100" t="s">
        <v>3338</v>
      </c>
      <c r="C534" s="100" t="s">
        <v>3339</v>
      </c>
      <c r="D534" s="100"/>
      <c r="E534" s="100"/>
      <c r="F534" s="100"/>
      <c r="G534" s="100">
        <v>9999882455</v>
      </c>
      <c r="H534" s="100"/>
      <c r="I534" s="100"/>
      <c r="J534" s="100"/>
      <c r="K534" s="101" t="s">
        <v>1540</v>
      </c>
    </row>
    <row r="535" spans="1:11" x14ac:dyDescent="0.2">
      <c r="A535" s="100" t="s">
        <v>1517</v>
      </c>
      <c r="B535" s="100" t="s">
        <v>3340</v>
      </c>
      <c r="C535" s="100" t="s">
        <v>3341</v>
      </c>
      <c r="D535" s="100"/>
      <c r="E535" s="100" t="s">
        <v>3342</v>
      </c>
      <c r="F535" s="100"/>
      <c r="G535" s="100"/>
      <c r="H535" s="100"/>
      <c r="I535" s="100"/>
      <c r="J535" s="100"/>
      <c r="K535" s="100"/>
    </row>
    <row r="536" spans="1:11" ht="43" x14ac:dyDescent="0.2">
      <c r="A536" s="100" t="s">
        <v>268</v>
      </c>
      <c r="B536" s="100" t="s">
        <v>3343</v>
      </c>
      <c r="C536" s="100" t="s">
        <v>3344</v>
      </c>
      <c r="D536" s="100"/>
      <c r="E536" s="100" t="s">
        <v>3345</v>
      </c>
      <c r="F536" s="100"/>
      <c r="G536" s="100"/>
      <c r="H536" s="100"/>
      <c r="I536" s="100"/>
      <c r="J536" s="100"/>
      <c r="K536" s="101" t="s">
        <v>3346</v>
      </c>
    </row>
    <row r="537" spans="1:11" ht="29" x14ac:dyDescent="0.2">
      <c r="A537" s="100" t="s">
        <v>111</v>
      </c>
      <c r="B537" s="100" t="s">
        <v>1037</v>
      </c>
      <c r="C537" s="100" t="s">
        <v>1038</v>
      </c>
      <c r="D537" s="100"/>
      <c r="E537" s="100" t="s">
        <v>1039</v>
      </c>
      <c r="F537" s="100"/>
      <c r="G537" s="100">
        <v>971504463067</v>
      </c>
      <c r="H537" s="100"/>
      <c r="I537" s="100"/>
      <c r="J537" s="100"/>
      <c r="K537" s="101" t="s">
        <v>1540</v>
      </c>
    </row>
    <row r="538" spans="1:11" ht="29" x14ac:dyDescent="0.2">
      <c r="A538" s="100" t="s">
        <v>361</v>
      </c>
      <c r="B538" s="100" t="s">
        <v>3347</v>
      </c>
      <c r="C538" s="100" t="s">
        <v>3348</v>
      </c>
      <c r="D538" s="100"/>
      <c r="E538" s="100" t="s">
        <v>3349</v>
      </c>
      <c r="F538" s="100" t="s">
        <v>3350</v>
      </c>
      <c r="G538" s="100"/>
      <c r="H538" s="100"/>
      <c r="I538" s="100"/>
      <c r="J538" s="100"/>
      <c r="K538" s="101" t="s">
        <v>1540</v>
      </c>
    </row>
    <row r="539" spans="1:11" ht="29" x14ac:dyDescent="0.2">
      <c r="A539" s="100" t="s">
        <v>3351</v>
      </c>
      <c r="B539" s="100" t="s">
        <v>3352</v>
      </c>
      <c r="C539" s="100" t="s">
        <v>3353</v>
      </c>
      <c r="D539" s="100"/>
      <c r="E539" s="100" t="s">
        <v>3354</v>
      </c>
      <c r="F539" s="100" t="s">
        <v>3350</v>
      </c>
      <c r="G539" s="100" t="s">
        <v>3355</v>
      </c>
      <c r="H539" s="100"/>
      <c r="I539" s="100"/>
      <c r="J539" s="100"/>
      <c r="K539" s="101" t="s">
        <v>1540</v>
      </c>
    </row>
    <row r="540" spans="1:11" ht="29" x14ac:dyDescent="0.2">
      <c r="A540" s="100" t="s">
        <v>3351</v>
      </c>
      <c r="B540" s="100" t="s">
        <v>3356</v>
      </c>
      <c r="C540" s="100" t="s">
        <v>3357</v>
      </c>
      <c r="D540" s="100"/>
      <c r="E540" s="100" t="s">
        <v>3358</v>
      </c>
      <c r="F540" s="100" t="s">
        <v>3350</v>
      </c>
      <c r="G540" s="100"/>
      <c r="H540" s="100"/>
      <c r="I540" s="100"/>
      <c r="J540" s="100"/>
      <c r="K540" s="101" t="s">
        <v>1540</v>
      </c>
    </row>
    <row r="541" spans="1:11" ht="71" x14ac:dyDescent="0.2">
      <c r="A541" s="100" t="s">
        <v>1399</v>
      </c>
      <c r="B541" s="100" t="s">
        <v>3359</v>
      </c>
      <c r="C541" s="101" t="s">
        <v>3360</v>
      </c>
      <c r="D541" s="100"/>
      <c r="E541" s="100" t="s">
        <v>3361</v>
      </c>
      <c r="F541" s="100"/>
      <c r="G541" s="100" t="s">
        <v>3362</v>
      </c>
      <c r="H541" s="100"/>
      <c r="I541" s="100"/>
      <c r="J541" s="100"/>
      <c r="K541" s="101" t="s">
        <v>3363</v>
      </c>
    </row>
    <row r="542" spans="1:11" ht="71" x14ac:dyDescent="0.2">
      <c r="A542" s="100" t="s">
        <v>3364</v>
      </c>
      <c r="B542" s="100" t="s">
        <v>3365</v>
      </c>
      <c r="C542" s="100" t="s">
        <v>1198</v>
      </c>
      <c r="D542" s="100"/>
      <c r="E542" s="100" t="s">
        <v>3366</v>
      </c>
      <c r="F542" s="100"/>
      <c r="G542" s="100"/>
      <c r="H542" s="100"/>
      <c r="I542" s="100"/>
      <c r="J542" s="100"/>
      <c r="K542" s="101" t="s">
        <v>3367</v>
      </c>
    </row>
    <row r="543" spans="1:11" ht="359" x14ac:dyDescent="0.2">
      <c r="A543" s="100" t="s">
        <v>3368</v>
      </c>
      <c r="B543" s="100" t="s">
        <v>3369</v>
      </c>
      <c r="C543" s="100" t="s">
        <v>3370</v>
      </c>
      <c r="D543" s="100"/>
      <c r="E543" s="100" t="s">
        <v>3371</v>
      </c>
      <c r="F543" s="100"/>
      <c r="G543" s="100" t="s">
        <v>3372</v>
      </c>
      <c r="H543" s="100"/>
      <c r="I543" s="100"/>
      <c r="J543" s="100"/>
      <c r="K543" s="101" t="s">
        <v>3373</v>
      </c>
    </row>
    <row r="544" spans="1:11" ht="71" x14ac:dyDescent="0.2">
      <c r="A544" s="100" t="s">
        <v>585</v>
      </c>
      <c r="B544" s="100" t="s">
        <v>3374</v>
      </c>
      <c r="C544" s="100" t="s">
        <v>3375</v>
      </c>
      <c r="D544" s="100"/>
      <c r="E544" s="100"/>
      <c r="F544" s="100"/>
      <c r="G544" s="100" t="s">
        <v>3376</v>
      </c>
      <c r="H544" s="100"/>
      <c r="I544" s="100"/>
      <c r="J544" s="100"/>
      <c r="K544" s="101" t="s">
        <v>3377</v>
      </c>
    </row>
    <row r="545" spans="1:11" ht="141" x14ac:dyDescent="0.2">
      <c r="A545" s="100" t="s">
        <v>434</v>
      </c>
      <c r="B545" s="100" t="s">
        <v>3378</v>
      </c>
      <c r="C545" s="100" t="s">
        <v>3379</v>
      </c>
      <c r="D545" s="100"/>
      <c r="E545" s="100" t="s">
        <v>3380</v>
      </c>
      <c r="F545" s="100"/>
      <c r="G545" s="100" t="s">
        <v>3381</v>
      </c>
      <c r="H545" s="100"/>
      <c r="I545" s="100"/>
      <c r="J545" s="100"/>
      <c r="K545" s="101" t="s">
        <v>3382</v>
      </c>
    </row>
    <row r="546" spans="1:11" x14ac:dyDescent="0.2">
      <c r="A546" s="100" t="s">
        <v>415</v>
      </c>
      <c r="B546" s="100" t="s">
        <v>3383</v>
      </c>
      <c r="C546" s="100" t="s">
        <v>3384</v>
      </c>
      <c r="D546" s="100"/>
      <c r="E546" s="100" t="s">
        <v>3385</v>
      </c>
      <c r="F546" s="100"/>
      <c r="G546" s="100"/>
      <c r="H546" s="100"/>
      <c r="I546" s="100"/>
      <c r="J546" s="100"/>
      <c r="K546" s="100"/>
    </row>
    <row r="547" spans="1:11" ht="346" x14ac:dyDescent="0.2">
      <c r="A547" s="100" t="s">
        <v>251</v>
      </c>
      <c r="B547" s="100" t="s">
        <v>3386</v>
      </c>
      <c r="C547" s="100" t="s">
        <v>3387</v>
      </c>
      <c r="D547" s="100"/>
      <c r="E547" s="100" t="s">
        <v>3388</v>
      </c>
      <c r="F547" s="100"/>
      <c r="G547" s="100"/>
      <c r="H547" s="100"/>
      <c r="I547" s="100"/>
      <c r="J547" s="100"/>
      <c r="K547" s="101" t="s">
        <v>3389</v>
      </c>
    </row>
    <row r="548" spans="1:11" x14ac:dyDescent="0.2">
      <c r="A548" s="100" t="s">
        <v>544</v>
      </c>
      <c r="B548" s="100" t="s">
        <v>3390</v>
      </c>
      <c r="C548" s="100" t="s">
        <v>3391</v>
      </c>
      <c r="D548" s="100"/>
      <c r="E548" s="100"/>
      <c r="F548" s="100"/>
      <c r="G548" s="100" t="s">
        <v>3392</v>
      </c>
      <c r="H548" s="100"/>
      <c r="I548" s="100"/>
      <c r="J548" s="100"/>
      <c r="K548" s="100"/>
    </row>
    <row r="549" spans="1:11" ht="409.6" x14ac:dyDescent="0.2">
      <c r="A549" s="100" t="s">
        <v>613</v>
      </c>
      <c r="B549" s="100" t="s">
        <v>3393</v>
      </c>
      <c r="C549" s="100" t="s">
        <v>3394</v>
      </c>
      <c r="D549" s="100"/>
      <c r="E549" s="100"/>
      <c r="F549" s="100"/>
      <c r="G549" s="100"/>
      <c r="H549" s="100"/>
      <c r="I549" s="100"/>
      <c r="J549" s="100"/>
      <c r="K549" s="101" t="s">
        <v>3395</v>
      </c>
    </row>
    <row r="550" spans="1:11" ht="127" x14ac:dyDescent="0.2">
      <c r="A550" s="100" t="s">
        <v>3368</v>
      </c>
      <c r="B550" s="100" t="s">
        <v>3396</v>
      </c>
      <c r="C550" s="100" t="s">
        <v>2957</v>
      </c>
      <c r="D550" s="100"/>
      <c r="E550" s="100" t="s">
        <v>3397</v>
      </c>
      <c r="F550" s="100"/>
      <c r="G550" s="100" t="s">
        <v>3398</v>
      </c>
      <c r="H550" s="100"/>
      <c r="I550" s="100"/>
      <c r="J550" s="100"/>
      <c r="K550" s="101" t="s">
        <v>3399</v>
      </c>
    </row>
    <row r="551" spans="1:11" ht="71" x14ac:dyDescent="0.2">
      <c r="A551" s="100" t="s">
        <v>1755</v>
      </c>
      <c r="B551" s="100" t="s">
        <v>3400</v>
      </c>
      <c r="C551" s="100" t="s">
        <v>2996</v>
      </c>
      <c r="D551" s="100"/>
      <c r="E551" s="100" t="s">
        <v>3401</v>
      </c>
      <c r="F551" s="100"/>
      <c r="G551" s="100" t="s">
        <v>3402</v>
      </c>
      <c r="H551" s="100"/>
      <c r="I551" s="100"/>
      <c r="J551" s="100"/>
      <c r="K551" s="101" t="s">
        <v>3403</v>
      </c>
    </row>
    <row r="552" spans="1:11" ht="183" x14ac:dyDescent="0.2">
      <c r="A552" s="100" t="s">
        <v>422</v>
      </c>
      <c r="B552" s="100" t="s">
        <v>3404</v>
      </c>
      <c r="C552" s="100" t="s">
        <v>3405</v>
      </c>
      <c r="D552" s="100"/>
      <c r="E552" s="100" t="s">
        <v>3406</v>
      </c>
      <c r="F552" s="100"/>
      <c r="G552" s="100"/>
      <c r="H552" s="100"/>
      <c r="I552" s="100"/>
      <c r="J552" s="100"/>
      <c r="K552" s="101" t="s">
        <v>3407</v>
      </c>
    </row>
    <row r="553" spans="1:11" ht="85" x14ac:dyDescent="0.2">
      <c r="A553" s="100" t="s">
        <v>1523</v>
      </c>
      <c r="B553" s="100" t="s">
        <v>3408</v>
      </c>
      <c r="C553" s="100" t="s">
        <v>3409</v>
      </c>
      <c r="D553" s="100"/>
      <c r="E553" s="100" t="s">
        <v>3410</v>
      </c>
      <c r="F553" s="100"/>
      <c r="G553" s="100" t="s">
        <v>3411</v>
      </c>
      <c r="H553" s="100"/>
      <c r="I553" s="100"/>
      <c r="J553" s="100"/>
      <c r="K553" s="101" t="s">
        <v>3412</v>
      </c>
    </row>
    <row r="554" spans="1:11" ht="43" x14ac:dyDescent="0.2">
      <c r="A554" s="100" t="s">
        <v>569</v>
      </c>
      <c r="B554" s="100" t="s">
        <v>3413</v>
      </c>
      <c r="C554" s="101" t="s">
        <v>3414</v>
      </c>
      <c r="D554" s="100"/>
      <c r="E554" s="100" t="s">
        <v>3415</v>
      </c>
      <c r="F554" s="100"/>
      <c r="G554" s="100" t="s">
        <v>3416</v>
      </c>
      <c r="H554" s="100"/>
      <c r="I554" s="100"/>
      <c r="J554" s="100"/>
      <c r="K554" s="100"/>
    </row>
    <row r="555" spans="1:11" ht="169" x14ac:dyDescent="0.2">
      <c r="A555" s="100" t="s">
        <v>640</v>
      </c>
      <c r="B555" s="100" t="s">
        <v>3417</v>
      </c>
      <c r="C555" s="100" t="s">
        <v>1020</v>
      </c>
      <c r="D555" s="100"/>
      <c r="E555" s="100" t="s">
        <v>3418</v>
      </c>
      <c r="F555" s="100"/>
      <c r="G555" s="100"/>
      <c r="H555" s="100"/>
      <c r="I555" s="100"/>
      <c r="J555" s="100"/>
      <c r="K555" s="101" t="s">
        <v>3419</v>
      </c>
    </row>
    <row r="556" spans="1:11" ht="409.6" x14ac:dyDescent="0.2">
      <c r="A556" s="100" t="s">
        <v>642</v>
      </c>
      <c r="B556" s="100" t="s">
        <v>3420</v>
      </c>
      <c r="C556" s="100" t="s">
        <v>1020</v>
      </c>
      <c r="D556" s="100"/>
      <c r="E556" s="100"/>
      <c r="F556" s="100"/>
      <c r="G556" s="100" t="s">
        <v>3421</v>
      </c>
      <c r="H556" s="100"/>
      <c r="I556" s="100"/>
      <c r="J556" s="100"/>
      <c r="K556" s="101" t="s">
        <v>3422</v>
      </c>
    </row>
    <row r="557" spans="1:11" ht="127" x14ac:dyDescent="0.2">
      <c r="A557" s="100" t="s">
        <v>331</v>
      </c>
      <c r="B557" s="100" t="s">
        <v>3423</v>
      </c>
      <c r="C557" s="100" t="s">
        <v>1020</v>
      </c>
      <c r="D557" s="100"/>
      <c r="E557" s="100" t="s">
        <v>3424</v>
      </c>
      <c r="F557" s="100"/>
      <c r="G557" s="100" t="s">
        <v>3425</v>
      </c>
      <c r="H557" s="100"/>
      <c r="I557" s="100"/>
      <c r="J557" s="100"/>
      <c r="K557" s="101" t="s">
        <v>3426</v>
      </c>
    </row>
    <row r="558" spans="1:11" ht="385" x14ac:dyDescent="0.2">
      <c r="A558" s="100" t="s">
        <v>613</v>
      </c>
      <c r="B558" s="100" t="s">
        <v>3427</v>
      </c>
      <c r="C558" s="100" t="s">
        <v>3428</v>
      </c>
      <c r="D558" s="100"/>
      <c r="E558" s="100" t="s">
        <v>3429</v>
      </c>
      <c r="F558" s="100"/>
      <c r="G558" s="100"/>
      <c r="H558" s="100"/>
      <c r="I558" s="100"/>
      <c r="J558" s="100"/>
      <c r="K558" s="101" t="s">
        <v>3430</v>
      </c>
    </row>
    <row r="559" spans="1:11" ht="43" x14ac:dyDescent="0.2">
      <c r="A559" s="100" t="s">
        <v>128</v>
      </c>
      <c r="B559" s="100" t="s">
        <v>3431</v>
      </c>
      <c r="C559" s="100" t="s">
        <v>3432</v>
      </c>
      <c r="D559" s="100"/>
      <c r="E559" s="100" t="s">
        <v>3433</v>
      </c>
      <c r="F559" s="100"/>
      <c r="G559" s="100" t="s">
        <v>3434</v>
      </c>
      <c r="H559" s="100"/>
      <c r="I559" s="100"/>
      <c r="J559" s="100"/>
      <c r="K559" s="101" t="s">
        <v>3435</v>
      </c>
    </row>
    <row r="560" spans="1:11" ht="29" x14ac:dyDescent="0.2">
      <c r="A560" s="100" t="s">
        <v>677</v>
      </c>
      <c r="B560" s="100" t="s">
        <v>3436</v>
      </c>
      <c r="C560" s="100" t="s">
        <v>2611</v>
      </c>
      <c r="D560" s="100"/>
      <c r="E560" s="100"/>
      <c r="F560" s="100"/>
      <c r="G560" s="100" t="s">
        <v>3437</v>
      </c>
      <c r="H560" s="100"/>
      <c r="I560" s="100"/>
      <c r="J560" s="100"/>
      <c r="K560" s="101" t="s">
        <v>3438</v>
      </c>
    </row>
    <row r="561" spans="1:11" x14ac:dyDescent="0.2">
      <c r="A561" s="100" t="s">
        <v>238</v>
      </c>
      <c r="B561" s="100" t="s">
        <v>3439</v>
      </c>
      <c r="C561" s="100" t="s">
        <v>3440</v>
      </c>
      <c r="D561" s="100"/>
      <c r="E561" s="100"/>
      <c r="F561" s="100"/>
      <c r="G561" s="100" t="s">
        <v>3441</v>
      </c>
      <c r="H561" s="100"/>
      <c r="I561" s="100"/>
      <c r="J561" s="100"/>
      <c r="K561" s="100"/>
    </row>
    <row r="562" spans="1:11" ht="29" x14ac:dyDescent="0.2">
      <c r="A562" s="100" t="s">
        <v>251</v>
      </c>
      <c r="B562" s="100" t="s">
        <v>3442</v>
      </c>
      <c r="C562" s="100" t="s">
        <v>1067</v>
      </c>
      <c r="D562" s="100"/>
      <c r="E562" s="100" t="s">
        <v>3443</v>
      </c>
      <c r="F562" s="100"/>
      <c r="G562" s="100"/>
      <c r="H562" s="100"/>
      <c r="I562" s="100"/>
      <c r="J562" s="100"/>
      <c r="K562" s="101" t="s">
        <v>1540</v>
      </c>
    </row>
    <row r="563" spans="1:11" ht="409.6" x14ac:dyDescent="0.2">
      <c r="A563" s="100" t="s">
        <v>740</v>
      </c>
      <c r="B563" s="100" t="s">
        <v>3444</v>
      </c>
      <c r="C563" s="100" t="s">
        <v>1009</v>
      </c>
      <c r="D563" s="100"/>
      <c r="E563" s="100" t="s">
        <v>3445</v>
      </c>
      <c r="F563" s="100"/>
      <c r="G563" s="100" t="s">
        <v>3446</v>
      </c>
      <c r="H563" s="100"/>
      <c r="I563" s="100"/>
      <c r="J563" s="100"/>
      <c r="K563" s="101" t="s">
        <v>3447</v>
      </c>
    </row>
    <row r="564" spans="1:11" ht="57" x14ac:dyDescent="0.2">
      <c r="A564" s="100" t="s">
        <v>371</v>
      </c>
      <c r="B564" s="100" t="s">
        <v>3448</v>
      </c>
      <c r="C564" s="100" t="s">
        <v>3449</v>
      </c>
      <c r="D564" s="100"/>
      <c r="E564" s="100" t="s">
        <v>3450</v>
      </c>
      <c r="F564" s="100"/>
      <c r="G564" s="100" t="s">
        <v>3451</v>
      </c>
      <c r="H564" s="100"/>
      <c r="I564" s="100"/>
      <c r="J564" s="100"/>
      <c r="K564" s="101" t="s">
        <v>3452</v>
      </c>
    </row>
    <row r="565" spans="1:11" ht="197" x14ac:dyDescent="0.2">
      <c r="A565" s="100" t="s">
        <v>113</v>
      </c>
      <c r="B565" s="100" t="s">
        <v>3453</v>
      </c>
      <c r="C565" s="100" t="s">
        <v>3454</v>
      </c>
      <c r="D565" s="100"/>
      <c r="E565" s="100" t="s">
        <v>3455</v>
      </c>
      <c r="F565" s="100"/>
      <c r="G565" s="100"/>
      <c r="H565" s="100"/>
      <c r="I565" s="100"/>
      <c r="J565" s="100"/>
      <c r="K565" s="101" t="s">
        <v>3456</v>
      </c>
    </row>
    <row r="566" spans="1:11" ht="29" x14ac:dyDescent="0.2">
      <c r="A566" s="100" t="s">
        <v>401</v>
      </c>
      <c r="B566" s="100" t="s">
        <v>3457</v>
      </c>
      <c r="C566" s="100" t="s">
        <v>3458</v>
      </c>
      <c r="D566" s="100"/>
      <c r="E566" s="100" t="s">
        <v>3459</v>
      </c>
      <c r="F566" s="100"/>
      <c r="G566" s="100" t="s">
        <v>3460</v>
      </c>
      <c r="H566" s="100"/>
      <c r="I566" s="100"/>
      <c r="J566" s="100"/>
      <c r="K566" s="101" t="s">
        <v>1540</v>
      </c>
    </row>
    <row r="567" spans="1:11" ht="385" x14ac:dyDescent="0.2">
      <c r="A567" s="100" t="s">
        <v>98</v>
      </c>
      <c r="B567" s="100" t="s">
        <v>3461</v>
      </c>
      <c r="C567" s="100" t="s">
        <v>3462</v>
      </c>
      <c r="D567" s="100"/>
      <c r="E567" s="100" t="s">
        <v>3463</v>
      </c>
      <c r="F567" s="100"/>
      <c r="G567" s="100" t="s">
        <v>3464</v>
      </c>
      <c r="H567" s="100"/>
      <c r="I567" s="100"/>
      <c r="J567" s="100"/>
      <c r="K567" s="101" t="s">
        <v>3465</v>
      </c>
    </row>
    <row r="568" spans="1:11" ht="211" x14ac:dyDescent="0.2">
      <c r="A568" s="100" t="s">
        <v>224</v>
      </c>
      <c r="B568" s="100" t="s">
        <v>3466</v>
      </c>
      <c r="C568" s="100" t="s">
        <v>3467</v>
      </c>
      <c r="D568" s="100"/>
      <c r="E568" s="100" t="s">
        <v>3468</v>
      </c>
      <c r="F568" s="100"/>
      <c r="G568" s="100"/>
      <c r="H568" s="100"/>
      <c r="I568" s="100"/>
      <c r="J568" s="100"/>
      <c r="K568" s="101" t="s">
        <v>3469</v>
      </c>
    </row>
    <row r="569" spans="1:11" ht="359" x14ac:dyDescent="0.2">
      <c r="A569" s="100" t="s">
        <v>685</v>
      </c>
      <c r="B569" s="100" t="s">
        <v>3470</v>
      </c>
      <c r="C569" s="100" t="s">
        <v>1421</v>
      </c>
      <c r="D569" s="100"/>
      <c r="E569" s="100" t="s">
        <v>3471</v>
      </c>
      <c r="F569" s="100"/>
      <c r="G569" s="100"/>
      <c r="H569" s="100"/>
      <c r="I569" s="100"/>
      <c r="J569" s="100"/>
      <c r="K569" s="101" t="s">
        <v>3472</v>
      </c>
    </row>
    <row r="570" spans="1:11" ht="211" x14ac:dyDescent="0.2">
      <c r="A570" s="100" t="s">
        <v>314</v>
      </c>
      <c r="B570" s="100" t="s">
        <v>3473</v>
      </c>
      <c r="C570" s="100" t="s">
        <v>3474</v>
      </c>
      <c r="D570" s="100"/>
      <c r="E570" s="100" t="s">
        <v>3475</v>
      </c>
      <c r="F570" s="100"/>
      <c r="G570" s="100" t="s">
        <v>3476</v>
      </c>
      <c r="H570" s="100"/>
      <c r="I570" s="100"/>
      <c r="J570" s="100"/>
      <c r="K570" s="101" t="s">
        <v>3477</v>
      </c>
    </row>
    <row r="571" spans="1:11" ht="141" x14ac:dyDescent="0.2">
      <c r="A571" s="100" t="s">
        <v>314</v>
      </c>
      <c r="B571" s="100" t="s">
        <v>3478</v>
      </c>
      <c r="C571" s="100" t="s">
        <v>3479</v>
      </c>
      <c r="D571" s="100"/>
      <c r="E571" s="100" t="s">
        <v>3480</v>
      </c>
      <c r="F571" s="100"/>
      <c r="G571" s="100" t="s">
        <v>3481</v>
      </c>
      <c r="H571" s="100"/>
      <c r="I571" s="100"/>
      <c r="J571" s="100"/>
      <c r="K571" s="101" t="s">
        <v>3482</v>
      </c>
    </row>
    <row r="572" spans="1:11" ht="346" x14ac:dyDescent="0.2">
      <c r="A572" s="100" t="s">
        <v>3483</v>
      </c>
      <c r="B572" s="100" t="s">
        <v>3484</v>
      </c>
      <c r="C572" s="100" t="s">
        <v>3485</v>
      </c>
      <c r="D572" s="100"/>
      <c r="E572" s="100" t="s">
        <v>3486</v>
      </c>
      <c r="F572" s="100"/>
      <c r="G572" s="100"/>
      <c r="H572" s="100"/>
      <c r="I572" s="100"/>
      <c r="J572" s="100"/>
      <c r="K572" s="101" t="s">
        <v>3487</v>
      </c>
    </row>
    <row r="573" spans="1:11" ht="29" x14ac:dyDescent="0.2">
      <c r="A573" s="100" t="s">
        <v>425</v>
      </c>
      <c r="B573" s="100" t="s">
        <v>3488</v>
      </c>
      <c r="C573" s="100" t="s">
        <v>1714</v>
      </c>
      <c r="D573" s="100"/>
      <c r="E573" s="100" t="s">
        <v>3489</v>
      </c>
      <c r="F573" s="100" t="s">
        <v>3490</v>
      </c>
      <c r="G573" s="100" t="s">
        <v>3491</v>
      </c>
      <c r="H573" s="100"/>
      <c r="I573" s="100"/>
      <c r="J573" s="100"/>
      <c r="K573" s="101" t="s">
        <v>3492</v>
      </c>
    </row>
    <row r="574" spans="1:11" ht="29" x14ac:dyDescent="0.2">
      <c r="A574" s="100" t="s">
        <v>425</v>
      </c>
      <c r="B574" s="100" t="s">
        <v>3493</v>
      </c>
      <c r="C574" s="100" t="s">
        <v>3494</v>
      </c>
      <c r="D574" s="100"/>
      <c r="E574" s="100" t="s">
        <v>3495</v>
      </c>
      <c r="F574" s="100"/>
      <c r="G574" s="100" t="s">
        <v>3496</v>
      </c>
      <c r="H574" s="100"/>
      <c r="I574" s="100"/>
      <c r="J574" s="100"/>
      <c r="K574" s="101" t="s">
        <v>3497</v>
      </c>
    </row>
    <row r="575" spans="1:11" ht="29" x14ac:dyDescent="0.2">
      <c r="A575" s="100" t="s">
        <v>491</v>
      </c>
      <c r="B575" s="100" t="s">
        <v>3498</v>
      </c>
      <c r="C575" s="100"/>
      <c r="D575" s="100"/>
      <c r="E575" s="100" t="s">
        <v>3499</v>
      </c>
      <c r="F575" s="100"/>
      <c r="G575" s="100">
        <v>447873110171</v>
      </c>
      <c r="H575" s="100"/>
      <c r="I575" s="100"/>
      <c r="J575" s="100"/>
      <c r="K575" s="101" t="s">
        <v>3500</v>
      </c>
    </row>
    <row r="576" spans="1:11" ht="43" x14ac:dyDescent="0.2">
      <c r="A576" s="100" t="s">
        <v>515</v>
      </c>
      <c r="B576" s="100" t="s">
        <v>3501</v>
      </c>
      <c r="C576" s="100"/>
      <c r="D576" s="100"/>
      <c r="E576" s="100" t="s">
        <v>3502</v>
      </c>
      <c r="F576" s="101" t="s">
        <v>3503</v>
      </c>
      <c r="G576" s="100" t="s">
        <v>3504</v>
      </c>
      <c r="H576" s="100"/>
      <c r="I576" s="100"/>
      <c r="J576" s="100"/>
      <c r="K576" s="101" t="s">
        <v>3505</v>
      </c>
    </row>
    <row r="577" spans="1:11" x14ac:dyDescent="0.2">
      <c r="A577" s="100" t="s">
        <v>371</v>
      </c>
      <c r="B577" s="100" t="s">
        <v>3506</v>
      </c>
      <c r="C577" s="100"/>
      <c r="D577" s="100"/>
      <c r="E577" s="100" t="s">
        <v>3507</v>
      </c>
      <c r="F577" s="100"/>
      <c r="G577" s="100" t="s">
        <v>3508</v>
      </c>
      <c r="H577" s="100"/>
      <c r="I577" s="100"/>
      <c r="J577" s="100"/>
      <c r="K577" s="100"/>
    </row>
    <row r="578" spans="1:11" ht="29" x14ac:dyDescent="0.2">
      <c r="A578" s="100" t="s">
        <v>571</v>
      </c>
      <c r="B578" s="100" t="s">
        <v>3509</v>
      </c>
      <c r="C578" s="100"/>
      <c r="D578" s="100"/>
      <c r="E578" s="100" t="s">
        <v>3510</v>
      </c>
      <c r="F578" s="100"/>
      <c r="G578" s="100">
        <v>9345256878</v>
      </c>
      <c r="H578" s="100"/>
      <c r="I578" s="100"/>
      <c r="J578" s="100"/>
      <c r="K578" s="101" t="s">
        <v>1540</v>
      </c>
    </row>
    <row r="579" spans="1:11" ht="29" x14ac:dyDescent="0.2">
      <c r="A579" s="100" t="s">
        <v>583</v>
      </c>
      <c r="B579" s="100" t="s">
        <v>3511</v>
      </c>
      <c r="C579" s="100"/>
      <c r="D579" s="100"/>
      <c r="E579" s="100" t="s">
        <v>3512</v>
      </c>
      <c r="F579" s="100"/>
      <c r="G579" s="100" t="s">
        <v>3513</v>
      </c>
      <c r="H579" s="100"/>
      <c r="I579" s="100"/>
      <c r="J579" s="100"/>
      <c r="K579" s="101" t="s">
        <v>1540</v>
      </c>
    </row>
    <row r="580" spans="1:11" ht="29" x14ac:dyDescent="0.2">
      <c r="A580" s="100" t="s">
        <v>619</v>
      </c>
      <c r="B580" s="100" t="s">
        <v>3514</v>
      </c>
      <c r="C580" s="100"/>
      <c r="D580" s="100"/>
      <c r="E580" s="100" t="s">
        <v>3515</v>
      </c>
      <c r="F580" s="100"/>
      <c r="G580" s="100" t="s">
        <v>3516</v>
      </c>
      <c r="H580" s="100"/>
      <c r="I580" s="100"/>
      <c r="J580" s="100"/>
      <c r="K580" s="101" t="s">
        <v>1540</v>
      </c>
    </row>
    <row r="581" spans="1:11" ht="183" x14ac:dyDescent="0.2">
      <c r="A581" s="100" t="s">
        <v>383</v>
      </c>
      <c r="B581" s="100" t="s">
        <v>3517</v>
      </c>
      <c r="C581" s="100"/>
      <c r="D581" s="100"/>
      <c r="E581" s="100" t="s">
        <v>3518</v>
      </c>
      <c r="F581" s="101" t="s">
        <v>3304</v>
      </c>
      <c r="G581" s="100"/>
      <c r="H581" s="100"/>
      <c r="I581" s="100"/>
      <c r="J581" s="100"/>
      <c r="K581" s="101" t="s">
        <v>3519</v>
      </c>
    </row>
    <row r="582" spans="1:11" ht="409.6" x14ac:dyDescent="0.2">
      <c r="A582" s="100" t="s">
        <v>669</v>
      </c>
      <c r="B582" s="100" t="s">
        <v>3520</v>
      </c>
      <c r="C582" s="100"/>
      <c r="D582" s="100"/>
      <c r="E582" s="100" t="s">
        <v>3521</v>
      </c>
      <c r="F582" s="100"/>
      <c r="G582" s="100"/>
      <c r="H582" s="100"/>
      <c r="I582" s="100"/>
      <c r="J582" s="100"/>
      <c r="K582" s="101" t="s">
        <v>3522</v>
      </c>
    </row>
    <row r="583" spans="1:11" x14ac:dyDescent="0.2">
      <c r="A583" s="100" t="s">
        <v>1516</v>
      </c>
      <c r="B583" s="100" t="s">
        <v>3523</v>
      </c>
      <c r="C583" s="100"/>
      <c r="D583" s="100"/>
      <c r="E583" s="100" t="s">
        <v>3524</v>
      </c>
      <c r="F583" s="100"/>
      <c r="G583" s="100">
        <v>85290813032</v>
      </c>
      <c r="H583" s="100"/>
      <c r="I583" s="100"/>
      <c r="J583" s="100"/>
      <c r="K583" s="100"/>
    </row>
    <row r="584" spans="1:11" ht="211" x14ac:dyDescent="0.2">
      <c r="A584" s="100" t="s">
        <v>224</v>
      </c>
      <c r="B584" s="100" t="s">
        <v>3525</v>
      </c>
      <c r="C584" s="100"/>
      <c r="D584" s="100"/>
      <c r="E584" s="100"/>
      <c r="F584" s="100"/>
      <c r="G584" s="100"/>
      <c r="H584" s="100"/>
      <c r="I584" s="100"/>
      <c r="J584" s="100"/>
      <c r="K584" s="101" t="s">
        <v>3526</v>
      </c>
    </row>
    <row r="585" spans="1:11" ht="29" x14ac:dyDescent="0.2">
      <c r="A585" s="100" t="s">
        <v>335</v>
      </c>
      <c r="B585" s="100" t="s">
        <v>3527</v>
      </c>
      <c r="C585" s="100"/>
      <c r="D585" s="100"/>
      <c r="E585" s="100" t="s">
        <v>3528</v>
      </c>
      <c r="F585" s="100" t="s">
        <v>3529</v>
      </c>
      <c r="G585" s="100"/>
      <c r="H585" s="100"/>
      <c r="I585" s="100"/>
      <c r="J585" s="100"/>
      <c r="K585" s="101" t="s">
        <v>1540</v>
      </c>
    </row>
    <row r="586" spans="1:11" x14ac:dyDescent="0.2">
      <c r="A586" s="100" t="s">
        <v>335</v>
      </c>
      <c r="B586" s="100" t="s">
        <v>3530</v>
      </c>
      <c r="C586" s="100"/>
      <c r="D586" s="100"/>
      <c r="E586" s="100" t="s">
        <v>3531</v>
      </c>
      <c r="F586" s="100" t="s">
        <v>3529</v>
      </c>
      <c r="G586" s="100" t="s">
        <v>3532</v>
      </c>
      <c r="H586" s="100"/>
      <c r="I586" s="100"/>
      <c r="J586" s="100"/>
      <c r="K586" s="100"/>
    </row>
    <row r="587" spans="1:11" ht="29" x14ac:dyDescent="0.2">
      <c r="A587" s="100" t="s">
        <v>55</v>
      </c>
      <c r="B587" s="100" t="s">
        <v>3533</v>
      </c>
      <c r="C587" s="100"/>
      <c r="D587" s="100"/>
      <c r="E587" s="100" t="s">
        <v>3534</v>
      </c>
      <c r="F587" s="100" t="e">
        <f>-Fay Chenakarnkul, Norfund</f>
        <v>#NAME?</v>
      </c>
      <c r="G587" s="100"/>
      <c r="H587" s="100"/>
      <c r="I587" s="100"/>
      <c r="J587" s="100"/>
      <c r="K587" s="101" t="s">
        <v>1540</v>
      </c>
    </row>
    <row r="588" spans="1:11" ht="409.6" x14ac:dyDescent="0.2">
      <c r="A588" s="100" t="s">
        <v>838</v>
      </c>
      <c r="B588" s="100" t="s">
        <v>3535</v>
      </c>
      <c r="C588" s="100"/>
      <c r="D588" s="100"/>
      <c r="E588" s="100"/>
      <c r="F588" s="100"/>
      <c r="G588" s="100" t="s">
        <v>3536</v>
      </c>
      <c r="H588" s="100"/>
      <c r="I588" s="100"/>
      <c r="J588" s="100"/>
      <c r="K588" s="101" t="s">
        <v>3537</v>
      </c>
    </row>
    <row r="589" spans="1:11" ht="197" x14ac:dyDescent="0.2">
      <c r="A589" s="100" t="s">
        <v>431</v>
      </c>
      <c r="B589" s="100" t="s">
        <v>3538</v>
      </c>
      <c r="C589" s="100"/>
      <c r="D589" s="100"/>
      <c r="E589" s="100" t="s">
        <v>3539</v>
      </c>
      <c r="F589" s="100" t="s">
        <v>3529</v>
      </c>
      <c r="G589" s="100"/>
      <c r="H589" s="100"/>
      <c r="I589" s="100"/>
      <c r="J589" s="100"/>
      <c r="K589" s="101" t="s">
        <v>3540</v>
      </c>
    </row>
  </sheetData>
  <dataValidations count="4">
    <dataValidation type="list" allowBlank="1" showInputMessage="1" showErrorMessage="1" sqref="A2:A55" xr:uid="{39D8C930-48B9-4FC6-B17D-3309AAD109BC}">
      <formula1>Contact_Co</formula1>
    </dataValidation>
    <dataValidation type="list" allowBlank="1" showInputMessage="1" showErrorMessage="1" sqref="J2:J55" xr:uid="{D256BB22-3D93-452F-AE79-EA2DEA203318}">
      <formula1>SubLocation</formula1>
    </dataValidation>
    <dataValidation type="list" allowBlank="1" showInputMessage="1" showErrorMessage="1" sqref="I2:I55" xr:uid="{05A17515-5C34-4438-A0AA-B260520BC021}">
      <formula1>Location</formula1>
    </dataValidation>
    <dataValidation type="list" allowBlank="1" showInputMessage="1" showErrorMessage="1" sqref="H2:H55" xr:uid="{5649E2F6-FDDA-4937-8621-E4F5615F9026}">
      <formula1>Geography</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90254-CBFB-4438-AA90-A8494C2E60BA}">
  <dimension ref="A3:E76"/>
  <sheetViews>
    <sheetView topLeftCell="A3" zoomScale="70" zoomScaleNormal="70" workbookViewId="0">
      <selection activeCell="J27" sqref="J26:K27"/>
    </sheetView>
  </sheetViews>
  <sheetFormatPr baseColWidth="10" defaultColWidth="8.83203125" defaultRowHeight="13" x14ac:dyDescent="0.15"/>
  <cols>
    <col min="1" max="1" width="17.1640625" style="67" customWidth="1"/>
    <col min="2" max="2" width="26.6640625" style="67" bestFit="1" customWidth="1"/>
    <col min="3" max="3" width="9" style="67" bestFit="1" customWidth="1"/>
    <col min="4" max="4" width="33.33203125" style="67" customWidth="1"/>
    <col min="5" max="5" width="67.6640625" style="67" customWidth="1"/>
    <col min="6" max="16384" width="8.83203125" style="67"/>
  </cols>
  <sheetData>
    <row r="3" spans="1:5" ht="39" x14ac:dyDescent="0.15">
      <c r="A3" s="103" t="s">
        <v>1271</v>
      </c>
      <c r="B3" s="103" t="s">
        <v>140</v>
      </c>
      <c r="C3" s="103" t="s">
        <v>178</v>
      </c>
      <c r="D3" s="103" t="str">
        <f>'Rearranage Contacts (2)'!$B$3</f>
        <v>Investor Type</v>
      </c>
      <c r="E3" s="103" t="s">
        <v>24</v>
      </c>
    </row>
    <row r="4" spans="1:5" x14ac:dyDescent="0.15">
      <c r="A4" s="104" t="str">
        <f>Summary_FR!B4</f>
        <v>Invested</v>
      </c>
      <c r="B4" s="105" t="str">
        <f>Summary_FR!E4</f>
        <v>IOB</v>
      </c>
      <c r="C4" s="105">
        <f>Summary_FR!G4</f>
        <v>5</v>
      </c>
      <c r="D4" s="105" t="str">
        <f>Summary_FR!H4</f>
        <v>PSU Banks / PFIs</v>
      </c>
      <c r="E4" s="105" t="str">
        <f>Summary_FR!Q4</f>
        <v>Need to send contribution Agreement - Received Rs 5 Cr LOI</v>
      </c>
    </row>
    <row r="5" spans="1:5" x14ac:dyDescent="0.15">
      <c r="A5" s="104" t="str">
        <f>Summary_FR!B5</f>
        <v>Invested</v>
      </c>
      <c r="B5" s="105" t="str">
        <f>Summary_FR!E5</f>
        <v>TIDCO</v>
      </c>
      <c r="C5" s="105">
        <f>Summary_FR!G5</f>
        <v>30</v>
      </c>
      <c r="D5" s="105" t="str">
        <f>Summary_FR!H5</f>
        <v>Others</v>
      </c>
      <c r="E5" s="105" t="str">
        <f>Summary_FR!Q5</f>
        <v>THE GO is the Commitment Letter for TIDCO and TIDEL</v>
      </c>
    </row>
    <row r="6" spans="1:5" x14ac:dyDescent="0.15">
      <c r="A6" s="104" t="str">
        <f>Summary_FR!B6</f>
        <v>Invested</v>
      </c>
      <c r="B6" s="105" t="str">
        <f>Summary_FR!E6</f>
        <v>TIDEL</v>
      </c>
      <c r="C6" s="105">
        <f>Summary_FR!G6</f>
        <v>0</v>
      </c>
      <c r="D6" s="105" t="str">
        <f>Summary_FR!H6</f>
        <v>Others</v>
      </c>
      <c r="E6" s="105">
        <f>Summary_FR!Q6</f>
        <v>0</v>
      </c>
    </row>
    <row r="7" spans="1:5" x14ac:dyDescent="0.15">
      <c r="A7" s="104" t="str">
        <f>Summary_FR!B7</f>
        <v>Open</v>
      </c>
      <c r="B7" s="105" t="str">
        <f>Summary_FR!E7</f>
        <v>Euro Asia Advisors</v>
      </c>
      <c r="C7" s="105">
        <f>Summary_FR!G7</f>
        <v>0</v>
      </c>
      <c r="D7" s="105" t="str">
        <f>Summary_FR!H7</f>
        <v>Advisor</v>
      </c>
      <c r="E7" s="105" t="str">
        <f>Summary_FR!Q7</f>
        <v>Setting up meetings in EU in month of October</v>
      </c>
    </row>
    <row r="8" spans="1:5" x14ac:dyDescent="0.15">
      <c r="A8" s="104" t="str">
        <f>Summary_FR!B8</f>
        <v>Open</v>
      </c>
      <c r="B8" s="105" t="str">
        <f>Summary_FR!E8</f>
        <v>SBI Caps</v>
      </c>
      <c r="C8" s="105">
        <f>Summary_FR!G8</f>
        <v>0</v>
      </c>
      <c r="D8" s="105" t="str">
        <f>Summary_FR!H8</f>
        <v>Advisor</v>
      </c>
      <c r="E8" s="105">
        <f>Summary_FR!Q8</f>
        <v>0</v>
      </c>
    </row>
    <row r="9" spans="1:5" ht="41.5" customHeight="1" x14ac:dyDescent="0.15">
      <c r="A9" s="104" t="str">
        <f>Summary_FR!B9</f>
        <v>Open</v>
      </c>
      <c r="B9" s="105" t="str">
        <f>Summary_FR!E9</f>
        <v>SKC</v>
      </c>
      <c r="C9" s="105">
        <f>Summary_FR!G9</f>
        <v>0</v>
      </c>
      <c r="D9" s="105" t="str">
        <f>Summary_FR!H9</f>
        <v>Advisor</v>
      </c>
      <c r="E9" s="105">
        <f>Summary_FR!Q9</f>
        <v>0</v>
      </c>
    </row>
    <row r="10" spans="1:5" x14ac:dyDescent="0.15">
      <c r="A10" s="104" t="str">
        <f>Summary_FR!B10</f>
        <v>Open</v>
      </c>
      <c r="B10" s="105" t="str">
        <f>Summary_FR!E10</f>
        <v>Tipsons Group</v>
      </c>
      <c r="C10" s="105">
        <f>Summary_FR!G10</f>
        <v>0</v>
      </c>
      <c r="D10" s="105" t="str">
        <f>Summary_FR!H10</f>
        <v>Advisor</v>
      </c>
      <c r="E10" s="105" t="str">
        <f>Summary_FR!Q10</f>
        <v>Meeting with the senior management in w/b 11 Nov 2024</v>
      </c>
    </row>
    <row r="11" spans="1:5" ht="45.5" customHeight="1" x14ac:dyDescent="0.15">
      <c r="A11" s="104" t="str">
        <f>Summary_FR!B11</f>
        <v>Inv / Credit Committee</v>
      </c>
      <c r="B11" s="105" t="str">
        <f>Summary_FR!E11</f>
        <v>ADB - PSOD</v>
      </c>
      <c r="C11" s="105">
        <f>Summary_FR!G11</f>
        <v>200</v>
      </c>
      <c r="D11" s="105" t="str">
        <f>Summary_FR!H11</f>
        <v>SWFs / MFIs / Pension Funds / FoFs</v>
      </c>
      <c r="E11" s="105" t="str">
        <f>Summary_FR!Q11</f>
        <v>They are willing to take the transaction forward. Have queries on a past transaction with TNIFMC</v>
      </c>
    </row>
    <row r="12" spans="1:5" ht="19.25" customHeight="1" x14ac:dyDescent="0.15">
      <c r="A12" s="104" t="str">
        <f>Summary_FR!B12</f>
        <v>Inv / Credit Committee</v>
      </c>
      <c r="B12" s="105" t="str">
        <f>Summary_FR!E12</f>
        <v>Canara Bank</v>
      </c>
      <c r="C12" s="105">
        <f>Summary_FR!G12</f>
        <v>25</v>
      </c>
      <c r="D12" s="105" t="str">
        <f>Summary_FR!H12</f>
        <v>Sponsors</v>
      </c>
      <c r="E12" s="105" t="str">
        <f>Summary_FR!Q12</f>
        <v>Taking it up for their evaluation. Need to follow up MD&amp;CEO</v>
      </c>
    </row>
    <row r="13" spans="1:5" x14ac:dyDescent="0.15">
      <c r="A13" s="104" t="str">
        <f>Summary_FR!B13</f>
        <v>Open</v>
      </c>
      <c r="B13" s="105" t="str">
        <f>Summary_FR!E13</f>
        <v>DEG - Deutsche Inventions</v>
      </c>
      <c r="C13" s="105">
        <f>Summary_FR!G13</f>
        <v>0</v>
      </c>
      <c r="D13" s="105" t="str">
        <f>Summary_FR!H13</f>
        <v>SWFs / MFIs / Pension Funds / FoFs</v>
      </c>
      <c r="E13" s="105" t="str">
        <f>Summary_FR!Q13</f>
        <v>They are keen on ESSF. Want to have a more detailed discussion/call</v>
      </c>
    </row>
    <row r="14" spans="1:5" x14ac:dyDescent="0.15">
      <c r="A14" s="104" t="str">
        <f>Summary_FR!B14</f>
        <v>Open</v>
      </c>
      <c r="B14" s="105" t="str">
        <f>Summary_FR!E14</f>
        <v>Dexter Nicolas - Vietnam</v>
      </c>
      <c r="C14" s="105">
        <f>Summary_FR!G14</f>
        <v>0</v>
      </c>
      <c r="D14" s="105" t="str">
        <f>Summary_FR!H14</f>
        <v>Advisor</v>
      </c>
      <c r="E14" s="105" t="str">
        <f>Summary_FR!Q14</f>
        <v>He has sent details of what he could do to help us</v>
      </c>
    </row>
    <row r="15" spans="1:5" ht="26" x14ac:dyDescent="0.15">
      <c r="A15" s="104" t="str">
        <f>Summary_FR!B15</f>
        <v>Declined</v>
      </c>
      <c r="B15" s="105" t="str">
        <f>Summary_FR!E15</f>
        <v>Finnish Fund of Industrial Cooperation Ltd (FinnFund)</v>
      </c>
      <c r="C15" s="105">
        <f>Summary_FR!G15</f>
        <v>50</v>
      </c>
      <c r="D15" s="105" t="str">
        <f>Summary_FR!H15</f>
        <v>Domestic Pension Funds / Insurance Companies/MFs</v>
      </c>
      <c r="E15" s="105" t="str">
        <f>Summary_FR!Q15</f>
        <v>Finnish Government has decided to close down their Climate investments and Jari Motero who was interacting with us is himself seeking a new position</v>
      </c>
    </row>
    <row r="16" spans="1:5" x14ac:dyDescent="0.15">
      <c r="A16" s="104" t="str">
        <f>Summary_FR!B16</f>
        <v>Closed / Deferred</v>
      </c>
      <c r="B16" s="105" t="str">
        <f>Summary_FR!E16</f>
        <v>Gulf Islamic Investments</v>
      </c>
      <c r="C16" s="105">
        <f>Summary_FR!G16</f>
        <v>25</v>
      </c>
      <c r="D16" s="105" t="str">
        <f>Summary_FR!H16</f>
        <v>Corporates</v>
      </c>
      <c r="E16" s="105" t="str">
        <f>Summary_FR!Q16</f>
        <v>Are interested in TN. Want to evaluate Green Climate Fund. Meeting pending</v>
      </c>
    </row>
    <row r="17" spans="1:5" x14ac:dyDescent="0.15">
      <c r="A17" s="104" t="str">
        <f>Summary_FR!B17</f>
        <v>Open</v>
      </c>
      <c r="B17" s="105" t="str">
        <f>Summary_FR!E17</f>
        <v>HDFC Bank Wealth</v>
      </c>
      <c r="C17" s="105">
        <f>Summary_FR!G17</f>
        <v>50</v>
      </c>
      <c r="D17" s="105" t="str">
        <f>Summary_FR!H17</f>
        <v>SWFs / MFIs / Pension Funds / FoFs</v>
      </c>
      <c r="E17" s="105" t="str">
        <f>Summary_FR!Q17</f>
        <v>They are taking it up with their Wealth Clients</v>
      </c>
    </row>
    <row r="18" spans="1:5" x14ac:dyDescent="0.15">
      <c r="A18" s="104" t="str">
        <f>Summary_FR!B18</f>
        <v>Open</v>
      </c>
      <c r="B18" s="105" t="str">
        <f>Summary_FR!E18</f>
        <v>IFU</v>
      </c>
      <c r="C18" s="105">
        <f>Summary_FR!G18</f>
        <v>50</v>
      </c>
      <c r="D18" s="105" t="str">
        <f>Summary_FR!H18</f>
        <v>PSU Banks / PFIs</v>
      </c>
      <c r="E18" s="105" t="str">
        <f>Summary_FR!Q18</f>
        <v>Interested in GCF. Coordinating and planning meetings in EU in Oct</v>
      </c>
    </row>
    <row r="19" spans="1:5" x14ac:dyDescent="0.15">
      <c r="A19" s="104" t="str">
        <f>Summary_FR!B19</f>
        <v>Inv / Credit Committee</v>
      </c>
      <c r="B19" s="105" t="str">
        <f>Summary_FR!E19</f>
        <v>Indian Bank</v>
      </c>
      <c r="C19" s="105">
        <f>Summary_FR!G19</f>
        <v>25</v>
      </c>
      <c r="D19" s="105" t="str">
        <f>Summary_FR!H19</f>
        <v>Sponsors</v>
      </c>
      <c r="E19" s="105" t="str">
        <f>Summary_FR!Q19</f>
        <v>Taking it up for their evaluation. Need to follow up with their Treasury in Mumbai</v>
      </c>
    </row>
    <row r="20" spans="1:5" x14ac:dyDescent="0.15">
      <c r="A20" s="104" t="str">
        <f>Summary_FR!B20</f>
        <v>Closed / Deferred</v>
      </c>
      <c r="B20" s="105" t="str">
        <f>Summary_FR!E20</f>
        <v>JBIC</v>
      </c>
      <c r="C20" s="105">
        <f>Summary_FR!G20</f>
        <v>300</v>
      </c>
      <c r="D20" s="105" t="str">
        <f>Summary_FR!H20</f>
        <v>Foreign Banks / Insurance Companies</v>
      </c>
      <c r="E20" s="105" t="str">
        <f>Summary_FR!Q20</f>
        <v>They have asked us to coordinate with their investee fund NIIF.</v>
      </c>
    </row>
    <row r="21" spans="1:5" x14ac:dyDescent="0.15">
      <c r="A21" s="104" t="str">
        <f>Summary_FR!B21</f>
        <v>Inv / Credit Committee</v>
      </c>
      <c r="B21" s="105" t="str">
        <f>Summary_FR!E21</f>
        <v>JICA - ESSF</v>
      </c>
      <c r="C21" s="105">
        <f>Summary_FR!G21</f>
        <v>200</v>
      </c>
      <c r="D21" s="105" t="str">
        <f>Summary_FR!H21</f>
        <v>SWFs / MFIs / Pension Funds / FoFs</v>
      </c>
      <c r="E21" s="105" t="str">
        <f>Summary_FR!Q21</f>
        <v>In Progress</v>
      </c>
    </row>
    <row r="22" spans="1:5" x14ac:dyDescent="0.15">
      <c r="A22" s="104" t="str">
        <f>Summary_FR!B22</f>
        <v>Inv / Credit Committee</v>
      </c>
      <c r="B22" s="105" t="str">
        <f>Summary_FR!E22</f>
        <v>JICA - GCF</v>
      </c>
      <c r="C22" s="105">
        <f>Summary_FR!G22</f>
        <v>300</v>
      </c>
      <c r="D22" s="105" t="str">
        <f>Summary_FR!H22</f>
        <v>SWFs / MFIs / Pension Funds / FoFs</v>
      </c>
      <c r="E22" s="105" t="str">
        <f>Summary_FR!Q22</f>
        <v>In Progress</v>
      </c>
    </row>
    <row r="23" spans="1:5" x14ac:dyDescent="0.15">
      <c r="A23" s="104" t="str">
        <f>Summary_FR!B23</f>
        <v>Inv / Credit Committee</v>
      </c>
      <c r="B23" s="105" t="str">
        <f>Summary_FR!E23</f>
        <v>NABARD</v>
      </c>
      <c r="C23" s="105">
        <f>Summary_FR!G23</f>
        <v>25</v>
      </c>
      <c r="D23" s="105" t="str">
        <f>Summary_FR!H23</f>
        <v>PSU Banks / PFIs</v>
      </c>
      <c r="E23" s="105" t="str">
        <f>Summary_FR!Q23</f>
        <v>Need to meet new head and it should be taken upo at their IC</v>
      </c>
    </row>
    <row r="24" spans="1:5" x14ac:dyDescent="0.15">
      <c r="A24" s="104" t="str">
        <f>Summary_FR!B24</f>
        <v>Declined</v>
      </c>
      <c r="B24" s="105" t="str">
        <f>Summary_FR!E24</f>
        <v>NaBFID</v>
      </c>
      <c r="C24" s="105">
        <f>Summary_FR!G24</f>
        <v>100</v>
      </c>
      <c r="D24" s="105" t="str">
        <f>Summary_FR!H24</f>
        <v>PSU Banks / PFIs</v>
      </c>
      <c r="E24" s="105" t="str">
        <f>Summary_FR!Q24</f>
        <v>They want to participate in our projects. They are not investing in AIFs yet</v>
      </c>
    </row>
    <row r="25" spans="1:5" x14ac:dyDescent="0.15">
      <c r="A25" s="104" t="str">
        <f>Summary_FR!B25</f>
        <v>Declined</v>
      </c>
      <c r="B25" s="105" t="str">
        <f>Summary_FR!E25</f>
        <v>NIIF</v>
      </c>
      <c r="C25" s="105">
        <f>Summary_FR!G25</f>
        <v>100</v>
      </c>
      <c r="D25" s="105" t="str">
        <f>Summary_FR!H25</f>
        <v>Domestic / Foreing PE/VC Funds</v>
      </c>
      <c r="E25" s="105" t="str">
        <f>Summary_FR!Q25</f>
        <v>They are not keen on investing in state sponsored funds.</v>
      </c>
    </row>
    <row r="26" spans="1:5" x14ac:dyDescent="0.15">
      <c r="A26" s="104" t="str">
        <f>Summary_FR!B26</f>
        <v>Open</v>
      </c>
      <c r="B26" s="105" t="str">
        <f>Summary_FR!E26</f>
        <v>REC</v>
      </c>
      <c r="C26" s="105">
        <f>Summary_FR!G26</f>
        <v>100</v>
      </c>
      <c r="D26" s="105" t="str">
        <f>Summary_FR!H26</f>
        <v>PSU Banks / PFIs</v>
      </c>
      <c r="E26" s="105" t="str">
        <f>Summary_FR!Q26</f>
        <v>Taking up in their next IC</v>
      </c>
    </row>
    <row r="27" spans="1:5" x14ac:dyDescent="0.15">
      <c r="A27" s="104" t="str">
        <f>Summary_FR!B27</f>
        <v>Inv / Credit Committee</v>
      </c>
      <c r="B27" s="105" t="str">
        <f>Summary_FR!E27</f>
        <v>SBICap Ventures - SRI</v>
      </c>
      <c r="C27" s="105">
        <f>Summary_FR!G27</f>
        <v>50</v>
      </c>
      <c r="D27" s="105" t="str">
        <f>Summary_FR!H27</f>
        <v>PSU Banks / PFIs</v>
      </c>
      <c r="E27" s="105" t="str">
        <f>Summary_FR!Q27</f>
        <v>Taking up in their next IC</v>
      </c>
    </row>
    <row r="28" spans="1:5" x14ac:dyDescent="0.15">
      <c r="A28" s="104" t="str">
        <f>Summary_FR!B28</f>
        <v>Inv / Credit Committee</v>
      </c>
      <c r="B28" s="105" t="str">
        <f>Summary_FR!E28</f>
        <v>Shell Foundation</v>
      </c>
      <c r="C28" s="105">
        <f>Summary_FR!G28</f>
        <v>25</v>
      </c>
      <c r="D28" s="105" t="str">
        <f>Summary_FR!H28</f>
        <v>SWFs / MFIs / Pension Funds / FoFs</v>
      </c>
      <c r="E28" s="105" t="str">
        <f>Summary_FR!Q28</f>
        <v>They are interested in Grant Funding.</v>
      </c>
    </row>
    <row r="29" spans="1:5" x14ac:dyDescent="0.15">
      <c r="A29" s="104" t="str">
        <f>Summary_FR!B29</f>
        <v>Inv / Credit Committee</v>
      </c>
      <c r="B29" s="105" t="str">
        <f>Summary_FR!E29</f>
        <v>SIDBI</v>
      </c>
      <c r="C29" s="105">
        <f>Summary_FR!G29</f>
        <v>115</v>
      </c>
      <c r="D29" s="105" t="str">
        <f>Summary_FR!H29</f>
        <v>PSU Banks / PFIs</v>
      </c>
      <c r="E29" s="105" t="str">
        <f>Summary_FR!Q29</f>
        <v>Taking up in their next IC</v>
      </c>
    </row>
    <row r="30" spans="1:5" ht="26" x14ac:dyDescent="0.15">
      <c r="A30" s="104" t="str">
        <f>Summary_FR!B30</f>
        <v>Inv / Credit Committee</v>
      </c>
      <c r="B30" s="105" t="str">
        <f>Summary_FR!E30</f>
        <v>United India Insurance</v>
      </c>
      <c r="C30" s="105">
        <f>Summary_FR!G30</f>
        <v>25</v>
      </c>
      <c r="D30" s="105" t="str">
        <f>Summary_FR!H30</f>
        <v>Domestic Pension Funds / Insurance Companies/MFs</v>
      </c>
      <c r="E30" s="105" t="str">
        <f>Summary_FR!Q30</f>
        <v>Taking it up in their IC . Need to meet theitr CMD</v>
      </c>
    </row>
    <row r="31" spans="1:5" x14ac:dyDescent="0.15">
      <c r="A31" s="104" t="str">
        <f>Summary_FR!B31</f>
        <v>Open</v>
      </c>
      <c r="B31" s="105" t="str">
        <f>Summary_FR!E31</f>
        <v>ADIA</v>
      </c>
      <c r="C31" s="105">
        <f>Summary_FR!G31</f>
        <v>0</v>
      </c>
      <c r="D31" s="105" t="str">
        <f>Summary_FR!H31</f>
        <v>SWFs / MFIs / Pension Funds / FoFs</v>
      </c>
      <c r="E31" s="105">
        <f>Summary_FR!Q31</f>
        <v>0</v>
      </c>
    </row>
    <row r="32" spans="1:5" x14ac:dyDescent="0.15">
      <c r="A32" s="104" t="str">
        <f>Summary_FR!B32</f>
        <v>Open</v>
      </c>
      <c r="B32" s="105" t="str">
        <f>Summary_FR!E32</f>
        <v>AIIB</v>
      </c>
      <c r="C32" s="105">
        <f>Summary_FR!G32</f>
        <v>100</v>
      </c>
      <c r="D32" s="105" t="str">
        <f>Summary_FR!H32</f>
        <v>SWFs / MFIs / Pension Funds / FoFs</v>
      </c>
      <c r="E32" s="105">
        <f>Summary_FR!Q32</f>
        <v>0</v>
      </c>
    </row>
    <row r="33" spans="1:5" x14ac:dyDescent="0.15">
      <c r="A33" s="104" t="str">
        <f>Summary_FR!B33</f>
        <v>Open</v>
      </c>
      <c r="B33" s="105" t="str">
        <f>Summary_FR!E33</f>
        <v>Alsima Capital Group</v>
      </c>
      <c r="C33" s="105">
        <f>Summary_FR!G33</f>
        <v>0</v>
      </c>
      <c r="D33" s="105" t="str">
        <f>Summary_FR!H33</f>
        <v>HNIs / Family Offices</v>
      </c>
      <c r="E33" s="105">
        <f>Summary_FR!Q33</f>
        <v>0</v>
      </c>
    </row>
    <row r="34" spans="1:5" x14ac:dyDescent="0.15">
      <c r="A34" s="104" t="str">
        <f>Summary_FR!B34</f>
        <v>Open</v>
      </c>
      <c r="B34" s="105" t="str">
        <f>Summary_FR!E34</f>
        <v>Bank of Maharashtra</v>
      </c>
      <c r="C34" s="105">
        <f>Summary_FR!G34</f>
        <v>10</v>
      </c>
      <c r="D34" s="105" t="str">
        <f>Summary_FR!H34</f>
        <v>PSU Banks / PFIs</v>
      </c>
      <c r="E34" s="105">
        <f>Summary_FR!Q34</f>
        <v>0</v>
      </c>
    </row>
    <row r="35" spans="1:5" x14ac:dyDescent="0.15">
      <c r="A35" s="104" t="str">
        <f>Summary_FR!B35</f>
        <v>Open</v>
      </c>
      <c r="B35" s="105" t="str">
        <f>Summary_FR!E35</f>
        <v>BII</v>
      </c>
      <c r="C35" s="105">
        <f>Summary_FR!G35</f>
        <v>50</v>
      </c>
      <c r="D35" s="105" t="str">
        <f>Summary_FR!H35</f>
        <v>PSU Banks / PFIs</v>
      </c>
      <c r="E35" s="105">
        <f>Summary_FR!Q35</f>
        <v>0</v>
      </c>
    </row>
    <row r="36" spans="1:5" x14ac:dyDescent="0.15">
      <c r="A36" s="104" t="str">
        <f>Summary_FR!B36</f>
        <v>Closed / Deferred</v>
      </c>
      <c r="B36" s="105" t="str">
        <f>Summary_FR!E36</f>
        <v>BOB</v>
      </c>
      <c r="C36" s="105">
        <f>Summary_FR!G36</f>
        <v>25</v>
      </c>
      <c r="D36" s="105" t="str">
        <f>Summary_FR!H36</f>
        <v>PSU Banks / PFIs</v>
      </c>
      <c r="E36" s="105">
        <f>Summary_FR!Q36</f>
        <v>0</v>
      </c>
    </row>
    <row r="37" spans="1:5" x14ac:dyDescent="0.15">
      <c r="A37" s="104" t="str">
        <f>Summary_FR!B37</f>
        <v>Open</v>
      </c>
      <c r="B37" s="105" t="str">
        <f>Summary_FR!E37</f>
        <v>CPCL</v>
      </c>
      <c r="C37" s="105">
        <f>Summary_FR!G37</f>
        <v>25</v>
      </c>
      <c r="D37" s="105" t="str">
        <f>Summary_FR!H37</f>
        <v>SWFs / MFIs / Pension Funds / FoFs</v>
      </c>
      <c r="E37" s="105">
        <f>Summary_FR!Q37</f>
        <v>0</v>
      </c>
    </row>
    <row r="38" spans="1:5" ht="26" x14ac:dyDescent="0.15">
      <c r="A38" s="104" t="str">
        <f>Summary_FR!B38</f>
        <v>Open</v>
      </c>
      <c r="B38" s="105" t="str">
        <f>Summary_FR!E38</f>
        <v>FCDO</v>
      </c>
      <c r="C38" s="105">
        <f>Summary_FR!G38</f>
        <v>300</v>
      </c>
      <c r="D38" s="105" t="str">
        <f>Summary_FR!H38</f>
        <v>Domestic Pension Funds / Insurance Companies/MFs</v>
      </c>
      <c r="E38" s="105">
        <f>Summary_FR!Q38</f>
        <v>0</v>
      </c>
    </row>
    <row r="39" spans="1:5" x14ac:dyDescent="0.15">
      <c r="A39" s="104" t="str">
        <f>Summary_FR!B39</f>
        <v>Open</v>
      </c>
      <c r="B39" s="105" t="str">
        <f>Summary_FR!E39</f>
        <v>FMO</v>
      </c>
      <c r="C39" s="105">
        <f>Summary_FR!G39</f>
        <v>100</v>
      </c>
      <c r="D39" s="105" t="str">
        <f>Summary_FR!H39</f>
        <v>PSU Banks / PFIs</v>
      </c>
      <c r="E39" s="105">
        <f>Summary_FR!Q39</f>
        <v>0</v>
      </c>
    </row>
    <row r="40" spans="1:5" x14ac:dyDescent="0.15">
      <c r="A40" s="104" t="str">
        <f>Summary_FR!B40</f>
        <v>Open</v>
      </c>
      <c r="B40" s="105" t="str">
        <f>Summary_FR!E40</f>
        <v>French Business Council</v>
      </c>
      <c r="C40" s="105">
        <f>Summary_FR!G40</f>
        <v>0</v>
      </c>
      <c r="D40" s="105" t="str">
        <f>Summary_FR!H40</f>
        <v>SWFs / MFIs / Pension Funds / FoFs</v>
      </c>
      <c r="E40" s="105">
        <f>Summary_FR!Q40</f>
        <v>0</v>
      </c>
    </row>
    <row r="41" spans="1:5" ht="26" x14ac:dyDescent="0.15">
      <c r="A41" s="104" t="str">
        <f>Summary_FR!B41</f>
        <v>Open</v>
      </c>
      <c r="B41" s="105" t="str">
        <f>Summary_FR!E41</f>
        <v>Global Emerging Markets Specialist Capital Pte Ltd</v>
      </c>
      <c r="C41" s="105">
        <f>Summary_FR!G41</f>
        <v>80</v>
      </c>
      <c r="D41" s="105" t="str">
        <f>Summary_FR!H41</f>
        <v>SWFs / MFIs / Pension Funds / FoFs</v>
      </c>
      <c r="E41" s="105">
        <f>Summary_FR!Q41</f>
        <v>0</v>
      </c>
    </row>
    <row r="42" spans="1:5" x14ac:dyDescent="0.15">
      <c r="A42" s="104" t="str">
        <f>Summary_FR!B42</f>
        <v>Open</v>
      </c>
      <c r="B42" s="105" t="str">
        <f>Summary_FR!E42</f>
        <v>Hinduja Family Office</v>
      </c>
      <c r="C42" s="105">
        <f>Summary_FR!G42</f>
        <v>100</v>
      </c>
      <c r="D42" s="105" t="str">
        <f>Summary_FR!H42</f>
        <v>SWFs / MFIs / Pension Funds / FoFs</v>
      </c>
      <c r="E42" s="105">
        <f>Summary_FR!Q42</f>
        <v>0</v>
      </c>
    </row>
    <row r="43" spans="1:5" x14ac:dyDescent="0.15">
      <c r="A43" s="104" t="str">
        <f>Summary_FR!B43</f>
        <v>Closed / Deferred</v>
      </c>
      <c r="B43" s="105" t="str">
        <f>Summary_FR!E43</f>
        <v>HUDCO</v>
      </c>
      <c r="C43" s="105">
        <f>Summary_FR!G43</f>
        <v>50</v>
      </c>
      <c r="D43" s="105" t="str">
        <f>Summary_FR!H43</f>
        <v>Corporates</v>
      </c>
      <c r="E43" s="105">
        <f>Summary_FR!Q43</f>
        <v>0</v>
      </c>
    </row>
    <row r="44" spans="1:5" x14ac:dyDescent="0.15">
      <c r="A44" s="104" t="str">
        <f>Summary_FR!B44</f>
        <v>Declined</v>
      </c>
      <c r="B44" s="105" t="str">
        <f>Summary_FR!E44</f>
        <v>IFC</v>
      </c>
      <c r="C44" s="105">
        <f>Summary_FR!G44</f>
        <v>0</v>
      </c>
      <c r="D44" s="105" t="str">
        <f>Summary_FR!H44</f>
        <v>Corporates</v>
      </c>
      <c r="E44" s="105">
        <f>Summary_FR!Q44</f>
        <v>0</v>
      </c>
    </row>
    <row r="45" spans="1:5" x14ac:dyDescent="0.15">
      <c r="A45" s="104" t="str">
        <f>Summary_FR!B45</f>
        <v>Open</v>
      </c>
      <c r="B45" s="105" t="str">
        <f>Summary_FR!E45</f>
        <v>IREDA</v>
      </c>
      <c r="C45" s="105">
        <f>Summary_FR!G45</f>
        <v>50</v>
      </c>
      <c r="D45" s="105" t="str">
        <f>Summary_FR!H45</f>
        <v>PSU Banks / PFIs</v>
      </c>
      <c r="E45" s="105">
        <f>Summary_FR!Q45</f>
        <v>0</v>
      </c>
    </row>
    <row r="55" spans="2:5" ht="15" x14ac:dyDescent="0.2">
      <c r="B55" s="35" t="s">
        <v>149</v>
      </c>
      <c r="C55" s="67">
        <f>COUNTIF(Summary_FR!$F$4:$F$61,Sheet1!$B55)</f>
        <v>2</v>
      </c>
      <c r="D55" s="67" t="s">
        <v>3541</v>
      </c>
      <c r="E55" s="67">
        <f>SUM(C55,C56,C58,C60,C61)</f>
        <v>15</v>
      </c>
    </row>
    <row r="56" spans="2:5" ht="15" x14ac:dyDescent="0.2">
      <c r="B56" s="35" t="s">
        <v>147</v>
      </c>
      <c r="C56" s="67">
        <f>COUNTIF(Summary_FR!$F$4:$F$61,Sheet1!$B56)</f>
        <v>7</v>
      </c>
      <c r="D56" s="67" t="str">
        <f>B57</f>
        <v>Propreitory</v>
      </c>
      <c r="E56" s="67">
        <f>C57</f>
        <v>36</v>
      </c>
    </row>
    <row r="57" spans="2:5" ht="15" x14ac:dyDescent="0.2">
      <c r="B57" s="35" t="s">
        <v>145</v>
      </c>
      <c r="C57" s="67">
        <f>COUNTIF(Summary_FR!$F$4:$F$61,Sheet1!$B57)</f>
        <v>36</v>
      </c>
      <c r="D57" s="67" t="s">
        <v>3542</v>
      </c>
      <c r="E57" s="67">
        <f>C59+C62</f>
        <v>7</v>
      </c>
    </row>
    <row r="58" spans="2:5" ht="14" x14ac:dyDescent="0.2">
      <c r="B58" s="35" t="s">
        <v>187</v>
      </c>
      <c r="C58" s="67">
        <f>COUNTIF(Summary_FR!$F$4:$F$61,Sheet1!$B58)</f>
        <v>1</v>
      </c>
    </row>
    <row r="59" spans="2:5" ht="14" x14ac:dyDescent="0.2">
      <c r="B59" s="35" t="s">
        <v>4</v>
      </c>
      <c r="C59" s="67">
        <f>COUNTIF(Summary_FR!$F$4:$F$61,Sheet1!$B59)</f>
        <v>2</v>
      </c>
    </row>
    <row r="60" spans="2:5" ht="14" x14ac:dyDescent="0.2">
      <c r="B60" s="35" t="s">
        <v>1396</v>
      </c>
      <c r="C60" s="67">
        <f>COUNTIF(Summary_FR!$F$4:$F$61,Sheet1!$B60)</f>
        <v>0</v>
      </c>
    </row>
    <row r="61" spans="2:5" ht="14" x14ac:dyDescent="0.2">
      <c r="B61" s="35" t="s">
        <v>192</v>
      </c>
      <c r="C61" s="67">
        <f>COUNTIF(Summary_FR!$F$4:$F$61,Sheet1!$B61)</f>
        <v>5</v>
      </c>
    </row>
    <row r="62" spans="2:5" ht="14" x14ac:dyDescent="0.2">
      <c r="B62" s="35" t="s">
        <v>182</v>
      </c>
      <c r="C62" s="67">
        <f>COUNTIF(Summary_FR!$F$4:$F$61,Sheet1!$B62)</f>
        <v>5</v>
      </c>
    </row>
    <row r="72" spans="2:3" ht="14" x14ac:dyDescent="0.2">
      <c r="B72" s="45" t="s">
        <v>32</v>
      </c>
      <c r="C72" s="67">
        <f>COUNTIF(Summary_FR!$B$4:$B$61,Sheet1!$B72)</f>
        <v>34</v>
      </c>
    </row>
    <row r="73" spans="2:3" ht="14" x14ac:dyDescent="0.2">
      <c r="B73" s="45" t="s">
        <v>176</v>
      </c>
      <c r="C73" s="67">
        <f>COUNTIF(Summary_FR!$B$4:$B$61,Sheet1!$B73)</f>
        <v>7</v>
      </c>
    </row>
    <row r="74" spans="2:3" ht="14" x14ac:dyDescent="0.2">
      <c r="B74" s="45" t="s">
        <v>197</v>
      </c>
      <c r="C74" s="67">
        <f>COUNTIF(Summary_FR!$B$4:$B$61,Sheet1!$B74)</f>
        <v>10</v>
      </c>
    </row>
    <row r="75" spans="2:3" ht="14" x14ac:dyDescent="0.2">
      <c r="B75" s="35" t="s">
        <v>40</v>
      </c>
      <c r="C75" s="67">
        <f>COUNTIF(Summary_FR!$B$4:$B$61,Sheet1!$B75)</f>
        <v>4</v>
      </c>
    </row>
    <row r="76" spans="2:3" ht="14" x14ac:dyDescent="0.2">
      <c r="B76" s="35" t="s">
        <v>179</v>
      </c>
      <c r="C76" s="67">
        <f>COUNTIF(Summary_FR!$B$4:$B$61,Sheet1!$B76)</f>
        <v>3</v>
      </c>
    </row>
  </sheetData>
  <conditionalFormatting sqref="A4:A45">
    <cfRule type="expression" dxfId="4" priority="1">
      <formula>A4="Invested"</formula>
    </cfRule>
    <cfRule type="expression" dxfId="3" priority="2">
      <formula>A4="Closed / Deferred"</formula>
    </cfRule>
    <cfRule type="expression" dxfId="2" priority="3">
      <formula>A4="Open"</formula>
    </cfRule>
    <cfRule type="expression" dxfId="1" priority="4" stopIfTrue="1">
      <formula>A4="Inv / Credit Committee"</formula>
    </cfRule>
    <cfRule type="expression" dxfId="0" priority="5">
      <formula>A4="Declined"</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89F3E-94B5-47F0-8BFF-A8D24F9AEEF4}">
  <sheetPr>
    <pageSetUpPr fitToPage="1"/>
  </sheetPr>
  <dimension ref="A1:L18"/>
  <sheetViews>
    <sheetView view="pageBreakPreview" zoomScale="130" zoomScaleNormal="100" zoomScaleSheetLayoutView="130" workbookViewId="0">
      <selection activeCell="J4" sqref="J4"/>
    </sheetView>
  </sheetViews>
  <sheetFormatPr baseColWidth="10" defaultColWidth="9.1640625" defaultRowHeight="12" x14ac:dyDescent="0.15"/>
  <cols>
    <col min="1" max="1" width="11.33203125" style="125" customWidth="1"/>
    <col min="2" max="2" width="13.1640625" style="125" customWidth="1"/>
    <col min="3" max="3" width="13" style="125" customWidth="1"/>
    <col min="4" max="4" width="13.83203125" style="125" customWidth="1"/>
    <col min="5" max="5" width="12.5" style="125" customWidth="1"/>
    <col min="6" max="6" width="14.1640625" style="125" customWidth="1"/>
    <col min="7" max="7" width="13.33203125" style="125" customWidth="1"/>
    <col min="8" max="8" width="15.83203125" style="125" customWidth="1"/>
    <col min="9" max="9" width="18" style="125" customWidth="1"/>
    <col min="10" max="10" width="15.5" style="125" customWidth="1"/>
    <col min="11" max="11" width="17.6640625" style="125" customWidth="1"/>
    <col min="12" max="12" width="11.83203125" style="125" customWidth="1"/>
    <col min="13" max="16" width="15.5" style="125" customWidth="1"/>
    <col min="17" max="16384" width="9.1640625" style="125"/>
  </cols>
  <sheetData>
    <row r="1" spans="1:12" x14ac:dyDescent="0.15">
      <c r="A1" s="124" t="s">
        <v>3543</v>
      </c>
    </row>
    <row r="2" spans="1:12" ht="28" x14ac:dyDescent="0.15">
      <c r="A2" s="126" t="s">
        <v>177</v>
      </c>
      <c r="B2" s="126" t="s">
        <v>1271</v>
      </c>
      <c r="C2" s="126" t="s">
        <v>139</v>
      </c>
      <c r="D2" s="126" t="s">
        <v>140</v>
      </c>
      <c r="E2" s="126" t="s">
        <v>3559</v>
      </c>
      <c r="F2" s="126" t="s">
        <v>178</v>
      </c>
      <c r="G2" s="126" t="str">
        <f>'Rearranage Contacts (2)'!$B$3</f>
        <v>Investor Type</v>
      </c>
      <c r="H2" s="126" t="s">
        <v>143</v>
      </c>
      <c r="I2" s="126" t="s">
        <v>23</v>
      </c>
    </row>
    <row r="3" spans="1:12" x14ac:dyDescent="0.15">
      <c r="A3" s="125" t="s">
        <v>3544</v>
      </c>
      <c r="B3" s="125" t="s">
        <v>3545</v>
      </c>
      <c r="C3" s="125" t="s">
        <v>1273</v>
      </c>
      <c r="D3" s="127" t="s">
        <v>3546</v>
      </c>
      <c r="E3" s="125" t="s">
        <v>3545</v>
      </c>
      <c r="G3" s="125" t="s">
        <v>3545</v>
      </c>
      <c r="H3" s="125" t="s">
        <v>3545</v>
      </c>
      <c r="J3" s="128" t="s">
        <v>3547</v>
      </c>
      <c r="K3" s="128" t="s">
        <v>3548</v>
      </c>
      <c r="L3" s="128" t="s">
        <v>1273</v>
      </c>
    </row>
    <row r="4" spans="1:12" ht="28" x14ac:dyDescent="0.15">
      <c r="J4" s="129" t="s">
        <v>16</v>
      </c>
      <c r="K4" s="130"/>
      <c r="L4" s="130"/>
    </row>
    <row r="5" spans="1:12" ht="28" x14ac:dyDescent="0.15">
      <c r="J5" s="129" t="s">
        <v>17</v>
      </c>
      <c r="K5" s="130"/>
      <c r="L5" s="130"/>
    </row>
    <row r="6" spans="1:12" ht="42" x14ac:dyDescent="0.15">
      <c r="J6" s="129" t="s">
        <v>18</v>
      </c>
      <c r="K6" s="130"/>
      <c r="L6" s="130"/>
    </row>
    <row r="7" spans="1:12" ht="28" x14ac:dyDescent="0.15">
      <c r="J7" s="129" t="s">
        <v>19</v>
      </c>
      <c r="K7" s="130"/>
      <c r="L7" s="130"/>
    </row>
    <row r="8" spans="1:12" ht="28" x14ac:dyDescent="0.15">
      <c r="J8" s="129" t="s">
        <v>20</v>
      </c>
      <c r="K8" s="130"/>
      <c r="L8" s="130"/>
    </row>
    <row r="9" spans="1:12" ht="28" x14ac:dyDescent="0.15">
      <c r="J9" s="129" t="s">
        <v>21</v>
      </c>
      <c r="K9" s="130"/>
      <c r="L9" s="130"/>
    </row>
    <row r="11" spans="1:12" x14ac:dyDescent="0.15">
      <c r="A11" s="124" t="s">
        <v>3549</v>
      </c>
      <c r="B11" s="127" t="s">
        <v>3550</v>
      </c>
    </row>
    <row r="12" spans="1:12" ht="28" x14ac:dyDescent="0.15">
      <c r="A12" s="126" t="s">
        <v>896</v>
      </c>
      <c r="B12" s="126" t="s">
        <v>897</v>
      </c>
      <c r="C12" s="126" t="s">
        <v>898</v>
      </c>
      <c r="D12" s="126" t="s">
        <v>899</v>
      </c>
      <c r="E12" s="126" t="s">
        <v>900</v>
      </c>
      <c r="F12" s="126" t="s">
        <v>901</v>
      </c>
      <c r="G12" s="126" t="s">
        <v>902</v>
      </c>
      <c r="H12" s="126" t="s">
        <v>903</v>
      </c>
      <c r="I12" s="126" t="s">
        <v>904</v>
      </c>
      <c r="J12" s="126" t="s">
        <v>905</v>
      </c>
    </row>
    <row r="13" spans="1:12" x14ac:dyDescent="0.15">
      <c r="H13" s="124" t="s">
        <v>3545</v>
      </c>
      <c r="I13" s="124" t="s">
        <v>3545</v>
      </c>
      <c r="J13" s="124" t="s">
        <v>3545</v>
      </c>
    </row>
    <row r="16" spans="1:12" x14ac:dyDescent="0.15">
      <c r="A16" s="124" t="s">
        <v>3551</v>
      </c>
    </row>
    <row r="17" spans="1:11" ht="28" x14ac:dyDescent="0.15">
      <c r="A17" s="126" t="s">
        <v>3552</v>
      </c>
      <c r="B17" s="126" t="s">
        <v>1271</v>
      </c>
      <c r="C17" s="126" t="s">
        <v>1272</v>
      </c>
      <c r="D17" s="126" t="s">
        <v>143</v>
      </c>
      <c r="E17" s="126" t="s">
        <v>1274</v>
      </c>
      <c r="F17" s="126" t="s">
        <v>1275</v>
      </c>
      <c r="G17" s="126" t="s">
        <v>1276</v>
      </c>
      <c r="H17" s="126" t="s">
        <v>1277</v>
      </c>
      <c r="I17" s="126" t="s">
        <v>1278</v>
      </c>
      <c r="J17" s="126" t="s">
        <v>1279</v>
      </c>
      <c r="K17" s="126" t="s">
        <v>144</v>
      </c>
    </row>
    <row r="18" spans="1:11" x14ac:dyDescent="0.15">
      <c r="B18" s="124" t="s">
        <v>3545</v>
      </c>
      <c r="E18" s="124" t="s">
        <v>3545</v>
      </c>
      <c r="G18" s="124" t="s">
        <v>3545</v>
      </c>
      <c r="K18" s="124" t="s">
        <v>3553</v>
      </c>
    </row>
  </sheetData>
  <pageMargins left="0.70866141732283472" right="0.70866141732283472" top="0.74803149606299213" bottom="0.74803149606299213" header="0.31496062992125984" footer="0.31496062992125984"/>
  <pageSetup paperSize="9" scale="7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504766c3-5607-4404-9950-97612cbc2b19">
      <UserInfo>
        <DisplayName>Monisha S</DisplayName>
        <AccountId>15</AccountId>
        <AccountType/>
      </UserInfo>
      <UserInfo>
        <DisplayName>vijayarajendran r</DisplayName>
        <AccountId>20</AccountId>
        <AccountType/>
      </UserInfo>
    </SharedWithUsers>
    <lcf76f155ced4ddcb4097134ff3c332f xmlns="049b47d3-34a6-4545-a9bf-e6dbc66d897c">
      <Terms xmlns="http://schemas.microsoft.com/office/infopath/2007/PartnerControls"/>
    </lcf76f155ced4ddcb4097134ff3c332f>
    <TaxCatchAll xmlns="504766c3-5607-4404-9950-97612cbc2b1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BC2310A12CAD8408D59A50FE40B1238" ma:contentTypeVersion="12" ma:contentTypeDescription="Create a new document." ma:contentTypeScope="" ma:versionID="5aa4814238fa8600e43ff94ab1889b9a">
  <xsd:schema xmlns:xsd="http://www.w3.org/2001/XMLSchema" xmlns:xs="http://www.w3.org/2001/XMLSchema" xmlns:p="http://schemas.microsoft.com/office/2006/metadata/properties" xmlns:ns2="049b47d3-34a6-4545-a9bf-e6dbc66d897c" xmlns:ns3="504766c3-5607-4404-9950-97612cbc2b19" targetNamespace="http://schemas.microsoft.com/office/2006/metadata/properties" ma:root="true" ma:fieldsID="fb0109e2cdf178264d03c08f60482625" ns2:_="" ns3:_="">
    <xsd:import namespace="049b47d3-34a6-4545-a9bf-e6dbc66d897c"/>
    <xsd:import namespace="504766c3-5607-4404-9950-97612cbc2b1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9b47d3-34a6-4545-a9bf-e6dbc66d89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75103493-27db-4596-835f-9a7a40f8aa73"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4766c3-5607-4404-9950-97612cbc2b1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a3ac9157-2b18-4b4e-b65f-1e6ef9785eca}" ma:internalName="TaxCatchAll" ma:showField="CatchAllData" ma:web="504766c3-5607-4404-9950-97612cbc2b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7F58E0-9034-4FAB-84DB-A4B4BDD02ABA}">
  <ds:schemaRefs>
    <ds:schemaRef ds:uri="http://www.w3.org/XML/1998/namespace"/>
    <ds:schemaRef ds:uri="http://purl.org/dc/dcmitype/"/>
    <ds:schemaRef ds:uri="http://schemas.openxmlformats.org/package/2006/metadata/core-properties"/>
    <ds:schemaRef ds:uri="http://schemas.microsoft.com/office/2006/metadata/properties"/>
    <ds:schemaRef ds:uri="http://schemas.microsoft.com/office/2006/documentManagement/types"/>
    <ds:schemaRef ds:uri="http://purl.org/dc/elements/1.1/"/>
    <ds:schemaRef ds:uri="049b47d3-34a6-4545-a9bf-e6dbc66d897c"/>
    <ds:schemaRef ds:uri="http://schemas.microsoft.com/office/infopath/2007/PartnerControls"/>
    <ds:schemaRef ds:uri="504766c3-5607-4404-9950-97612cbc2b19"/>
    <ds:schemaRef ds:uri="http://purl.org/dc/terms/"/>
  </ds:schemaRefs>
</ds:datastoreItem>
</file>

<file path=customXml/itemProps2.xml><?xml version="1.0" encoding="utf-8"?>
<ds:datastoreItem xmlns:ds="http://schemas.openxmlformats.org/officeDocument/2006/customXml" ds:itemID="{0CB1BEA9-8F10-4C7E-8FCA-FEC22A7125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9b47d3-34a6-4545-a9bf-e6dbc66d897c"/>
    <ds:schemaRef ds:uri="504766c3-5607-4404-9950-97612cbc2b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029C56-AB91-4489-A0F5-7DBA53411925}">
  <ds:schemaRefs>
    <ds:schemaRef ds:uri="http://schemas.microsoft.com/DataMashup"/>
  </ds:schemaRefs>
</ds:datastoreItem>
</file>

<file path=customXml/itemProps4.xml><?xml version="1.0" encoding="utf-8"?>
<ds:datastoreItem xmlns:ds="http://schemas.openxmlformats.org/officeDocument/2006/customXml" ds:itemID="{E17B4D3A-6C13-4505-9965-90D6B4BEA9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Instructions</vt:lpstr>
      <vt:lpstr>Summary-Fundraise</vt:lpstr>
      <vt:lpstr>Buffer sheet</vt:lpstr>
      <vt:lpstr>RelMap+Summary</vt:lpstr>
      <vt:lpstr>Summary_FR</vt:lpstr>
      <vt:lpstr>Rearranage Contacts (2)</vt:lpstr>
      <vt:lpstr>Meetings_Interactions</vt:lpstr>
      <vt:lpstr>Tables</vt:lpstr>
      <vt:lpstr>New targets</vt:lpstr>
      <vt:lpstr>BBuffersheet</vt:lpstr>
      <vt:lpstr>Sheet1</vt:lpstr>
      <vt:lpstr>Userform visual</vt:lpstr>
      <vt:lpstr>Contact_Co</vt:lpstr>
      <vt:lpstr>'Rearranage Contacts (2)'!Contactname</vt:lpstr>
      <vt:lpstr>Deal_Status</vt:lpstr>
      <vt:lpstr>Engagement_Status</vt:lpstr>
      <vt:lpstr>FR_Team</vt:lpstr>
      <vt:lpstr>Geography</vt:lpstr>
      <vt:lpstr>Investor_Classification</vt:lpstr>
      <vt:lpstr>Location</vt:lpstr>
      <vt:lpstr>Placement_Advisor</vt:lpstr>
      <vt:lpstr>Summary_FR!Potential_Investor</vt:lpstr>
      <vt:lpstr>Potential_Investor</vt:lpstr>
      <vt:lpstr>Meetings_Interactions!Print_Area</vt:lpstr>
      <vt:lpstr>Summary_FR!Print_Area</vt:lpstr>
      <vt:lpstr>'Summary-Fundraise'!Print_Area</vt:lpstr>
      <vt:lpstr>Meetings_Interactions!Print_Titles</vt:lpstr>
      <vt:lpstr>Summary_FR!Print_Titles</vt:lpstr>
      <vt:lpstr>SubLocation</vt:lpstr>
      <vt:lpstr>Task_Classification</vt:lpstr>
      <vt:lpstr>Team</vt:lpstr>
      <vt:lpstr>Transaction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Krishna Chaitanya</dc:creator>
  <cp:keywords/>
  <dc:description/>
  <cp:lastModifiedBy>Santosh Jammi</cp:lastModifiedBy>
  <cp:revision/>
  <cp:lastPrinted>2025-01-22T07:14:31Z</cp:lastPrinted>
  <dcterms:created xsi:type="dcterms:W3CDTF">2023-05-20T07:50:30Z</dcterms:created>
  <dcterms:modified xsi:type="dcterms:W3CDTF">2025-01-24T08:44:25Z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0x0101002BC2310A12CAD8408D59A50FE40B1238</vt:lpwstr>
  </property>
  <property fmtid="{D5CDD505-2E9C-101B-9397-08002B2CF9AE}" pid="3" name="Solution ID">
    <vt:lpwstr>{15727DE6-F92D-4E46-ACB4-0E2C58B31A18}</vt:lpwstr>
  </property>
  <property fmtid="{D5CDD505-2E9C-101B-9397-08002B2CF9AE}" pid="4" name="MediaServiceImageTags">
    <vt:lpwstr/>
  </property>
</Properties>
</file>